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PC\Documents\bm\"/>
    </mc:Choice>
  </mc:AlternateContent>
  <bookViews>
    <workbookView xWindow="0" yWindow="0" windowWidth="20490" windowHeight="7755"/>
  </bookViews>
  <sheets>
    <sheet name="BDT sheet" sheetId="7" r:id="rId1"/>
    <sheet name="Power Alarm" sheetId="2" r:id="rId2"/>
    <sheet name="Config" sheetId="9" state="hidden" r:id="rId3"/>
    <sheet name="Summary " sheetId="8" r:id="rId4"/>
  </sheets>
  <externalReferences>
    <externalReference r:id="rId5"/>
    <externalReference r:id="rId6"/>
  </externalReferences>
  <definedNames>
    <definedName name="_xlnm._FilterDatabase" localSheetId="0" hidden="1">'BDT sheet'!$M$91:$R$91</definedName>
    <definedName name="_xlnm.Print_Area" localSheetId="0">'BDT sheet'!$A$1:$V$112</definedName>
  </definedNames>
  <calcPr calcId="152511" calcOnSave="0" concurrentCalc="0"/>
</workbook>
</file>

<file path=xl/calcChain.xml><?xml version="1.0" encoding="utf-8"?>
<calcChain xmlns="http://schemas.openxmlformats.org/spreadsheetml/2006/main">
  <c r="D30" i="9" l="1"/>
  <c r="D17" i="9"/>
  <c r="D5" i="9"/>
  <c r="D18" i="9"/>
  <c r="D4" i="9"/>
</calcChain>
</file>

<file path=xl/sharedStrings.xml><?xml version="1.0" encoding="utf-8"?>
<sst xmlns="http://schemas.openxmlformats.org/spreadsheetml/2006/main" count="379" uniqueCount="267">
  <si>
    <t xml:space="preserve">Date: </t>
  </si>
  <si>
    <t>Power Cabinet # I</t>
  </si>
  <si>
    <t>Positive dc (0 vdc) / Ground</t>
  </si>
  <si>
    <t>Positive dc (0 vdc) / Negative (-48 vdc)</t>
  </si>
  <si>
    <t>Negative dc (-48 vdc) / Ground</t>
  </si>
  <si>
    <t>Number of strings</t>
  </si>
  <si>
    <t>Number of racks</t>
  </si>
  <si>
    <t>Battery racks are fixed to shelter ground</t>
  </si>
  <si>
    <t>Batteries are assembled according to specs</t>
  </si>
  <si>
    <t>All batteries are well tightened</t>
  </si>
  <si>
    <t>Clean batteries surface using a small moisten texture</t>
  </si>
  <si>
    <t>All batteries are surface clean</t>
  </si>
  <si>
    <t>All battery poles are clean</t>
  </si>
  <si>
    <t>Rec Bus Bar</t>
  </si>
  <si>
    <t>String # 1</t>
  </si>
  <si>
    <t>String # 2</t>
  </si>
  <si>
    <t>String # 3</t>
  </si>
  <si>
    <t>String # 4</t>
  </si>
  <si>
    <t>String # 5</t>
  </si>
  <si>
    <t>String # 6</t>
  </si>
  <si>
    <t>Time: min (h)</t>
  </si>
  <si>
    <t>V</t>
  </si>
  <si>
    <t>A</t>
  </si>
  <si>
    <t>Power Cabinet</t>
  </si>
  <si>
    <t>Rectifier Batteries</t>
  </si>
  <si>
    <t>Number of batteries connected to the rectifier</t>
  </si>
  <si>
    <t>Battery nominal voltage</t>
  </si>
  <si>
    <t>Battery ampere hour</t>
  </si>
  <si>
    <t>Number of intercell covers missing</t>
  </si>
  <si>
    <t>Separate distance exist between batteries (1 cm)</t>
  </si>
  <si>
    <t xml:space="preserve">Rectifier </t>
  </si>
  <si>
    <t xml:space="preserve">Battery brand </t>
  </si>
  <si>
    <t xml:space="preserve">Rectifier Type: </t>
  </si>
  <si>
    <t xml:space="preserve">Batteries discharge test </t>
  </si>
  <si>
    <t>Battery Discharge Test (Autonomy Control)</t>
  </si>
  <si>
    <t xml:space="preserve">Mobinil Area: </t>
  </si>
  <si>
    <t>Room Temp. ◦C</t>
  </si>
  <si>
    <t>3. Temp. Measured</t>
  </si>
  <si>
    <t>Mobinil Network</t>
  </si>
  <si>
    <t>4. Site Equipment (Data)</t>
  </si>
  <si>
    <t xml:space="preserve">Site Name: </t>
  </si>
  <si>
    <t>Time in:</t>
  </si>
  <si>
    <t>Time Out:</t>
  </si>
  <si>
    <t>Site Code:</t>
  </si>
  <si>
    <t>Subcontractor:</t>
  </si>
  <si>
    <t xml:space="preserve">Sub-office: </t>
  </si>
  <si>
    <t>10 Mins</t>
  </si>
  <si>
    <t>30 Mins</t>
  </si>
  <si>
    <t>60 Mins</t>
  </si>
  <si>
    <t>90 Mins</t>
  </si>
  <si>
    <t>150 Mins</t>
  </si>
  <si>
    <t>180 Mins</t>
  </si>
  <si>
    <t>Site Type</t>
  </si>
  <si>
    <t>Type of 3G Cabinet</t>
  </si>
  <si>
    <t>No. of SDH</t>
  </si>
  <si>
    <t>Number of faulty modules exists</t>
  </si>
  <si>
    <t>Before disconnecting Rectifier</t>
  </si>
  <si>
    <t>Number of Power Alarms since last 3 months</t>
  </si>
  <si>
    <t>Power Source</t>
  </si>
  <si>
    <t>No. of ADM</t>
  </si>
  <si>
    <t>No. of PDU</t>
  </si>
  <si>
    <t># of BSC</t>
  </si>
  <si>
    <t>BSC Type</t>
  </si>
  <si>
    <t>210 Mins</t>
  </si>
  <si>
    <t>240 Mins</t>
  </si>
  <si>
    <t>After Connecting Rectifier</t>
  </si>
  <si>
    <t xml:space="preserve">* No. of link </t>
  </si>
  <si>
    <t xml:space="preserve">453W * No. of link </t>
  </si>
  <si>
    <t xml:space="preserve"> Ipasoo 1000 NEC MW link </t>
  </si>
  <si>
    <t xml:space="preserve">208 W * No. of link </t>
  </si>
  <si>
    <t xml:space="preserve"> Ipasoo 400 NEC MW link </t>
  </si>
  <si>
    <t xml:space="preserve">128 W * No. of link </t>
  </si>
  <si>
    <t xml:space="preserve"> Ipasoo 200 NEC MW link </t>
  </si>
  <si>
    <t xml:space="preserve">952 W * No. of link </t>
  </si>
  <si>
    <t xml:space="preserve"> 20P ERICSSON MW link </t>
  </si>
  <si>
    <t xml:space="preserve">370 W * No. of link </t>
  </si>
  <si>
    <t xml:space="preserve"> 6P ERICSSON MW link </t>
  </si>
  <si>
    <t xml:space="preserve">54 W * No. of link </t>
  </si>
  <si>
    <t xml:space="preserve"> 6N ERICSSON MW link </t>
  </si>
  <si>
    <t xml:space="preserve">Total power consumpation  </t>
  </si>
  <si>
    <t xml:space="preserve">No. of link </t>
  </si>
  <si>
    <t>Data for links</t>
  </si>
  <si>
    <t>Site Category</t>
  </si>
  <si>
    <t>Batteries C.Bs Photo</t>
  </si>
  <si>
    <t>Clear Photo for Batteries</t>
  </si>
  <si>
    <t>270 Mins</t>
  </si>
  <si>
    <t>300 Mins</t>
  </si>
  <si>
    <t>Clear photo for batteries C.Bs at the rectifier</t>
  </si>
  <si>
    <t>Type of 4G Cabinet</t>
  </si>
  <si>
    <t>Battery racks are connected to site ground</t>
  </si>
  <si>
    <t>Type of 2G Cabinet</t>
  </si>
  <si>
    <t>Outdoor</t>
  </si>
  <si>
    <t>BTS</t>
  </si>
  <si>
    <t>NSN</t>
  </si>
  <si>
    <t>NA</t>
  </si>
  <si>
    <t>Number of Working modules exists</t>
  </si>
  <si>
    <t>Number of Modules at the Rectifier</t>
  </si>
  <si>
    <t xml:space="preserve">Rectifier Model (For Huawei Rectifier): </t>
  </si>
  <si>
    <t>Eng. Name:</t>
  </si>
  <si>
    <t>Others</t>
  </si>
  <si>
    <t>No. of 3G RF Module Or RRU</t>
  </si>
  <si>
    <t>No. of 4G RF Module Or RRU</t>
  </si>
  <si>
    <t>No. of 2G RF Modules Or MRFU</t>
  </si>
  <si>
    <t>Battery current</t>
  </si>
  <si>
    <t>Ibat before starting the test</t>
  </si>
  <si>
    <t>BTS snap with date and time of BDT start time</t>
  </si>
  <si>
    <t>BTS snap with date and time of BDT end time</t>
  </si>
  <si>
    <t>CAP code</t>
  </si>
  <si>
    <t>Comment</t>
  </si>
  <si>
    <t>Rectifier reserves</t>
  </si>
  <si>
    <t>Any problem in the rectifier</t>
  </si>
  <si>
    <t>Rectifier Inside</t>
  </si>
  <si>
    <t>Rectifier Outside</t>
  </si>
  <si>
    <t>Batteries Photo 1</t>
  </si>
  <si>
    <t>Batteries Photo 2</t>
  </si>
  <si>
    <t>Batteries Rack / Cabinet</t>
  </si>
  <si>
    <t>Rectifier Load current</t>
  </si>
  <si>
    <t>Battery Brand</t>
  </si>
  <si>
    <t># of MW</t>
  </si>
  <si>
    <t>String # 7</t>
  </si>
  <si>
    <t>String # 8</t>
  </si>
  <si>
    <t>Mail Capture (Clear)</t>
  </si>
  <si>
    <t>Mail Capture (Alarm)</t>
  </si>
  <si>
    <t>BTS Capture (Alarm)</t>
  </si>
  <si>
    <t>BTS Capture (Clear)</t>
  </si>
  <si>
    <t>LVD reconnect set point</t>
  </si>
  <si>
    <t>LVD disconnect set point</t>
  </si>
  <si>
    <t>PLVD set point</t>
  </si>
  <si>
    <t>Loss of terminal connection</t>
  </si>
  <si>
    <t>Battery charging current (A)</t>
  </si>
  <si>
    <t>Charnging current limit</t>
  </si>
  <si>
    <t>Maximum charge current limit</t>
  </si>
  <si>
    <t>100 Mins</t>
  </si>
  <si>
    <t>EC</t>
  </si>
  <si>
    <t>Yes</t>
  </si>
  <si>
    <t>ok</t>
  </si>
  <si>
    <t>Voltage Measured</t>
  </si>
  <si>
    <t>String Number</t>
  </si>
  <si>
    <t>Battery Number</t>
  </si>
  <si>
    <t>45 Mins</t>
  </si>
  <si>
    <t>120 Mins</t>
  </si>
  <si>
    <t>After connecting Rectifier</t>
  </si>
  <si>
    <t>Week</t>
  </si>
  <si>
    <t>Ser</t>
  </si>
  <si>
    <t>Site Name</t>
  </si>
  <si>
    <t>Short Code</t>
  </si>
  <si>
    <t>On Air Date</t>
  </si>
  <si>
    <t>Nodal Degree</t>
  </si>
  <si>
    <t xml:space="preserve">PLVD Value (LLVD For Huawei) adjusted after finishing the test </t>
  </si>
  <si>
    <t xml:space="preserve">Linked sites name codes </t>
  </si>
  <si>
    <t>Type</t>
  </si>
  <si>
    <t>Site Category (Shelter/OD/Grill)</t>
  </si>
  <si>
    <t># of BTS</t>
  </si>
  <si>
    <t>Type2</t>
  </si>
  <si>
    <t># of GSM/MRFU/RF</t>
  </si>
  <si>
    <t># of DSC/MRFU/RF</t>
  </si>
  <si>
    <t>MW Type</t>
  </si>
  <si>
    <t># of SDH</t>
  </si>
  <si>
    <t># of ADM</t>
  </si>
  <si>
    <t># of Routers</t>
  </si>
  <si>
    <t>AC1 Type</t>
  </si>
  <si>
    <t>AC HP</t>
  </si>
  <si>
    <t>AC2 Type</t>
  </si>
  <si>
    <t>AC HP3</t>
  </si>
  <si>
    <t>3G Type</t>
  </si>
  <si>
    <t>No. Of 3G RF</t>
  </si>
  <si>
    <t>4G Type</t>
  </si>
  <si>
    <t>No. Of 4G RF</t>
  </si>
  <si>
    <t>Orange office</t>
  </si>
  <si>
    <t>Subcontractor</t>
  </si>
  <si>
    <t>Office</t>
  </si>
  <si>
    <t>Area</t>
  </si>
  <si>
    <t>Network</t>
  </si>
  <si>
    <t>Rectifier Brand</t>
  </si>
  <si>
    <t># of Modules</t>
  </si>
  <si>
    <t>Battery Volt</t>
  </si>
  <si>
    <t>Battery Ampere Hour</t>
  </si>
  <si>
    <t>No of String</t>
  </si>
  <si>
    <t xml:space="preserve">No of Batteries </t>
  </si>
  <si>
    <t>Start Volt</t>
  </si>
  <si>
    <t>Start Amp</t>
  </si>
  <si>
    <t>End Volt</t>
  </si>
  <si>
    <t>End Amp</t>
  </si>
  <si>
    <t>Discharge time( Mins)</t>
  </si>
  <si>
    <t xml:space="preserve">Reason for Test stop </t>
  </si>
  <si>
    <t>Test Date</t>
  </si>
  <si>
    <t>Reason for Repeated BDT</t>
  </si>
  <si>
    <t>Cap request #</t>
  </si>
  <si>
    <t>Battery current after power reconnect</t>
  </si>
  <si>
    <t>Batteries Charnging current limit</t>
  </si>
  <si>
    <t>Ibat after 5 minutes of power reconnect</t>
  </si>
  <si>
    <t>Site name / Code</t>
  </si>
  <si>
    <t>Example</t>
  </si>
  <si>
    <t>Rectifier type</t>
  </si>
  <si>
    <t>Rectifier Load</t>
  </si>
  <si>
    <t>1* iPASOLINK 1000</t>
  </si>
  <si>
    <t>Site name</t>
  </si>
  <si>
    <t>Site-Name</t>
  </si>
  <si>
    <t>2G  (2*ESMC(1*FXDA+1*FXDB+2*FXEA))</t>
  </si>
  <si>
    <t>Delta 3</t>
  </si>
  <si>
    <t>U 900  (1*FSMD(1*FXDB))</t>
  </si>
  <si>
    <t>Rectifier load</t>
  </si>
  <si>
    <r>
      <t>1*</t>
    </r>
    <r>
      <rPr>
        <sz val="11"/>
        <rFont val="Calibri"/>
        <family val="2"/>
        <scheme val="minor"/>
      </rPr>
      <t xml:space="preserve"> </t>
    </r>
    <r>
      <rPr>
        <sz val="11"/>
        <color rgb="FF000000"/>
        <rFont val="Calibri"/>
        <family val="2"/>
        <scheme val="minor"/>
      </rPr>
      <t>iPASOLINK 400</t>
    </r>
  </si>
  <si>
    <t>3G  (2*FSME(1*FXDB+3*FRGT))</t>
  </si>
  <si>
    <t>2G NOK (2*ESMC+ 3*FXDA + 3*FXEA)</t>
  </si>
  <si>
    <t>4G  (FSMF(1*FXED)</t>
  </si>
  <si>
    <t>3G NOK (1*FSMF+ 1*FRGP + 1*FRGF)</t>
  </si>
  <si>
    <t>4G NOK (1*FSMF + 1* FXED)</t>
  </si>
  <si>
    <t>1* 7705 SAR18 Router</t>
  </si>
  <si>
    <t>DC vent TS-400 90watt</t>
  </si>
  <si>
    <t>1*GPS OSA 5421</t>
  </si>
  <si>
    <t>No of  Modules</t>
  </si>
  <si>
    <t>NO of Strings</t>
  </si>
  <si>
    <t>6 Marathon 12v  155A</t>
  </si>
  <si>
    <t>A/C</t>
  </si>
  <si>
    <t>2*3HP</t>
  </si>
  <si>
    <t>2*5HP</t>
  </si>
  <si>
    <r>
      <rPr>
        <b/>
        <sz val="22"/>
        <rFont val="Calibri"/>
        <family val="2"/>
        <scheme val="minor"/>
      </rPr>
      <t>!</t>
    </r>
    <r>
      <rPr>
        <sz val="12"/>
        <rFont val="Calibri"/>
        <family val="2"/>
        <scheme val="minor"/>
      </rPr>
      <t xml:space="preserve">
Thanks to mention any device connected to the rectifier (quantity and model)
Please remove items that you don't see in the site, and keep the only used itmes
Don't repeat any repeated HW
You can merge 3G and U900 in the label of 3G
If you see any HW connected to the rectifier of DC box please mention it with its model even if it's not in the example list</t>
    </r>
  </si>
  <si>
    <t>Configuration Summary</t>
  </si>
  <si>
    <t>DK-SANTAMEH_0609DE</t>
  </si>
  <si>
    <t>MW type</t>
  </si>
  <si>
    <t># of RFs (total)</t>
  </si>
  <si>
    <t># of RFs in shelter</t>
  </si>
  <si>
    <t># of RFs on tower</t>
  </si>
  <si>
    <t># of Sys modules</t>
  </si>
  <si>
    <t>Total Radio units (shelter)</t>
  </si>
  <si>
    <t>For NSN Sites</t>
  </si>
  <si>
    <t>For HUW Sites</t>
  </si>
  <si>
    <t>Delta 2</t>
  </si>
  <si>
    <t>1* cn210</t>
  </si>
  <si>
    <t>n*Link 2</t>
  </si>
  <si>
    <t>n*Link 3</t>
  </si>
  <si>
    <t>2G (1*GTMU+ 3MRFU)</t>
  </si>
  <si>
    <t>U900  (1*UMPT+ 3*MRFU)</t>
  </si>
  <si>
    <t>3G (1*UMPT+ 3*RFU)</t>
  </si>
  <si>
    <t>4G (1*UMPT+ 3*RFU)</t>
  </si>
  <si>
    <t>n*ZTE</t>
  </si>
  <si>
    <t>n*Router</t>
  </si>
  <si>
    <t>n*AdM</t>
  </si>
  <si>
    <t>n*SDH</t>
  </si>
  <si>
    <t>2 SBS 170AH</t>
  </si>
  <si>
    <t>GRILL</t>
  </si>
  <si>
    <t>ERICSSON</t>
  </si>
  <si>
    <t>Battery capacity</t>
  </si>
  <si>
    <t>Rectifier Modules</t>
  </si>
  <si>
    <t>Clear photo for Rectifier Modules</t>
  </si>
  <si>
    <t>Battery Setting For Huawei Rectifier</t>
  </si>
  <si>
    <t>Battery diconnect volt</t>
  </si>
  <si>
    <t>Battery reconnect volt</t>
  </si>
  <si>
    <t>Clear photo for Rectifier Outside</t>
  </si>
  <si>
    <t>Clear photo for Rectifier inside</t>
  </si>
  <si>
    <t>Clear Photo for Batteries  Rack / Cabinet</t>
  </si>
  <si>
    <t>Battery volt before diconnect the power
(before Start the test)</t>
  </si>
  <si>
    <t>Battery volt before reconnect the power
(at the end of the test)</t>
  </si>
  <si>
    <t>Iload before
 Power disconnected
(before Start the test)</t>
  </si>
  <si>
    <t>MOHAMED GABR</t>
  </si>
  <si>
    <t>AGLI</t>
  </si>
  <si>
    <t>Tanta</t>
  </si>
  <si>
    <t>BRONZE</t>
  </si>
  <si>
    <t>iPASOLINK vr4</t>
  </si>
  <si>
    <t>Not Exist</t>
  </si>
  <si>
    <t>MBV</t>
  </si>
  <si>
    <t>TANTA</t>
  </si>
  <si>
    <t>Delta North</t>
  </si>
  <si>
    <t>DELTA2</t>
  </si>
  <si>
    <t>BATTERIES ARE DISCHARGED</t>
  </si>
  <si>
    <t>Cycle</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</si>
</sst>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
    <numFmt numFmtId="165" formatCode="[$-409]d\-mmm\-yy;@"/>
    <numFmt numFmtId="166" formatCode="[$-409]h:mm:ss\ AM/PM;@"/>
  </numFmts>
  <fonts count="44">
    <font>
      <sz val="12"/>
      <name val="Arial"/>
      <charset val="178"/>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1"/>
      <name val="Arial"/>
      <family val="2"/>
    </font>
    <font>
      <b/>
      <sz val="10"/>
      <name val="Arial"/>
      <family val="2"/>
      <charset val="178"/>
    </font>
    <font>
      <sz val="10"/>
      <name val="Times New Roman"/>
      <family val="1"/>
    </font>
    <font>
      <i/>
      <sz val="10"/>
      <name val="Arial"/>
      <family val="2"/>
    </font>
    <font>
      <b/>
      <sz val="10"/>
      <name val="Times New Roman"/>
      <family val="1"/>
    </font>
    <font>
      <b/>
      <sz val="10"/>
      <name val="Arial"/>
      <family val="2"/>
    </font>
    <font>
      <b/>
      <u/>
      <sz val="12"/>
      <name val="Times New Roman"/>
      <family val="1"/>
    </font>
    <font>
      <b/>
      <sz val="11"/>
      <name val="Arial"/>
      <family val="2"/>
    </font>
    <font>
      <b/>
      <i/>
      <u/>
      <sz val="18"/>
      <name val="Arial"/>
      <family val="2"/>
    </font>
    <font>
      <sz val="12"/>
      <name val="Arial"/>
      <family val="2"/>
    </font>
    <font>
      <sz val="12"/>
      <name val="Arial"/>
      <family val="2"/>
    </font>
    <font>
      <b/>
      <sz val="11"/>
      <color theme="1"/>
      <name val="Calibri"/>
      <family val="2"/>
      <scheme val="minor"/>
    </font>
    <font>
      <sz val="11"/>
      <color rgb="FF000000"/>
      <name val="Arial"/>
      <family val="2"/>
    </font>
    <font>
      <sz val="12"/>
      <color theme="1"/>
      <name val="Arial"/>
      <family val="2"/>
    </font>
    <font>
      <sz val="10"/>
      <color rgb="FFFF0000"/>
      <name val="Arial"/>
      <family val="2"/>
    </font>
    <font>
      <b/>
      <i/>
      <u/>
      <sz val="16"/>
      <name val="Arial"/>
      <family val="2"/>
    </font>
    <font>
      <sz val="11"/>
      <name val="Calibri"/>
      <family val="2"/>
      <scheme val="minor"/>
    </font>
    <font>
      <sz val="12"/>
      <name val="Calibri"/>
      <family val="2"/>
      <scheme val="minor"/>
    </font>
    <font>
      <sz val="10"/>
      <color rgb="FFFF0000"/>
      <name val="Calibri"/>
      <family val="2"/>
      <scheme val="minor"/>
    </font>
    <font>
      <b/>
      <sz val="11"/>
      <name val="Calibri"/>
      <family val="2"/>
      <scheme val="minor"/>
    </font>
    <font>
      <b/>
      <sz val="11"/>
      <color theme="1"/>
      <name val="Calibri"/>
      <family val="2"/>
    </font>
    <font>
      <u/>
      <sz val="11"/>
      <color theme="10"/>
      <name val="Calibri"/>
      <family val="2"/>
      <scheme val="minor"/>
    </font>
    <font>
      <sz val="11"/>
      <color theme="1"/>
      <name val="Times New Roman"/>
      <family val="1"/>
    </font>
    <font>
      <sz val="10"/>
      <name val="Helv"/>
      <charset val="204"/>
    </font>
    <font>
      <b/>
      <sz val="11"/>
      <color rgb="FFFFFFFF"/>
      <name val="Calibri"/>
      <family val="2"/>
    </font>
    <font>
      <b/>
      <u/>
      <sz val="12"/>
      <name val="Calibri"/>
      <family val="2"/>
      <scheme val="minor"/>
    </font>
    <font>
      <sz val="10"/>
      <color rgb="FFFFFFFF"/>
      <name val="Arial"/>
      <family val="2"/>
    </font>
    <font>
      <b/>
      <sz val="16"/>
      <name val="Arial"/>
      <family val="2"/>
    </font>
    <font>
      <sz val="11"/>
      <color rgb="FF000000"/>
      <name val="Calibri"/>
      <family val="2"/>
    </font>
    <font>
      <b/>
      <sz val="11"/>
      <color rgb="FFFFFFFF"/>
      <name val="Calibri"/>
      <family val="2"/>
      <scheme val="minor"/>
    </font>
    <font>
      <sz val="11"/>
      <color rgb="FFFFFFFF"/>
      <name val="Calibri"/>
      <family val="2"/>
      <scheme val="minor"/>
    </font>
    <font>
      <sz val="11"/>
      <color rgb="FF000000"/>
      <name val="Calibri"/>
      <family val="2"/>
      <scheme val="minor"/>
    </font>
    <font>
      <b/>
      <u/>
      <sz val="11"/>
      <color rgb="FF000000"/>
      <name val="Calibri"/>
      <family val="2"/>
      <scheme val="minor"/>
    </font>
    <font>
      <b/>
      <sz val="22"/>
      <name val="Calibri"/>
      <family val="2"/>
      <scheme val="minor"/>
    </font>
    <font>
      <b/>
      <u/>
      <sz val="11"/>
      <name val="Calibri"/>
      <family val="2"/>
      <scheme val="minor"/>
    </font>
    <font>
      <b/>
      <u/>
      <sz val="12"/>
      <name val="Arial"/>
      <family val="2"/>
    </font>
    <font>
      <sz val="11"/>
      <name val="Times New Roman"/>
      <family val="1"/>
    </font>
  </fonts>
  <fills count="7">
    <fill>
      <patternFill patternType="none"/>
    </fill>
    <fill>
      <patternFill patternType="gray125"/>
    </fill>
    <fill>
      <patternFill patternType="solid">
        <fgColor indexed="43"/>
        <bgColor indexed="64"/>
      </patternFill>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theme="9"/>
        <bgColor indexed="64"/>
      </patternFill>
    </fill>
  </fills>
  <borders count="6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top/>
      <bottom style="thin">
        <color indexed="64"/>
      </bottom>
      <diagonal/>
    </border>
    <border>
      <left style="medium">
        <color indexed="64"/>
      </left>
      <right/>
      <top style="medium">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top style="medium">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diagonal/>
    </border>
    <border>
      <left/>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8"/>
      </left>
      <right/>
      <top style="medium">
        <color indexed="64"/>
      </top>
      <bottom style="thin">
        <color indexed="64"/>
      </bottom>
      <diagonal/>
    </border>
    <border>
      <left/>
      <right style="medium">
        <color indexed="8"/>
      </right>
      <top style="medium">
        <color indexed="64"/>
      </top>
      <bottom style="thin">
        <color indexed="64"/>
      </bottom>
      <diagonal/>
    </border>
    <border>
      <left/>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diagonal/>
    </border>
    <border>
      <left style="thin">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medium">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bottom style="medium">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thin">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theme="2" tint="-0.499984740745262"/>
      </left>
      <right style="medium">
        <color indexed="64"/>
      </right>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right/>
      <top style="thin">
        <color theme="5"/>
      </top>
      <bottom style="thin">
        <color theme="5"/>
      </bottom>
      <diagonal/>
    </border>
    <border>
      <left/>
      <right style="thin">
        <color theme="5"/>
      </right>
      <top style="thin">
        <color theme="5"/>
      </top>
      <bottom style="thin">
        <color theme="5"/>
      </bottom>
      <diagonal/>
    </border>
  </borders>
  <cellStyleXfs count="14">
    <xf numFmtId="0" fontId="0" fillId="0" borderId="0"/>
    <xf numFmtId="0" fontId="17" fillId="0" borderId="0"/>
    <xf numFmtId="0" fontId="6" fillId="0" borderId="0"/>
    <xf numFmtId="0" fontId="5" fillId="0" borderId="0"/>
    <xf numFmtId="0" fontId="16" fillId="0" borderId="0"/>
    <xf numFmtId="0" fontId="16" fillId="0" borderId="0"/>
    <xf numFmtId="0" fontId="4" fillId="0" borderId="0"/>
    <xf numFmtId="0" fontId="3" fillId="0" borderId="0"/>
    <xf numFmtId="0" fontId="28" fillId="0" borderId="0" applyNumberFormat="0" applyFill="0" applyBorder="0" applyAlignment="0" applyProtection="0"/>
    <xf numFmtId="0" fontId="16" fillId="0" borderId="0"/>
    <xf numFmtId="0" fontId="30" fillId="0" borderId="0"/>
    <xf numFmtId="0" fontId="2" fillId="0" borderId="0"/>
    <xf numFmtId="0" fontId="2" fillId="0" borderId="0"/>
    <xf numFmtId="0" fontId="2" fillId="0" borderId="0"/>
  </cellStyleXfs>
  <cellXfs count="267">
    <xf numFmtId="0" fontId="0" fillId="0" borderId="0" xfId="0"/>
    <xf numFmtId="0" fontId="6" fillId="0" borderId="0" xfId="2"/>
    <xf numFmtId="0" fontId="6" fillId="0" borderId="0" xfId="2" applyAlignment="1">
      <alignment horizontal="center"/>
    </xf>
    <xf numFmtId="0" fontId="8" fillId="0" borderId="0" xfId="2" applyFont="1"/>
    <xf numFmtId="0" fontId="10" fillId="0" borderId="0" xfId="2" applyFont="1"/>
    <xf numFmtId="0" fontId="12" fillId="0" borderId="0" xfId="2" applyFont="1"/>
    <xf numFmtId="0" fontId="12" fillId="0" borderId="0" xfId="2" applyFont="1" applyAlignment="1">
      <alignment horizontal="left"/>
    </xf>
    <xf numFmtId="0" fontId="10" fillId="0" borderId="0" xfId="2" applyFont="1" applyAlignment="1">
      <alignment horizontal="left"/>
    </xf>
    <xf numFmtId="0" fontId="8" fillId="0" borderId="0" xfId="2" applyFont="1" applyAlignment="1">
      <alignment horizontal="left"/>
    </xf>
    <xf numFmtId="164" fontId="6" fillId="0" borderId="0" xfId="2" applyNumberFormat="1"/>
    <xf numFmtId="0" fontId="6" fillId="0" borderId="0" xfId="2" applyAlignment="1">
      <alignment horizontal="left"/>
    </xf>
    <xf numFmtId="0" fontId="6" fillId="0" borderId="0" xfId="2" applyAlignment="1">
      <alignment vertical="center"/>
    </xf>
    <xf numFmtId="0" fontId="6" fillId="0" borderId="0" xfId="2" applyAlignment="1">
      <alignment vertical="center" wrapText="1"/>
    </xf>
    <xf numFmtId="0" fontId="6" fillId="0" borderId="0" xfId="2" applyAlignment="1">
      <alignment horizontal="center" vertical="center"/>
    </xf>
    <xf numFmtId="0" fontId="12" fillId="0" borderId="0" xfId="5" applyFont="1"/>
    <xf numFmtId="0" fontId="16" fillId="0" borderId="0" xfId="5"/>
    <xf numFmtId="0" fontId="22" fillId="0" borderId="0" xfId="5" applyFont="1"/>
    <xf numFmtId="0" fontId="15" fillId="0" borderId="0" xfId="5" applyFont="1" applyAlignment="1">
      <alignment horizontal="center"/>
    </xf>
    <xf numFmtId="14" fontId="16" fillId="0" borderId="0" xfId="5" applyNumberFormat="1"/>
    <xf numFmtId="0" fontId="7" fillId="0" borderId="0" xfId="5" applyFont="1"/>
    <xf numFmtId="0" fontId="6" fillId="0" borderId="0" xfId="5" applyFont="1"/>
    <xf numFmtId="0" fontId="6" fillId="0" borderId="0" xfId="5" applyFont="1" applyAlignment="1">
      <alignment horizontal="center"/>
    </xf>
    <xf numFmtId="0" fontId="13" fillId="0" borderId="0" xfId="5" applyFont="1" applyAlignment="1">
      <alignment horizontal="left"/>
    </xf>
    <xf numFmtId="0" fontId="9" fillId="0" borderId="3" xfId="5" applyFont="1" applyBorder="1" applyAlignment="1">
      <alignment horizontal="center" vertical="center" wrapText="1"/>
    </xf>
    <xf numFmtId="0" fontId="9" fillId="0" borderId="4" xfId="5" applyFont="1" applyBorder="1" applyAlignment="1">
      <alignment horizontal="center" vertical="center" wrapText="1"/>
    </xf>
    <xf numFmtId="0" fontId="9" fillId="0" borderId="2" xfId="5" applyFont="1" applyBorder="1" applyAlignment="1">
      <alignment horizontal="center" vertical="center" wrapText="1"/>
    </xf>
    <xf numFmtId="2" fontId="23" fillId="0" borderId="5" xfId="5" applyNumberFormat="1" applyFont="1" applyBorder="1" applyAlignment="1">
      <alignment horizontal="center" vertical="center" wrapText="1"/>
    </xf>
    <xf numFmtId="2" fontId="23" fillId="0" borderId="11" xfId="5" applyNumberFormat="1" applyFont="1" applyBorder="1" applyAlignment="1">
      <alignment horizontal="center" vertical="center" wrapText="1"/>
    </xf>
    <xf numFmtId="2" fontId="23" fillId="0" borderId="6" xfId="5" applyNumberFormat="1" applyFont="1" applyBorder="1" applyAlignment="1">
      <alignment horizontal="center" vertical="center" wrapText="1"/>
    </xf>
    <xf numFmtId="2" fontId="23" fillId="0" borderId="12" xfId="5" applyNumberFormat="1" applyFont="1" applyBorder="1" applyAlignment="1">
      <alignment horizontal="center" vertical="center" wrapText="1"/>
    </xf>
    <xf numFmtId="2" fontId="23" fillId="0" borderId="3" xfId="5" applyNumberFormat="1" applyFont="1" applyBorder="1" applyAlignment="1">
      <alignment horizontal="center" vertical="center" wrapText="1"/>
    </xf>
    <xf numFmtId="2" fontId="23" fillId="0" borderId="22" xfId="5" applyNumberFormat="1" applyFont="1" applyBorder="1" applyAlignment="1">
      <alignment horizontal="center" vertical="center" wrapText="1"/>
    </xf>
    <xf numFmtId="0" fontId="16" fillId="0" borderId="0" xfId="5" applyAlignment="1">
      <alignment horizontal="center"/>
    </xf>
    <xf numFmtId="0" fontId="20" fillId="0" borderId="0" xfId="5" applyFont="1"/>
    <xf numFmtId="0" fontId="15" fillId="0" borderId="0" xfId="0" applyFont="1" applyAlignment="1">
      <alignment horizontal="center"/>
    </xf>
    <xf numFmtId="0" fontId="0" fillId="0" borderId="0" xfId="0"/>
    <xf numFmtId="0" fontId="12" fillId="0" borderId="0" xfId="2" applyFont="1" applyAlignment="1">
      <alignment horizontal="left"/>
    </xf>
    <xf numFmtId="0" fontId="12" fillId="0" borderId="0" xfId="0" applyFont="1" applyAlignment="1">
      <alignment horizontal="left"/>
    </xf>
    <xf numFmtId="0" fontId="23" fillId="0" borderId="13" xfId="0" applyFont="1" applyBorder="1" applyAlignment="1">
      <alignment horizontal="center" vertical="center" wrapText="1"/>
    </xf>
    <xf numFmtId="0" fontId="23" fillId="0" borderId="13" xfId="0" applyFont="1" applyBorder="1" applyAlignment="1">
      <alignment horizontal="center" vertical="center"/>
    </xf>
    <xf numFmtId="0" fontId="23" fillId="0" borderId="11" xfId="0" applyFont="1" applyBorder="1" applyAlignment="1">
      <alignment horizontal="center" vertical="center"/>
    </xf>
    <xf numFmtId="0" fontId="23" fillId="0" borderId="0" xfId="0" applyFont="1"/>
    <xf numFmtId="0" fontId="23" fillId="0" borderId="1" xfId="0" applyFont="1" applyBorder="1" applyAlignment="1">
      <alignment horizontal="center" vertical="center" wrapText="1"/>
    </xf>
    <xf numFmtId="0" fontId="23" fillId="0" borderId="1" xfId="0" applyFont="1" applyBorder="1" applyAlignment="1">
      <alignment horizontal="center" vertical="center"/>
    </xf>
    <xf numFmtId="0" fontId="23" fillId="0" borderId="12" xfId="0" applyFont="1" applyBorder="1" applyAlignment="1">
      <alignment horizontal="center" vertical="center"/>
    </xf>
    <xf numFmtId="0" fontId="23" fillId="0" borderId="21" xfId="0" applyFont="1" applyBorder="1" applyAlignment="1">
      <alignment horizontal="center" vertical="center" wrapText="1"/>
    </xf>
    <xf numFmtId="0" fontId="23" fillId="0" borderId="21" xfId="0" applyFont="1" applyBorder="1" applyAlignment="1">
      <alignment horizontal="center" vertical="center"/>
    </xf>
    <xf numFmtId="0" fontId="23" fillId="0" borderId="22" xfId="0" applyFont="1" applyBorder="1" applyAlignment="1">
      <alignment horizontal="center" vertical="center"/>
    </xf>
    <xf numFmtId="0" fontId="23" fillId="0" borderId="53" xfId="0" applyFont="1" applyBorder="1" applyAlignment="1">
      <alignment horizontal="center" vertical="center" wrapText="1"/>
    </xf>
    <xf numFmtId="0" fontId="23" fillId="0" borderId="53" xfId="0" applyFont="1" applyBorder="1" applyAlignment="1">
      <alignment horizontal="center" vertical="center"/>
    </xf>
    <xf numFmtId="0" fontId="23" fillId="0" borderId="40" xfId="0" applyFont="1" applyBorder="1" applyAlignment="1">
      <alignment horizontal="center" vertical="center"/>
    </xf>
    <xf numFmtId="0" fontId="23" fillId="0" borderId="56" xfId="0" applyFont="1" applyBorder="1" applyAlignment="1">
      <alignment horizontal="center" vertical="center" wrapText="1"/>
    </xf>
    <xf numFmtId="0" fontId="23" fillId="0" borderId="56" xfId="0" applyFont="1" applyBorder="1" applyAlignment="1">
      <alignment horizontal="center" vertical="center"/>
    </xf>
    <xf numFmtId="0" fontId="23" fillId="0" borderId="36" xfId="0" applyFont="1" applyBorder="1" applyAlignment="1">
      <alignment horizontal="center" vertical="center"/>
    </xf>
    <xf numFmtId="0" fontId="23" fillId="0" borderId="57" xfId="0" applyFont="1" applyBorder="1" applyAlignment="1">
      <alignment horizontal="center" vertical="center"/>
    </xf>
    <xf numFmtId="0" fontId="11" fillId="0" borderId="41" xfId="0" applyFont="1" applyBorder="1" applyAlignment="1">
      <alignment horizontal="center" vertical="center" wrapText="1"/>
    </xf>
    <xf numFmtId="0" fontId="11" fillId="0" borderId="58" xfId="0" applyFont="1" applyBorder="1" applyAlignment="1">
      <alignment horizontal="center" vertical="center" wrapText="1"/>
    </xf>
    <xf numFmtId="0" fontId="11" fillId="0" borderId="42" xfId="0" applyFont="1" applyBorder="1" applyAlignment="1">
      <alignment horizontal="center" vertical="center" wrapText="1"/>
    </xf>
    <xf numFmtId="49" fontId="27" fillId="5" borderId="1" xfId="7" applyNumberFormat="1" applyFont="1" applyFill="1" applyBorder="1" applyAlignment="1">
      <alignment horizontal="center" vertical="center" wrapText="1"/>
    </xf>
    <xf numFmtId="0" fontId="27" fillId="5" borderId="1" xfId="7" applyNumberFormat="1" applyFont="1" applyFill="1" applyBorder="1" applyAlignment="1">
      <alignment horizontal="center" vertical="center" wrapText="1"/>
    </xf>
    <xf numFmtId="165" fontId="27" fillId="5" borderId="1" xfId="7" applyNumberFormat="1" applyFont="1" applyFill="1" applyBorder="1" applyAlignment="1">
      <alignment horizontal="center" vertical="center" wrapText="1"/>
    </xf>
    <xf numFmtId="0" fontId="29" fillId="3" borderId="1" xfId="7" applyFont="1" applyFill="1" applyBorder="1" applyAlignment="1">
      <alignment horizontal="center" vertical="center"/>
    </xf>
    <xf numFmtId="0" fontId="29" fillId="3" borderId="1" xfId="7" applyFont="1" applyFill="1" applyBorder="1" applyAlignment="1">
      <alignment horizontal="center"/>
    </xf>
    <xf numFmtId="165" fontId="29" fillId="3" borderId="1" xfId="7" applyNumberFormat="1" applyFont="1" applyFill="1" applyBorder="1" applyAlignment="1">
      <alignment horizontal="center" vertical="center"/>
    </xf>
    <xf numFmtId="0" fontId="31" fillId="6" borderId="59" xfId="0" applyFont="1" applyFill="1" applyBorder="1" applyAlignment="1">
      <alignment horizontal="center" vertical="center"/>
    </xf>
    <xf numFmtId="0" fontId="32" fillId="0" borderId="0" xfId="0" applyFont="1"/>
    <xf numFmtId="0" fontId="33" fillId="6" borderId="60" xfId="0" applyFont="1" applyFill="1" applyBorder="1" applyAlignment="1">
      <alignment horizontal="center" vertical="center"/>
    </xf>
    <xf numFmtId="0" fontId="35" fillId="0" borderId="45" xfId="4" applyFont="1" applyBorder="1" applyAlignment="1">
      <alignment horizontal="center" vertical="center"/>
    </xf>
    <xf numFmtId="0" fontId="36" fillId="6" borderId="59" xfId="0" applyFont="1" applyFill="1" applyBorder="1" applyAlignment="1">
      <alignment horizontal="center" vertical="center"/>
    </xf>
    <xf numFmtId="0" fontId="36" fillId="6" borderId="62" xfId="0" applyFont="1" applyFill="1" applyBorder="1" applyAlignment="1">
      <alignment horizontal="center" vertical="center"/>
    </xf>
    <xf numFmtId="0" fontId="36" fillId="6" borderId="64" xfId="0" applyFont="1" applyFill="1" applyBorder="1" applyAlignment="1">
      <alignment horizontal="center" vertical="center"/>
    </xf>
    <xf numFmtId="0" fontId="37" fillId="6" borderId="45" xfId="0" applyFont="1" applyFill="1" applyBorder="1" applyAlignment="1">
      <alignment horizontal="center" vertical="center"/>
    </xf>
    <xf numFmtId="0" fontId="38" fillId="0" borderId="45" xfId="0" applyFont="1" applyBorder="1" applyAlignment="1">
      <alignment horizontal="center" vertical="center"/>
    </xf>
    <xf numFmtId="0" fontId="35" fillId="0" borderId="45" xfId="0" applyFont="1" applyBorder="1" applyAlignment="1">
      <alignment horizontal="center" vertical="center"/>
    </xf>
    <xf numFmtId="0" fontId="39" fillId="0" borderId="45" xfId="0" applyFont="1" applyBorder="1" applyAlignment="1">
      <alignment horizontal="center" vertical="center"/>
    </xf>
    <xf numFmtId="0" fontId="35" fillId="0" borderId="60" xfId="0" applyFont="1" applyBorder="1" applyAlignment="1">
      <alignment horizontal="center" vertical="center"/>
    </xf>
    <xf numFmtId="0" fontId="41" fillId="0" borderId="0" xfId="0" applyFont="1"/>
    <xf numFmtId="0" fontId="23" fillId="0" borderId="59" xfId="0" applyFont="1" applyBorder="1"/>
    <xf numFmtId="0" fontId="23" fillId="0" borderId="62" xfId="0" applyFont="1" applyBorder="1" applyAlignment="1">
      <alignment horizontal="center" vertical="center"/>
    </xf>
    <xf numFmtId="0" fontId="23" fillId="0" borderId="59" xfId="0" applyFont="1" applyBorder="1" applyAlignment="1">
      <alignment wrapText="1"/>
    </xf>
    <xf numFmtId="0" fontId="42" fillId="0" borderId="0" xfId="0" applyFont="1"/>
    <xf numFmtId="0" fontId="31" fillId="6" borderId="59" xfId="5" applyFont="1" applyFill="1" applyBorder="1" applyAlignment="1">
      <alignment horizontal="center" vertical="center"/>
    </xf>
    <xf numFmtId="0" fontId="33" fillId="6" borderId="60" xfId="5" applyFont="1" applyFill="1" applyBorder="1" applyAlignment="1">
      <alignment horizontal="center" vertical="center"/>
    </xf>
    <xf numFmtId="0" fontId="35" fillId="0" borderId="45" xfId="5" applyFont="1" applyBorder="1" applyAlignment="1">
      <alignment horizontal="center" vertical="center"/>
    </xf>
    <xf numFmtId="0" fontId="35" fillId="0" borderId="60" xfId="5" applyFont="1" applyBorder="1" applyAlignment="1">
      <alignment horizontal="center" vertical="center"/>
    </xf>
    <xf numFmtId="0" fontId="35" fillId="0" borderId="59" xfId="5" applyFont="1" applyBorder="1" applyAlignment="1">
      <alignment horizontal="center" vertical="center"/>
    </xf>
    <xf numFmtId="0" fontId="41" fillId="0" borderId="0" xfId="5" applyFont="1"/>
    <xf numFmtId="0" fontId="23" fillId="0" borderId="59" xfId="5" applyFont="1" applyBorder="1"/>
    <xf numFmtId="0" fontId="23" fillId="0" borderId="62" xfId="5" applyFont="1" applyBorder="1" applyAlignment="1">
      <alignment horizontal="center" vertical="center"/>
    </xf>
    <xf numFmtId="0" fontId="23" fillId="0" borderId="59" xfId="5" applyFont="1" applyBorder="1" applyAlignment="1">
      <alignment wrapText="1"/>
    </xf>
    <xf numFmtId="0" fontId="23" fillId="0" borderId="5" xfId="0" applyFont="1" applyBorder="1" applyAlignment="1">
      <alignment horizontal="center" vertical="center"/>
    </xf>
    <xf numFmtId="0" fontId="23" fillId="0" borderId="6" xfId="0" applyFont="1" applyBorder="1" applyAlignment="1">
      <alignment horizontal="center" vertical="center"/>
    </xf>
    <xf numFmtId="0" fontId="23" fillId="0" borderId="3" xfId="0" applyFont="1" applyBorder="1" applyAlignment="1">
      <alignment horizontal="center" vertical="center"/>
    </xf>
    <xf numFmtId="0" fontId="23" fillId="0" borderId="55" xfId="0" applyFont="1" applyBorder="1" applyAlignment="1">
      <alignment horizontal="center" vertical="center"/>
    </xf>
    <xf numFmtId="0" fontId="23" fillId="0" borderId="37" xfId="0" applyFont="1" applyBorder="1" applyAlignment="1">
      <alignment horizontal="center" vertical="center"/>
    </xf>
    <xf numFmtId="0" fontId="23" fillId="0" borderId="54" xfId="0" applyFont="1" applyBorder="1" applyAlignment="1">
      <alignment horizontal="center" vertical="center"/>
    </xf>
    <xf numFmtId="0" fontId="12" fillId="0" borderId="6" xfId="5" applyFont="1" applyBorder="1" applyAlignment="1">
      <alignment horizontal="left"/>
    </xf>
    <xf numFmtId="0" fontId="12" fillId="0" borderId="1" xfId="5" applyFont="1" applyBorder="1" applyAlignment="1">
      <alignment horizontal="left"/>
    </xf>
    <xf numFmtId="0" fontId="6" fillId="0" borderId="1" xfId="5" applyFont="1" applyBorder="1" applyAlignment="1">
      <alignment horizontal="center" vertical="center"/>
    </xf>
    <xf numFmtId="0" fontId="6" fillId="0" borderId="12" xfId="5" applyFont="1" applyBorder="1" applyAlignment="1">
      <alignment horizontal="center" vertical="center"/>
    </xf>
    <xf numFmtId="0" fontId="19" fillId="0" borderId="18" xfId="5" applyFont="1" applyBorder="1" applyAlignment="1">
      <alignment horizontal="center"/>
    </xf>
    <xf numFmtId="0" fontId="19" fillId="0" borderId="1" xfId="5" applyFont="1" applyBorder="1" applyAlignment="1">
      <alignment horizontal="center"/>
    </xf>
    <xf numFmtId="0" fontId="19" fillId="0" borderId="12" xfId="5" applyFont="1" applyBorder="1" applyAlignment="1">
      <alignment horizontal="center"/>
    </xf>
    <xf numFmtId="0" fontId="12" fillId="0" borderId="3" xfId="5" applyFont="1" applyBorder="1" applyAlignment="1">
      <alignment horizontal="left"/>
    </xf>
    <xf numFmtId="0" fontId="12" fillId="0" borderId="21" xfId="5" applyFont="1" applyBorder="1" applyAlignment="1">
      <alignment horizontal="left"/>
    </xf>
    <xf numFmtId="0" fontId="6" fillId="0" borderId="21" xfId="5" applyFont="1" applyBorder="1" applyAlignment="1">
      <alignment horizontal="center" vertical="center"/>
    </xf>
    <xf numFmtId="0" fontId="6" fillId="0" borderId="22" xfId="5" applyFont="1" applyBorder="1" applyAlignment="1">
      <alignment horizontal="center" vertical="center"/>
    </xf>
    <xf numFmtId="0" fontId="19" fillId="0" borderId="2" xfId="5" applyFont="1" applyBorder="1" applyAlignment="1">
      <alignment horizontal="center"/>
    </xf>
    <xf numFmtId="0" fontId="19" fillId="0" borderId="21" xfId="5" applyFont="1" applyBorder="1" applyAlignment="1">
      <alignment horizontal="center"/>
    </xf>
    <xf numFmtId="0" fontId="19" fillId="0" borderId="22" xfId="5" applyFont="1" applyBorder="1" applyAlignment="1">
      <alignment horizontal="center"/>
    </xf>
    <xf numFmtId="0" fontId="19" fillId="0" borderId="27" xfId="5" applyFont="1" applyBorder="1" applyAlignment="1">
      <alignment horizontal="center"/>
    </xf>
    <xf numFmtId="0" fontId="19" fillId="0" borderId="16" xfId="5" applyFont="1" applyBorder="1" applyAlignment="1">
      <alignment horizontal="center"/>
    </xf>
    <xf numFmtId="0" fontId="19" fillId="0" borderId="8" xfId="5" applyFont="1" applyBorder="1" applyAlignment="1">
      <alignment horizontal="center"/>
    </xf>
    <xf numFmtId="0" fontId="11" fillId="0" borderId="10" xfId="5" applyFont="1" applyBorder="1" applyAlignment="1">
      <alignment horizontal="center" vertical="center" shrinkToFit="1"/>
    </xf>
    <xf numFmtId="0" fontId="11" fillId="0" borderId="34" xfId="5" applyFont="1" applyBorder="1" applyAlignment="1">
      <alignment horizontal="center" vertical="center" shrinkToFit="1"/>
    </xf>
    <xf numFmtId="0" fontId="23" fillId="0" borderId="41" xfId="5" applyFont="1" applyBorder="1" applyAlignment="1">
      <alignment horizontal="center"/>
    </xf>
    <xf numFmtId="0" fontId="23" fillId="0" borderId="42" xfId="5" applyFont="1" applyBorder="1" applyAlignment="1">
      <alignment horizontal="center"/>
    </xf>
    <xf numFmtId="0" fontId="12" fillId="3" borderId="39" xfId="5" applyFont="1" applyFill="1" applyBorder="1" applyAlignment="1">
      <alignment horizontal="left"/>
    </xf>
    <xf numFmtId="0" fontId="12" fillId="3" borderId="36" xfId="5" applyFont="1" applyFill="1" applyBorder="1" applyAlignment="1">
      <alignment horizontal="left"/>
    </xf>
    <xf numFmtId="0" fontId="12" fillId="3" borderId="47" xfId="5" applyFont="1" applyFill="1" applyBorder="1" applyAlignment="1">
      <alignment horizontal="center" vertical="center"/>
    </xf>
    <xf numFmtId="0" fontId="12" fillId="3" borderId="9" xfId="5" applyFont="1" applyFill="1" applyBorder="1" applyAlignment="1">
      <alignment horizontal="center" vertical="center"/>
    </xf>
    <xf numFmtId="0" fontId="12" fillId="3" borderId="26" xfId="5" applyFont="1" applyFill="1" applyBorder="1" applyAlignment="1">
      <alignment horizontal="center" vertical="center"/>
    </xf>
    <xf numFmtId="0" fontId="18" fillId="3" borderId="30" xfId="5" applyFont="1" applyFill="1" applyBorder="1" applyAlignment="1">
      <alignment horizontal="center"/>
    </xf>
    <xf numFmtId="0" fontId="18" fillId="3" borderId="31" xfId="5" applyFont="1" applyFill="1" applyBorder="1" applyAlignment="1">
      <alignment horizontal="center"/>
    </xf>
    <xf numFmtId="0" fontId="18" fillId="3" borderId="7" xfId="5" applyFont="1" applyFill="1" applyBorder="1" applyAlignment="1">
      <alignment horizontal="center"/>
    </xf>
    <xf numFmtId="0" fontId="11" fillId="0" borderId="23" xfId="5" applyFont="1" applyBorder="1" applyAlignment="1">
      <alignment horizontal="center" vertical="center" shrinkToFit="1"/>
    </xf>
    <xf numFmtId="0" fontId="11" fillId="0" borderId="24" xfId="5" applyFont="1" applyBorder="1" applyAlignment="1">
      <alignment horizontal="center" vertical="center" shrinkToFit="1"/>
    </xf>
    <xf numFmtId="0" fontId="23" fillId="0" borderId="37" xfId="5" applyFont="1" applyBorder="1" applyAlignment="1">
      <alignment horizontal="center"/>
    </xf>
    <xf numFmtId="0" fontId="23" fillId="0" borderId="40" xfId="5" applyFont="1" applyBorder="1" applyAlignment="1">
      <alignment horizontal="center"/>
    </xf>
    <xf numFmtId="0" fontId="11" fillId="0" borderId="27" xfId="5" applyFont="1" applyBorder="1" applyAlignment="1">
      <alignment horizontal="center" vertical="center" shrinkToFit="1"/>
    </xf>
    <xf numFmtId="0" fontId="11" fillId="0" borderId="16" xfId="5" applyFont="1" applyBorder="1" applyAlignment="1">
      <alignment horizontal="center" vertical="center" shrinkToFit="1"/>
    </xf>
    <xf numFmtId="0" fontId="23" fillId="0" borderId="6" xfId="5" applyFont="1" applyBorder="1" applyAlignment="1">
      <alignment horizontal="center"/>
    </xf>
    <xf numFmtId="0" fontId="23" fillId="0" borderId="12" xfId="5" applyFont="1" applyBorder="1" applyAlignment="1">
      <alignment horizontal="center"/>
    </xf>
    <xf numFmtId="0" fontId="11" fillId="0" borderId="30" xfId="5" applyFont="1" applyBorder="1" applyAlignment="1">
      <alignment horizontal="center" vertical="center" shrinkToFit="1"/>
    </xf>
    <xf numFmtId="0" fontId="11" fillId="0" borderId="31" xfId="5" applyFont="1" applyBorder="1" applyAlignment="1">
      <alignment horizontal="center" vertical="center" shrinkToFit="1"/>
    </xf>
    <xf numFmtId="0" fontId="23" fillId="0" borderId="39" xfId="5" applyFont="1" applyBorder="1" applyAlignment="1">
      <alignment horizontal="center"/>
    </xf>
    <xf numFmtId="0" fontId="23" fillId="0" borderId="46" xfId="5" applyFont="1" applyBorder="1" applyAlignment="1">
      <alignment horizontal="center"/>
    </xf>
    <xf numFmtId="0" fontId="11" fillId="0" borderId="25" xfId="5" applyFont="1" applyBorder="1" applyAlignment="1">
      <alignment horizontal="center" vertical="center" shrinkToFit="1"/>
    </xf>
    <xf numFmtId="0" fontId="11" fillId="0" borderId="9" xfId="5" applyFont="1" applyBorder="1" applyAlignment="1">
      <alignment horizontal="center" vertical="center" shrinkToFit="1"/>
    </xf>
    <xf numFmtId="0" fontId="11" fillId="0" borderId="43" xfId="5" applyFont="1" applyBorder="1" applyAlignment="1">
      <alignment horizontal="center" vertical="center" shrinkToFit="1"/>
    </xf>
    <xf numFmtId="0" fontId="11" fillId="0" borderId="44" xfId="5" applyFont="1" applyBorder="1" applyAlignment="1">
      <alignment horizontal="center" vertical="center" shrinkToFit="1"/>
    </xf>
    <xf numFmtId="0" fontId="11" fillId="0" borderId="45" xfId="5" applyFont="1" applyBorder="1" applyAlignment="1">
      <alignment horizontal="center" vertical="center" shrinkToFit="1"/>
    </xf>
    <xf numFmtId="0" fontId="11" fillId="0" borderId="14" xfId="5" applyFont="1" applyBorder="1" applyAlignment="1">
      <alignment horizontal="center" vertical="center" shrinkToFit="1"/>
    </xf>
    <xf numFmtId="0" fontId="11" fillId="0" borderId="19" xfId="5" applyFont="1" applyBorder="1" applyAlignment="1">
      <alignment horizontal="center" vertical="center" shrinkToFit="1"/>
    </xf>
    <xf numFmtId="0" fontId="11" fillId="0" borderId="14" xfId="5" applyFont="1" applyBorder="1" applyAlignment="1">
      <alignment horizontal="center" vertical="center"/>
    </xf>
    <xf numFmtId="0" fontId="11" fillId="0" borderId="20" xfId="5" applyFont="1" applyBorder="1" applyAlignment="1">
      <alignment horizontal="center" vertical="center"/>
    </xf>
    <xf numFmtId="0" fontId="11" fillId="0" borderId="43" xfId="5" applyFont="1" applyBorder="1" applyAlignment="1">
      <alignment horizontal="center" vertical="center"/>
    </xf>
    <xf numFmtId="0" fontId="11" fillId="0" borderId="45" xfId="5" applyFont="1" applyBorder="1" applyAlignment="1">
      <alignment horizontal="center" vertical="center"/>
    </xf>
    <xf numFmtId="0" fontId="12" fillId="0" borderId="5" xfId="5" applyFont="1" applyBorder="1" applyAlignment="1">
      <alignment horizontal="left"/>
    </xf>
    <xf numFmtId="0" fontId="12" fillId="0" borderId="13" xfId="5" applyFont="1" applyBorder="1" applyAlignment="1">
      <alignment horizontal="left"/>
    </xf>
    <xf numFmtId="0" fontId="6" fillId="0" borderId="13" xfId="5" applyFont="1" applyBorder="1" applyAlignment="1">
      <alignment horizontal="center" vertical="center"/>
    </xf>
    <xf numFmtId="0" fontId="6" fillId="0" borderId="11" xfId="5" applyFont="1" applyBorder="1" applyAlignment="1">
      <alignment horizontal="center" vertical="center"/>
    </xf>
    <xf numFmtId="0" fontId="11" fillId="0" borderId="28" xfId="5" applyFont="1" applyBorder="1" applyAlignment="1">
      <alignment horizontal="center" vertical="center" shrinkToFit="1"/>
    </xf>
    <xf numFmtId="0" fontId="11" fillId="0" borderId="29" xfId="5" applyFont="1" applyBorder="1" applyAlignment="1">
      <alignment horizontal="center" vertical="center" shrinkToFit="1"/>
    </xf>
    <xf numFmtId="0" fontId="11" fillId="0" borderId="8" xfId="5" applyFont="1" applyBorder="1" applyAlignment="1">
      <alignment horizontal="center" vertical="center" shrinkToFit="1"/>
    </xf>
    <xf numFmtId="0" fontId="11" fillId="0" borderId="26" xfId="5" applyFont="1" applyBorder="1" applyAlignment="1">
      <alignment horizontal="center" vertical="center" shrinkToFit="1"/>
    </xf>
    <xf numFmtId="0" fontId="11" fillId="0" borderId="7" xfId="5" applyFont="1" applyBorder="1" applyAlignment="1">
      <alignment horizontal="center" vertical="center" shrinkToFit="1"/>
    </xf>
    <xf numFmtId="0" fontId="9" fillId="0" borderId="32" xfId="5" applyFont="1" applyBorder="1" applyAlignment="1">
      <alignment horizontal="center" vertical="center"/>
    </xf>
    <xf numFmtId="0" fontId="9" fillId="0" borderId="33" xfId="5" applyFont="1" applyBorder="1" applyAlignment="1">
      <alignment horizontal="center" vertical="center"/>
    </xf>
    <xf numFmtId="0" fontId="11" fillId="0" borderId="4" xfId="5" applyFont="1" applyBorder="1" applyAlignment="1">
      <alignment horizontal="center" vertical="center" shrinkToFit="1"/>
    </xf>
    <xf numFmtId="0" fontId="6" fillId="0" borderId="15" xfId="2" applyBorder="1" applyAlignment="1">
      <alignment horizontal="center" vertical="center"/>
    </xf>
    <xf numFmtId="0" fontId="6" fillId="0" borderId="16" xfId="2" applyBorder="1" applyAlignment="1">
      <alignment horizontal="center" vertical="center"/>
    </xf>
    <xf numFmtId="0" fontId="6" fillId="0" borderId="18" xfId="2" applyBorder="1" applyAlignment="1">
      <alignment horizontal="center" vertical="center"/>
    </xf>
    <xf numFmtId="0" fontId="11" fillId="0" borderId="20" xfId="5" applyFont="1" applyBorder="1" applyAlignment="1">
      <alignment horizontal="center" vertical="center" shrinkToFit="1"/>
    </xf>
    <xf numFmtId="0" fontId="9" fillId="0" borderId="30" xfId="5" applyFont="1" applyBorder="1" applyAlignment="1">
      <alignment horizontal="center" vertical="center"/>
    </xf>
    <xf numFmtId="0" fontId="9" fillId="0" borderId="7" xfId="5" applyFont="1" applyBorder="1" applyAlignment="1">
      <alignment horizontal="center" vertical="center"/>
    </xf>
    <xf numFmtId="0" fontId="6" fillId="0" borderId="15" xfId="2" applyBorder="1" applyAlignment="1">
      <alignment horizontal="center"/>
    </xf>
    <xf numFmtId="0" fontId="6" fillId="0" borderId="16" xfId="2" applyBorder="1" applyAlignment="1">
      <alignment horizontal="center"/>
    </xf>
    <xf numFmtId="0" fontId="6" fillId="0" borderId="18" xfId="2" applyBorder="1" applyAlignment="1">
      <alignment horizontal="center"/>
    </xf>
    <xf numFmtId="18" fontId="7" fillId="4" borderId="1" xfId="2" applyNumberFormat="1" applyFont="1" applyFill="1" applyBorder="1" applyAlignment="1">
      <alignment horizontal="center" vertical="center"/>
    </xf>
    <xf numFmtId="0" fontId="21" fillId="0" borderId="48" xfId="2" applyFont="1" applyBorder="1" applyAlignment="1">
      <alignment horizontal="center" vertical="center" wrapText="1"/>
    </xf>
    <xf numFmtId="0" fontId="21" fillId="0" borderId="24" xfId="2" applyFont="1" applyBorder="1" applyAlignment="1">
      <alignment horizontal="center" vertical="center" wrapText="1"/>
    </xf>
    <xf numFmtId="0" fontId="21" fillId="0" borderId="49" xfId="2" applyFont="1" applyBorder="1" applyAlignment="1">
      <alignment horizontal="center" vertical="center" wrapText="1"/>
    </xf>
    <xf numFmtId="0" fontId="21" fillId="0" borderId="50" xfId="2" applyFont="1" applyBorder="1" applyAlignment="1">
      <alignment horizontal="center" vertical="center" wrapText="1"/>
    </xf>
    <xf numFmtId="0" fontId="21" fillId="0" borderId="0" xfId="2" applyFont="1" applyAlignment="1">
      <alignment horizontal="center" vertical="center" wrapText="1"/>
    </xf>
    <xf numFmtId="0" fontId="21" fillId="0" borderId="51" xfId="2" applyFont="1" applyBorder="1" applyAlignment="1">
      <alignment horizontal="center" vertical="center" wrapText="1"/>
    </xf>
    <xf numFmtId="0" fontId="21" fillId="0" borderId="47" xfId="2" applyFont="1" applyBorder="1" applyAlignment="1">
      <alignment horizontal="center" vertical="center" wrapText="1"/>
    </xf>
    <xf numFmtId="0" fontId="21" fillId="0" borderId="9" xfId="2" applyFont="1" applyBorder="1" applyAlignment="1">
      <alignment horizontal="center" vertical="center" wrapText="1"/>
    </xf>
    <xf numFmtId="0" fontId="21" fillId="0" borderId="52" xfId="2" applyFont="1" applyBorder="1" applyAlignment="1">
      <alignment horizontal="center" vertical="center" wrapText="1"/>
    </xf>
    <xf numFmtId="0" fontId="21" fillId="0" borderId="1" xfId="2" applyFont="1" applyBorder="1" applyAlignment="1">
      <alignment horizontal="center" vertical="center" wrapText="1"/>
    </xf>
    <xf numFmtId="0" fontId="21" fillId="0" borderId="1" xfId="2" applyFont="1" applyBorder="1" applyAlignment="1">
      <alignment horizontal="center" vertical="center"/>
    </xf>
    <xf numFmtId="18" fontId="7" fillId="4" borderId="15" xfId="2" applyNumberFormat="1" applyFont="1" applyFill="1" applyBorder="1" applyAlignment="1">
      <alignment horizontal="center" vertical="center"/>
    </xf>
    <xf numFmtId="18" fontId="7" fillId="4" borderId="16" xfId="2" applyNumberFormat="1" applyFont="1" applyFill="1" applyBorder="1" applyAlignment="1">
      <alignment horizontal="center" vertical="center"/>
    </xf>
    <xf numFmtId="18" fontId="7" fillId="4" borderId="18" xfId="2" applyNumberFormat="1" applyFont="1" applyFill="1" applyBorder="1" applyAlignment="1">
      <alignment horizontal="center" vertical="center"/>
    </xf>
    <xf numFmtId="0" fontId="21" fillId="0" borderId="48" xfId="2" applyFont="1" applyBorder="1" applyAlignment="1">
      <alignment horizontal="center" vertical="center"/>
    </xf>
    <xf numFmtId="0" fontId="21" fillId="0" borderId="24" xfId="2" applyFont="1" applyBorder="1" applyAlignment="1">
      <alignment horizontal="center" vertical="center"/>
    </xf>
    <xf numFmtId="0" fontId="21" fillId="0" borderId="49" xfId="2" applyFont="1" applyBorder="1" applyAlignment="1">
      <alignment horizontal="center" vertical="center"/>
    </xf>
    <xf numFmtId="0" fontId="21" fillId="0" borderId="50" xfId="2" applyFont="1" applyBorder="1" applyAlignment="1">
      <alignment horizontal="center" vertical="center"/>
    </xf>
    <xf numFmtId="0" fontId="21" fillId="0" borderId="0" xfId="2" applyFont="1" applyAlignment="1">
      <alignment horizontal="center" vertical="center"/>
    </xf>
    <xf numFmtId="0" fontId="21" fillId="0" borderId="51" xfId="2" applyFont="1" applyBorder="1" applyAlignment="1">
      <alignment horizontal="center" vertical="center"/>
    </xf>
    <xf numFmtId="0" fontId="21" fillId="0" borderId="47" xfId="2" applyFont="1" applyBorder="1" applyAlignment="1">
      <alignment horizontal="center" vertical="center"/>
    </xf>
    <xf numFmtId="0" fontId="21" fillId="0" borderId="9" xfId="2" applyFont="1" applyBorder="1" applyAlignment="1">
      <alignment horizontal="center" vertical="center"/>
    </xf>
    <xf numFmtId="0" fontId="21" fillId="0" borderId="52" xfId="2" applyFont="1" applyBorder="1" applyAlignment="1">
      <alignment horizontal="center" vertical="center"/>
    </xf>
    <xf numFmtId="0" fontId="22" fillId="0" borderId="0" xfId="5" applyFont="1" applyAlignment="1">
      <alignment horizontal="center"/>
    </xf>
    <xf numFmtId="0" fontId="14" fillId="2" borderId="5" xfId="2" applyFont="1" applyFill="1" applyBorder="1" applyAlignment="1">
      <alignment horizontal="left" vertical="center"/>
    </xf>
    <xf numFmtId="0" fontId="0" fillId="0" borderId="11" xfId="0" applyBorder="1" applyAlignment="1">
      <alignment horizontal="left"/>
    </xf>
    <xf numFmtId="0" fontId="7" fillId="2" borderId="17" xfId="2" applyFont="1" applyFill="1" applyBorder="1" applyAlignment="1">
      <alignment horizontal="center"/>
    </xf>
    <xf numFmtId="0" fontId="7" fillId="2" borderId="13" xfId="2" applyFont="1" applyFill="1" applyBorder="1" applyAlignment="1">
      <alignment horizontal="center"/>
    </xf>
    <xf numFmtId="0" fontId="7" fillId="2" borderId="35" xfId="2" applyFont="1" applyFill="1" applyBorder="1" applyAlignment="1">
      <alignment horizontal="center"/>
    </xf>
    <xf numFmtId="0" fontId="14" fillId="2" borderId="5" xfId="2" applyFont="1" applyFill="1" applyBorder="1" applyAlignment="1">
      <alignment horizontal="center" vertical="center"/>
    </xf>
    <xf numFmtId="0" fontId="14" fillId="2" borderId="11" xfId="2" applyFont="1" applyFill="1" applyBorder="1" applyAlignment="1">
      <alignment horizontal="center" vertical="center"/>
    </xf>
    <xf numFmtId="0" fontId="7" fillId="2" borderId="17" xfId="2" applyFont="1" applyFill="1" applyBorder="1" applyAlignment="1">
      <alignment horizontal="center" vertical="center"/>
    </xf>
    <xf numFmtId="0" fontId="7" fillId="2" borderId="13" xfId="2" applyFont="1" applyFill="1" applyBorder="1" applyAlignment="1">
      <alignment horizontal="center" vertical="center"/>
    </xf>
    <xf numFmtId="0" fontId="7" fillId="2" borderId="35" xfId="2" applyFont="1" applyFill="1" applyBorder="1" applyAlignment="1">
      <alignment horizontal="center" vertical="center"/>
    </xf>
    <xf numFmtId="165" fontId="7" fillId="2" borderId="17" xfId="2" applyNumberFormat="1" applyFont="1" applyFill="1" applyBorder="1" applyAlignment="1">
      <alignment horizontal="center" vertical="center"/>
    </xf>
    <xf numFmtId="165" fontId="7" fillId="2" borderId="13" xfId="2" applyNumberFormat="1" applyFont="1" applyFill="1" applyBorder="1" applyAlignment="1">
      <alignment horizontal="center" vertical="center"/>
    </xf>
    <xf numFmtId="165" fontId="7" fillId="2" borderId="11" xfId="2" applyNumberFormat="1" applyFont="1" applyFill="1" applyBorder="1" applyAlignment="1">
      <alignment horizontal="center" vertical="center"/>
    </xf>
    <xf numFmtId="0" fontId="14" fillId="2" borderId="3" xfId="2" applyFont="1" applyFill="1" applyBorder="1" applyAlignment="1">
      <alignment horizontal="left" vertical="center"/>
    </xf>
    <xf numFmtId="0" fontId="0" fillId="0" borderId="22" xfId="0" applyBorder="1" applyAlignment="1">
      <alignment horizontal="left"/>
    </xf>
    <xf numFmtId="0" fontId="7" fillId="2" borderId="2" xfId="2" applyFont="1" applyFill="1" applyBorder="1" applyAlignment="1">
      <alignment horizontal="center"/>
    </xf>
    <xf numFmtId="0" fontId="7" fillId="2" borderId="21" xfId="2" applyFont="1" applyFill="1" applyBorder="1" applyAlignment="1">
      <alignment horizontal="center"/>
    </xf>
    <xf numFmtId="0" fontId="7" fillId="2" borderId="38" xfId="2" applyFont="1" applyFill="1" applyBorder="1" applyAlignment="1">
      <alignment horizontal="center"/>
    </xf>
    <xf numFmtId="0" fontId="14" fillId="2" borderId="3" xfId="2" applyFont="1" applyFill="1" applyBorder="1" applyAlignment="1">
      <alignment horizontal="center" vertical="center"/>
    </xf>
    <xf numFmtId="0" fontId="14" fillId="2" borderId="22" xfId="2" applyFont="1" applyFill="1" applyBorder="1" applyAlignment="1">
      <alignment horizontal="center" vertical="center"/>
    </xf>
    <xf numFmtId="0" fontId="7" fillId="2" borderId="28" xfId="2" applyFont="1" applyFill="1" applyBorder="1" applyAlignment="1">
      <alignment horizontal="center" vertical="center"/>
    </xf>
    <xf numFmtId="0" fontId="7" fillId="2" borderId="29" xfId="2" applyFont="1" applyFill="1" applyBorder="1" applyAlignment="1">
      <alignment horizontal="center" vertical="center"/>
    </xf>
    <xf numFmtId="0" fontId="7" fillId="2" borderId="4" xfId="2" applyFont="1" applyFill="1" applyBorder="1" applyAlignment="1">
      <alignment horizontal="center" vertical="center"/>
    </xf>
    <xf numFmtId="166" fontId="7" fillId="2" borderId="2" xfId="2" applyNumberFormat="1" applyFont="1" applyFill="1" applyBorder="1" applyAlignment="1">
      <alignment horizontal="center" vertical="center"/>
    </xf>
    <xf numFmtId="166" fontId="7" fillId="2" borderId="21" xfId="2" applyNumberFormat="1" applyFont="1" applyFill="1" applyBorder="1" applyAlignment="1">
      <alignment horizontal="center" vertical="center"/>
    </xf>
    <xf numFmtId="166" fontId="7" fillId="2" borderId="22" xfId="2" applyNumberFormat="1" applyFont="1" applyFill="1" applyBorder="1" applyAlignment="1">
      <alignment horizontal="center" vertical="center"/>
    </xf>
    <xf numFmtId="0" fontId="14" fillId="2" borderId="6" xfId="2" applyFont="1" applyFill="1" applyBorder="1" applyAlignment="1">
      <alignment horizontal="left" vertical="center"/>
    </xf>
    <xf numFmtId="0" fontId="0" fillId="0" borderId="12" xfId="0" applyBorder="1" applyAlignment="1">
      <alignment horizontal="left"/>
    </xf>
    <xf numFmtId="0" fontId="7" fillId="2" borderId="18" xfId="2" applyFont="1" applyFill="1" applyBorder="1" applyAlignment="1">
      <alignment horizontal="center"/>
    </xf>
    <xf numFmtId="0" fontId="7" fillId="2" borderId="1" xfId="2" applyFont="1" applyFill="1" applyBorder="1" applyAlignment="1">
      <alignment horizontal="center"/>
    </xf>
    <xf numFmtId="0" fontId="7" fillId="2" borderId="15" xfId="2" applyFont="1" applyFill="1" applyBorder="1" applyAlignment="1">
      <alignment horizontal="center"/>
    </xf>
    <xf numFmtId="0" fontId="14" fillId="2" borderId="6" xfId="2" applyFont="1" applyFill="1" applyBorder="1" applyAlignment="1">
      <alignment horizontal="center" vertical="center"/>
    </xf>
    <xf numFmtId="0" fontId="14" fillId="2" borderId="12" xfId="2" applyFont="1" applyFill="1" applyBorder="1" applyAlignment="1">
      <alignment horizontal="center" vertical="center"/>
    </xf>
    <xf numFmtId="0" fontId="7" fillId="2" borderId="18" xfId="2" applyFont="1" applyFill="1" applyBorder="1" applyAlignment="1">
      <alignment horizontal="center" vertical="center"/>
    </xf>
    <xf numFmtId="0" fontId="7" fillId="2" borderId="1" xfId="2" applyFont="1" applyFill="1" applyBorder="1" applyAlignment="1">
      <alignment horizontal="center" vertical="center"/>
    </xf>
    <xf numFmtId="0" fontId="7" fillId="2" borderId="15" xfId="2" applyFont="1" applyFill="1" applyBorder="1" applyAlignment="1">
      <alignment horizontal="center" vertical="center"/>
    </xf>
    <xf numFmtId="0" fontId="14" fillId="2" borderId="27" xfId="2" applyFont="1" applyFill="1" applyBorder="1" applyAlignment="1">
      <alignment horizontal="center" vertical="center"/>
    </xf>
    <xf numFmtId="0" fontId="14" fillId="2" borderId="8" xfId="2" applyFont="1" applyFill="1" applyBorder="1" applyAlignment="1">
      <alignment horizontal="center" vertical="center"/>
    </xf>
    <xf numFmtId="166" fontId="7" fillId="2" borderId="27" xfId="2" applyNumberFormat="1" applyFont="1" applyFill="1" applyBorder="1" applyAlignment="1">
      <alignment horizontal="center" vertical="center"/>
    </xf>
    <xf numFmtId="166" fontId="7" fillId="2" borderId="16" xfId="2" applyNumberFormat="1" applyFont="1" applyFill="1" applyBorder="1" applyAlignment="1">
      <alignment horizontal="center" vertical="center"/>
    </xf>
    <xf numFmtId="166" fontId="7" fillId="2" borderId="8" xfId="2" applyNumberFormat="1" applyFont="1" applyFill="1" applyBorder="1" applyAlignment="1">
      <alignment horizontal="center" vertical="center"/>
    </xf>
    <xf numFmtId="0" fontId="21" fillId="0" borderId="0" xfId="2" applyFont="1" applyBorder="1" applyAlignment="1">
      <alignment horizontal="center" vertical="center" wrapText="1"/>
    </xf>
    <xf numFmtId="0" fontId="21" fillId="0" borderId="0" xfId="2" applyFont="1" applyBorder="1" applyAlignment="1">
      <alignment horizontal="center" vertical="center"/>
    </xf>
    <xf numFmtId="0" fontId="25" fillId="0" borderId="1" xfId="0" applyFont="1" applyBorder="1" applyAlignment="1">
      <alignment horizontal="center" vertical="center"/>
    </xf>
    <xf numFmtId="0" fontId="24" fillId="4" borderId="1" xfId="0" applyFont="1" applyFill="1" applyBorder="1" applyAlignment="1">
      <alignment horizontal="center"/>
    </xf>
    <xf numFmtId="18" fontId="23" fillId="4" borderId="1" xfId="2" applyNumberFormat="1" applyFont="1" applyFill="1" applyBorder="1" applyAlignment="1">
      <alignment horizontal="center" vertical="center"/>
    </xf>
    <xf numFmtId="0" fontId="0" fillId="0" borderId="15" xfId="0" applyBorder="1" applyAlignment="1">
      <alignment horizontal="center"/>
    </xf>
    <xf numFmtId="0" fontId="0" fillId="0" borderId="16" xfId="0" applyBorder="1" applyAlignment="1">
      <alignment horizontal="center"/>
    </xf>
    <xf numFmtId="0" fontId="0" fillId="0" borderId="18" xfId="0" applyBorder="1" applyAlignment="1">
      <alignment horizontal="center"/>
    </xf>
    <xf numFmtId="0" fontId="26" fillId="2" borderId="1" xfId="2" applyFont="1" applyFill="1" applyBorder="1" applyAlignment="1">
      <alignment horizontal="left" vertical="center"/>
    </xf>
    <xf numFmtId="0" fontId="24" fillId="0" borderId="1" xfId="0" applyFont="1" applyBorder="1" applyAlignment="1">
      <alignment horizontal="left"/>
    </xf>
    <xf numFmtId="0" fontId="23" fillId="2" borderId="1" xfId="2" applyFont="1" applyFill="1" applyBorder="1" applyAlignment="1">
      <alignment horizontal="center"/>
    </xf>
    <xf numFmtId="0" fontId="25" fillId="0" borderId="1" xfId="2" applyFont="1" applyBorder="1" applyAlignment="1">
      <alignment horizontal="center" vertical="center"/>
    </xf>
    <xf numFmtId="0" fontId="26" fillId="0" borderId="61" xfId="0" applyFont="1" applyBorder="1" applyAlignment="1">
      <alignment horizontal="center" vertical="center"/>
    </xf>
    <xf numFmtId="0" fontId="26" fillId="0" borderId="63" xfId="0" applyFont="1" applyBorder="1" applyAlignment="1">
      <alignment horizontal="center" vertical="center"/>
    </xf>
    <xf numFmtId="0" fontId="26" fillId="0" borderId="65" xfId="0" applyFont="1" applyBorder="1" applyAlignment="1">
      <alignment horizontal="center" vertical="center"/>
    </xf>
    <xf numFmtId="0" fontId="24" fillId="0" borderId="0" xfId="0" applyFont="1" applyAlignment="1">
      <alignment horizontal="left" vertical="center" wrapText="1"/>
    </xf>
    <xf numFmtId="0" fontId="16" fillId="0" borderId="0" xfId="0" applyFont="1" applyAlignment="1">
      <alignment horizontal="left" vertical="center" wrapText="1"/>
    </xf>
    <xf numFmtId="0" fontId="34" fillId="0" borderId="61" xfId="0" applyFont="1" applyBorder="1" applyAlignment="1">
      <alignment horizontal="center" vertical="center" textRotation="90"/>
    </xf>
    <xf numFmtId="0" fontId="34" fillId="0" borderId="63" xfId="0" applyFont="1" applyBorder="1" applyAlignment="1">
      <alignment horizontal="center" vertical="center" textRotation="90"/>
    </xf>
    <xf numFmtId="0" fontId="34" fillId="0" borderId="64" xfId="0" applyFont="1" applyBorder="1" applyAlignment="1">
      <alignment horizontal="center" vertical="center" textRotation="90"/>
    </xf>
    <xf numFmtId="0" fontId="34" fillId="0" borderId="61" xfId="5" applyFont="1" applyBorder="1" applyAlignment="1">
      <alignment horizontal="center" vertical="center" textRotation="90"/>
    </xf>
    <xf numFmtId="0" fontId="34" fillId="0" borderId="63" xfId="5" applyFont="1" applyBorder="1" applyAlignment="1">
      <alignment horizontal="center" vertical="center" textRotation="90"/>
    </xf>
    <xf numFmtId="0" fontId="34" fillId="0" borderId="64" xfId="5" applyFont="1" applyBorder="1" applyAlignment="1">
      <alignment horizontal="center" vertical="center" textRotation="90"/>
    </xf>
    <xf numFmtId="0" fontId="43" fillId="3" borderId="1" xfId="8" applyFont="1" applyFill="1" applyBorder="1" applyAlignment="1" applyProtection="1">
      <alignment horizontal="center" vertical="center"/>
      <protection hidden="1"/>
    </xf>
    <xf numFmtId="0" fontId="1" fillId="3" borderId="1" xfId="0" applyFont="1" applyFill="1" applyBorder="1" applyAlignment="1">
      <alignment horizontal="center" vertical="center"/>
    </xf>
    <xf numFmtId="0" fontId="0" fillId="3" borderId="66" xfId="0" applyFont="1" applyFill="1" applyBorder="1" applyAlignment="1">
      <alignment horizontal="center"/>
    </xf>
    <xf numFmtId="0" fontId="16" fillId="3" borderId="66" xfId="0" applyFont="1" applyFill="1" applyBorder="1" applyAlignment="1">
      <alignment horizontal="center"/>
    </xf>
    <xf numFmtId="0" fontId="23" fillId="3" borderId="1" xfId="0" applyFont="1" applyFill="1" applyBorder="1" applyAlignment="1">
      <alignment horizontal="center" vertical="center"/>
    </xf>
    <xf numFmtId="0" fontId="0" fillId="3" borderId="0" xfId="0" applyFill="1"/>
    <xf numFmtId="0" fontId="16" fillId="3" borderId="0" xfId="0" applyFont="1" applyFill="1"/>
    <xf numFmtId="14" fontId="0" fillId="3" borderId="0" xfId="0" applyNumberFormat="1" applyFill="1"/>
    <xf numFmtId="0" fontId="16" fillId="3" borderId="67" xfId="0" applyFont="1" applyFill="1" applyBorder="1" applyAlignment="1">
      <alignment horizontal="center"/>
    </xf>
  </cellXfs>
  <cellStyles count="14">
    <cellStyle name="Hyperlink" xfId="8" builtinId="8"/>
    <cellStyle name="Normal" xfId="0" builtinId="0"/>
    <cellStyle name="Normal 2" xfId="1"/>
    <cellStyle name="Normal 2 2" xfId="5"/>
    <cellStyle name="Normal 3" xfId="3"/>
    <cellStyle name="Normal 3 2" xfId="6"/>
    <cellStyle name="Normal 3 2 2" xfId="12"/>
    <cellStyle name="Normal 3 3" xfId="11"/>
    <cellStyle name="Normal 4" xfId="4"/>
    <cellStyle name="Normal 5" xfId="9"/>
    <cellStyle name="Normal 6" xfId="7"/>
    <cellStyle name="Normal 6 2" xfId="13"/>
    <cellStyle name="Normal_Sheet1" xfId="2"/>
    <cellStyle name="Style 1" xfId="10"/>
  </cellStyles>
  <dxfs count="1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5" Type="http://schemas.openxmlformats.org/officeDocument/2006/relationships/externalLink" Target="externalLinks/externalLink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285750</xdr:colOff>
      <xdr:row>0</xdr:row>
      <xdr:rowOff>31750</xdr:rowOff>
    </xdr:from>
    <xdr:to>
      <xdr:col>1</xdr:col>
      <xdr:colOff>95250</xdr:colOff>
      <xdr:row>2</xdr:row>
      <xdr:rowOff>84667</xdr:rowOff>
    </xdr:to>
    <xdr:pic>
      <xdr:nvPicPr>
        <xdr:cNvPr id="2" name="Picture 2" descr="Description: cid:image002.jpg@01D11F09.84F7E3E0">
          <a:extLst>
            <a:ext uri="{FF2B5EF4-FFF2-40B4-BE49-F238E27FC236}">
              <a16:creationId xmlns="" xmlns:a16="http://schemas.microsoft.com/office/drawing/2014/main" id="{9CD150F1-B4E9-4FCC-90C8-99A1DD9867BA}"/>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85750" y="31750"/>
          <a:ext cx="419100" cy="405342"/>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BDT/Mobiserve/2022/W25/W25/W25/DK-SANTAMEH%20(0609DE).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heets/Battery%20Test/2022%20Summar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DT Sheet"/>
      <sheetName val="Power Alarm"/>
      <sheetName val="config"/>
      <sheetName val="nModule"/>
    </sheetNames>
    <sheetDataSet>
      <sheetData sheetId="0">
        <row r="5">
          <cell r="C5" t="str">
            <v>DK-SANTAMEH</v>
          </cell>
          <cell r="D5">
            <v>0</v>
          </cell>
          <cell r="E5">
            <v>0</v>
          </cell>
          <cell r="F5">
            <v>0</v>
          </cell>
          <cell r="I5" t="str">
            <v>0609DE</v>
          </cell>
          <cell r="J5">
            <v>0</v>
          </cell>
          <cell r="K5">
            <v>0</v>
          </cell>
          <cell r="L5">
            <v>0</v>
          </cell>
        </row>
        <row r="13">
          <cell r="I13" t="str">
            <v>Delta 2</v>
          </cell>
        </row>
        <row r="17">
          <cell r="I17">
            <v>5</v>
          </cell>
        </row>
        <row r="31">
          <cell r="I31" t="str">
            <v>LOEUCH</v>
          </cell>
          <cell r="J31">
            <v>0</v>
          </cell>
          <cell r="K31">
            <v>0</v>
          </cell>
        </row>
        <row r="35">
          <cell r="I35">
            <v>12</v>
          </cell>
          <cell r="J35">
            <v>0</v>
          </cell>
          <cell r="K35">
            <v>0</v>
          </cell>
        </row>
        <row r="37">
          <cell r="I37" t="str">
            <v>155 AH</v>
          </cell>
          <cell r="J37">
            <v>0</v>
          </cell>
          <cell r="K37">
            <v>0</v>
          </cell>
        </row>
        <row r="39">
          <cell r="I39">
            <v>3</v>
          </cell>
          <cell r="J39">
            <v>0</v>
          </cell>
          <cell r="K39">
            <v>0</v>
          </cell>
        </row>
      </sheetData>
      <sheetData sheetId="1"/>
      <sheetData sheetId="2"/>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DT 2022 Summary"/>
      <sheetName val="charging current limit"/>
      <sheetName val="PLD value"/>
      <sheetName val="Sheet4"/>
    </sheetNames>
    <sheetDataSet>
      <sheetData sheetId="0"/>
      <sheetData sheetId="1"/>
      <sheetData sheetId="2"/>
      <sheetData sheetId="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140"/>
  <sheetViews>
    <sheetView tabSelected="1" zoomScale="80" zoomScaleNormal="80" zoomScaleSheetLayoutView="100" workbookViewId="0">
      <selection activeCell="M1" sqref="M1"/>
    </sheetView>
  </sheetViews>
  <sheetFormatPr defaultRowHeight="15"/>
  <cols>
    <col min="1" max="2" width="7.109375" style="15" customWidth="1"/>
    <col min="3" max="3" width="9.6640625" style="15" customWidth="1"/>
    <col min="4" max="4" width="6.77734375" style="15" customWidth="1"/>
    <col min="5" max="5" width="7.21875" style="15" customWidth="1"/>
    <col min="6" max="6" width="6.5546875" style="15" customWidth="1"/>
    <col min="7" max="7" width="7.109375" style="15" customWidth="1"/>
    <col min="8" max="8" width="6.77734375" style="15" customWidth="1"/>
    <col min="9" max="9" width="7" style="15" customWidth="1"/>
    <col min="10" max="10" width="7.77734375" style="15" customWidth="1"/>
    <col min="11" max="11" width="7.21875" style="15" customWidth="1"/>
    <col min="12" max="12" width="7.109375" style="15" customWidth="1"/>
    <col min="13" max="13" width="7.21875" style="15" customWidth="1"/>
    <col min="14" max="14" width="7.33203125" style="15" customWidth="1"/>
    <col min="15" max="15" width="8.6640625" style="15" customWidth="1"/>
    <col min="16" max="16" width="5.21875" style="15" customWidth="1"/>
    <col min="17" max="17" width="6" style="15" customWidth="1"/>
    <col min="18" max="18" width="7.6640625" style="15" customWidth="1"/>
    <col min="19" max="19" width="5" style="15" customWidth="1"/>
    <col min="20" max="20" width="6.21875" style="15" customWidth="1"/>
    <col min="21" max="21" width="9.88671875" style="15" customWidth="1"/>
    <col min="22" max="23" width="4.5546875" style="15" customWidth="1"/>
    <col min="24" max="25" width="8.88671875" style="15"/>
    <col min="26" max="26" width="7" style="15" customWidth="1"/>
    <col min="27" max="27" width="3.77734375" style="15" customWidth="1"/>
    <col min="28" max="28" width="7.6640625" style="15" customWidth="1"/>
    <col min="29" max="29" width="6" style="15" customWidth="1"/>
    <col min="30" max="30" width="6.6640625" style="15" customWidth="1"/>
    <col min="31" max="31" width="7.33203125" style="15" customWidth="1"/>
    <col min="32" max="16384" width="8.88671875" style="15"/>
  </cols>
  <sheetData>
    <row r="1" spans="1:26" ht="7.5" customHeight="1"/>
    <row r="2" spans="1:26" ht="20.25">
      <c r="A2" s="193" t="s">
        <v>34</v>
      </c>
      <c r="B2" s="193"/>
      <c r="C2" s="193"/>
      <c r="D2" s="193"/>
      <c r="E2" s="193"/>
      <c r="F2" s="193"/>
      <c r="G2" s="193"/>
      <c r="H2" s="193"/>
      <c r="I2" s="193"/>
      <c r="J2" s="193"/>
      <c r="K2" s="193"/>
      <c r="L2" s="193"/>
      <c r="M2" s="193"/>
      <c r="N2" s="193"/>
      <c r="O2" s="193"/>
      <c r="P2" s="193"/>
      <c r="Q2" s="193"/>
      <c r="R2" s="16"/>
      <c r="S2" s="16"/>
      <c r="T2" s="16"/>
      <c r="U2" s="16"/>
      <c r="V2" s="16"/>
    </row>
    <row r="3" spans="1:26" ht="12.75" customHeight="1" thickBot="1">
      <c r="A3" s="34"/>
      <c r="B3" s="34"/>
      <c r="C3" s="34"/>
      <c r="D3" s="34"/>
      <c r="E3" s="34"/>
      <c r="F3" s="34"/>
      <c r="G3" s="34"/>
      <c r="H3" s="34"/>
      <c r="I3" s="34"/>
      <c r="J3" s="34"/>
      <c r="K3" s="34"/>
      <c r="L3" s="34"/>
      <c r="M3" s="34"/>
      <c r="N3" s="34"/>
      <c r="O3" s="34"/>
      <c r="P3" s="34"/>
      <c r="Q3" s="34"/>
      <c r="R3" s="17"/>
      <c r="S3" s="17"/>
      <c r="T3" s="17"/>
      <c r="U3" s="17"/>
      <c r="V3" s="17"/>
    </row>
    <row r="4" spans="1:26">
      <c r="A4" s="194" t="s">
        <v>44</v>
      </c>
      <c r="B4" s="195"/>
      <c r="C4" s="196"/>
      <c r="D4" s="197"/>
      <c r="E4" s="197"/>
      <c r="F4" s="198"/>
      <c r="G4" s="199" t="s">
        <v>45</v>
      </c>
      <c r="H4" s="200"/>
      <c r="I4" s="201" t="s">
        <v>257</v>
      </c>
      <c r="J4" s="202"/>
      <c r="K4" s="202"/>
      <c r="L4" s="203"/>
      <c r="M4" s="199" t="s">
        <v>0</v>
      </c>
      <c r="N4" s="200"/>
      <c r="O4" s="204"/>
      <c r="P4" s="205"/>
      <c r="Q4" s="206"/>
      <c r="W4" s="18"/>
    </row>
    <row r="5" spans="1:26" s="19" customFormat="1" ht="15.75" customHeight="1">
      <c r="A5" s="220" t="s">
        <v>40</v>
      </c>
      <c r="B5" s="221"/>
      <c r="C5" s="222"/>
      <c r="D5" s="223"/>
      <c r="E5" s="223"/>
      <c r="F5" s="224"/>
      <c r="G5" s="225" t="s">
        <v>43</v>
      </c>
      <c r="H5" s="226"/>
      <c r="I5" s="227"/>
      <c r="J5" s="228"/>
      <c r="K5" s="228"/>
      <c r="L5" s="229"/>
      <c r="M5" s="230" t="s">
        <v>41</v>
      </c>
      <c r="N5" s="231"/>
      <c r="O5" s="232">
        <v>0.45833333333333331</v>
      </c>
      <c r="P5" s="233"/>
      <c r="Q5" s="234"/>
      <c r="R5" s="15"/>
      <c r="S5" s="15"/>
      <c r="T5" s="15"/>
    </row>
    <row r="6" spans="1:26" s="19" customFormat="1" ht="15.75" customHeight="1" thickBot="1">
      <c r="A6" s="207" t="s">
        <v>98</v>
      </c>
      <c r="B6" s="208"/>
      <c r="C6" s="209" t="s">
        <v>255</v>
      </c>
      <c r="D6" s="210"/>
      <c r="E6" s="210"/>
      <c r="F6" s="211"/>
      <c r="G6" s="212" t="s">
        <v>35</v>
      </c>
      <c r="H6" s="213"/>
      <c r="I6" s="214" t="s">
        <v>256</v>
      </c>
      <c r="J6" s="215"/>
      <c r="K6" s="215"/>
      <c r="L6" s="216"/>
      <c r="M6" s="212" t="s">
        <v>42</v>
      </c>
      <c r="N6" s="213"/>
      <c r="O6" s="217">
        <v>0.52083333333333337</v>
      </c>
      <c r="P6" s="218"/>
      <c r="Q6" s="219"/>
      <c r="R6" s="15"/>
      <c r="S6" s="15"/>
      <c r="T6" s="15"/>
    </row>
    <row r="7" spans="1:26">
      <c r="A7" s="1"/>
      <c r="B7" s="1"/>
      <c r="C7" s="1"/>
      <c r="D7" s="1"/>
      <c r="E7" s="1"/>
      <c r="F7" s="1"/>
      <c r="G7" s="9"/>
      <c r="H7" s="9"/>
      <c r="I7" s="9"/>
      <c r="J7" s="1"/>
      <c r="K7" s="1"/>
      <c r="L7" s="1"/>
      <c r="M7" s="2"/>
      <c r="N7" s="2"/>
      <c r="O7" s="2"/>
      <c r="P7" s="2"/>
      <c r="Q7" s="2"/>
    </row>
    <row r="8" spans="1:26">
      <c r="A8" s="1"/>
      <c r="B8" s="1"/>
      <c r="C8" s="1"/>
      <c r="D8" s="1"/>
      <c r="E8" s="1"/>
      <c r="F8" s="1"/>
      <c r="G8" s="1"/>
      <c r="H8" s="1"/>
      <c r="I8" s="1"/>
      <c r="J8" s="1"/>
      <c r="K8" s="1"/>
      <c r="L8" s="1"/>
      <c r="N8" s="2"/>
      <c r="O8" s="2"/>
      <c r="P8" s="2"/>
      <c r="Q8" s="2"/>
      <c r="R8" s="1"/>
      <c r="S8" s="1"/>
      <c r="T8" s="1"/>
      <c r="U8" s="1"/>
      <c r="V8" s="1"/>
    </row>
    <row r="9" spans="1:26">
      <c r="A9" s="6">
        <v>1</v>
      </c>
      <c r="B9" s="5" t="s">
        <v>23</v>
      </c>
      <c r="C9" s="1"/>
      <c r="D9" s="1"/>
      <c r="E9" s="1"/>
      <c r="F9" s="1"/>
      <c r="G9" s="1"/>
      <c r="H9" s="1"/>
      <c r="I9" s="2"/>
      <c r="J9" s="2"/>
      <c r="K9" s="2"/>
      <c r="L9" s="2"/>
      <c r="M9" s="169" t="s">
        <v>112</v>
      </c>
      <c r="N9" s="169"/>
      <c r="O9" s="169"/>
      <c r="P9" s="169"/>
      <c r="R9" s="169" t="s">
        <v>111</v>
      </c>
      <c r="S9" s="169"/>
      <c r="T9" s="169"/>
      <c r="U9" s="169"/>
      <c r="V9" s="2"/>
      <c r="W9" s="169" t="s">
        <v>244</v>
      </c>
      <c r="X9" s="169"/>
      <c r="Y9" s="169"/>
      <c r="Z9" s="169"/>
    </row>
    <row r="10" spans="1:26">
      <c r="A10" s="6"/>
      <c r="B10" s="5"/>
      <c r="C10" s="1"/>
      <c r="D10" s="1"/>
      <c r="E10" s="1"/>
      <c r="F10" s="1"/>
      <c r="G10" s="1"/>
      <c r="H10" s="1"/>
      <c r="I10" s="5" t="s">
        <v>1</v>
      </c>
      <c r="J10" s="2"/>
      <c r="K10" s="2"/>
      <c r="L10" s="2"/>
      <c r="M10" s="180" t="s">
        <v>249</v>
      </c>
      <c r="N10" s="180"/>
      <c r="O10" s="180"/>
      <c r="P10" s="180"/>
      <c r="R10" s="180" t="s">
        <v>250</v>
      </c>
      <c r="S10" s="180"/>
      <c r="T10" s="180"/>
      <c r="U10" s="180"/>
      <c r="W10" s="180" t="s">
        <v>245</v>
      </c>
      <c r="X10" s="180"/>
      <c r="Y10" s="180"/>
      <c r="Z10" s="180"/>
    </row>
    <row r="11" spans="1:26">
      <c r="A11" s="1" t="s">
        <v>58</v>
      </c>
      <c r="B11" s="5"/>
      <c r="C11" s="1"/>
      <c r="D11" s="1"/>
      <c r="E11" s="1"/>
      <c r="F11" s="1"/>
      <c r="G11" s="1"/>
      <c r="H11" s="1"/>
      <c r="I11" s="166" t="s">
        <v>133</v>
      </c>
      <c r="J11" s="167"/>
      <c r="K11" s="168"/>
      <c r="L11" s="2"/>
      <c r="M11" s="180"/>
      <c r="N11" s="180"/>
      <c r="O11" s="180"/>
      <c r="P11" s="180"/>
      <c r="R11" s="180"/>
      <c r="S11" s="180"/>
      <c r="T11" s="180"/>
      <c r="U11" s="180"/>
      <c r="W11" s="180"/>
      <c r="X11" s="180"/>
      <c r="Y11" s="180"/>
      <c r="Z11" s="180"/>
    </row>
    <row r="12" spans="1:26">
      <c r="A12" s="6"/>
      <c r="B12" s="5"/>
      <c r="C12" s="1"/>
      <c r="D12" s="1"/>
      <c r="E12" s="1"/>
      <c r="F12" s="1"/>
      <c r="G12" s="1"/>
      <c r="H12" s="1"/>
      <c r="I12" s="5"/>
      <c r="J12" s="2"/>
      <c r="K12" s="2"/>
      <c r="L12" s="2"/>
      <c r="M12" s="180"/>
      <c r="N12" s="180"/>
      <c r="O12" s="180"/>
      <c r="P12" s="180"/>
      <c r="R12" s="180"/>
      <c r="S12" s="180"/>
      <c r="T12" s="180"/>
      <c r="U12" s="180"/>
      <c r="W12" s="180"/>
      <c r="X12" s="180"/>
      <c r="Y12" s="180"/>
      <c r="Z12" s="180"/>
    </row>
    <row r="13" spans="1:26">
      <c r="A13" s="1" t="s">
        <v>32</v>
      </c>
      <c r="B13" s="1"/>
      <c r="C13" s="1"/>
      <c r="D13" s="1"/>
      <c r="E13" s="1"/>
      <c r="F13" s="1"/>
      <c r="G13" s="2"/>
      <c r="H13" s="10"/>
      <c r="I13" s="166"/>
      <c r="J13" s="167"/>
      <c r="K13" s="168"/>
      <c r="L13" s="2"/>
      <c r="M13" s="180"/>
      <c r="N13" s="180"/>
      <c r="O13" s="180"/>
      <c r="P13" s="180"/>
      <c r="R13" s="180"/>
      <c r="S13" s="180"/>
      <c r="T13" s="180"/>
      <c r="U13" s="180"/>
      <c r="W13" s="180"/>
      <c r="X13" s="180"/>
      <c r="Y13" s="180"/>
      <c r="Z13" s="180"/>
    </row>
    <row r="14" spans="1:26">
      <c r="A14" s="1"/>
      <c r="B14" s="1"/>
      <c r="C14" s="1"/>
      <c r="D14" s="1"/>
      <c r="E14" s="1"/>
      <c r="F14" s="1"/>
      <c r="G14" s="1"/>
      <c r="H14" s="1"/>
      <c r="I14" s="2"/>
      <c r="J14" s="2"/>
      <c r="K14" s="2"/>
      <c r="L14" s="2"/>
      <c r="M14" s="180"/>
      <c r="N14" s="180"/>
      <c r="O14" s="180"/>
      <c r="P14" s="180"/>
      <c r="R14" s="180"/>
      <c r="S14" s="180"/>
      <c r="T14" s="180"/>
      <c r="U14" s="180"/>
      <c r="W14" s="180"/>
      <c r="X14" s="180"/>
      <c r="Y14" s="180"/>
      <c r="Z14" s="180"/>
    </row>
    <row r="15" spans="1:26">
      <c r="A15" s="1" t="s">
        <v>97</v>
      </c>
      <c r="B15" s="1"/>
      <c r="C15" s="1"/>
      <c r="D15" s="1"/>
      <c r="E15" s="1"/>
      <c r="F15" s="1"/>
      <c r="G15" s="1"/>
      <c r="H15" s="1"/>
      <c r="I15" s="166"/>
      <c r="J15" s="167"/>
      <c r="K15" s="168"/>
      <c r="L15" s="2"/>
      <c r="M15" s="180"/>
      <c r="N15" s="180"/>
      <c r="O15" s="180"/>
      <c r="P15" s="180"/>
      <c r="R15" s="180"/>
      <c r="S15" s="180"/>
      <c r="T15" s="180"/>
      <c r="U15" s="180"/>
      <c r="W15" s="180"/>
      <c r="X15" s="180"/>
      <c r="Y15" s="180"/>
      <c r="Z15" s="180"/>
    </row>
    <row r="16" spans="1:26">
      <c r="A16" s="1"/>
      <c r="B16" s="1"/>
      <c r="C16" s="1"/>
      <c r="D16" s="1"/>
      <c r="E16" s="1"/>
      <c r="F16" s="1"/>
      <c r="G16" s="1"/>
      <c r="H16" s="1"/>
      <c r="I16" s="1"/>
      <c r="J16" s="1"/>
      <c r="K16" s="1"/>
      <c r="L16" s="2"/>
      <c r="M16" s="180"/>
      <c r="N16" s="180"/>
      <c r="O16" s="180"/>
      <c r="P16" s="180"/>
      <c r="R16" s="180"/>
      <c r="S16" s="180"/>
      <c r="T16" s="180"/>
      <c r="U16" s="180"/>
      <c r="W16" s="180"/>
      <c r="X16" s="180"/>
      <c r="Y16" s="180"/>
      <c r="Z16" s="180"/>
    </row>
    <row r="17" spans="1:26">
      <c r="A17" s="1" t="s">
        <v>96</v>
      </c>
      <c r="B17" s="4"/>
      <c r="C17" s="1"/>
      <c r="D17" s="1"/>
      <c r="E17" s="1"/>
      <c r="F17" s="1"/>
      <c r="G17" s="1"/>
      <c r="H17" s="1"/>
      <c r="I17" s="166"/>
      <c r="J17" s="167"/>
      <c r="K17" s="168"/>
      <c r="L17" s="2"/>
      <c r="M17" s="180"/>
      <c r="N17" s="180"/>
      <c r="O17" s="180"/>
      <c r="P17" s="180"/>
      <c r="R17" s="180"/>
      <c r="S17" s="180"/>
      <c r="T17" s="180"/>
      <c r="U17" s="180"/>
      <c r="W17" s="180"/>
      <c r="X17" s="180"/>
      <c r="Y17" s="180"/>
      <c r="Z17" s="180"/>
    </row>
    <row r="18" spans="1:26">
      <c r="E18" s="1"/>
      <c r="L18" s="2"/>
      <c r="M18" s="180"/>
      <c r="N18" s="180"/>
      <c r="O18" s="180"/>
      <c r="P18" s="180"/>
      <c r="R18" s="180"/>
      <c r="S18" s="180"/>
      <c r="T18" s="180"/>
      <c r="U18" s="180"/>
      <c r="W18" s="180"/>
      <c r="X18" s="180"/>
      <c r="Y18" s="180"/>
      <c r="Z18" s="180"/>
    </row>
    <row r="19" spans="1:26">
      <c r="A19" s="1" t="s">
        <v>95</v>
      </c>
      <c r="B19" s="1"/>
      <c r="C19" s="1"/>
      <c r="D19" s="1"/>
      <c r="E19" s="1"/>
      <c r="F19" s="1"/>
      <c r="G19" s="1"/>
      <c r="H19" s="1"/>
      <c r="I19" s="166"/>
      <c r="J19" s="167"/>
      <c r="K19" s="168"/>
      <c r="L19" s="2"/>
      <c r="M19" s="180"/>
      <c r="N19" s="180"/>
      <c r="O19" s="180"/>
      <c r="P19" s="180"/>
      <c r="R19" s="180"/>
      <c r="S19" s="180"/>
      <c r="T19" s="180"/>
      <c r="U19" s="180"/>
      <c r="W19" s="180"/>
      <c r="X19" s="180"/>
      <c r="Y19" s="180"/>
      <c r="Z19" s="180"/>
    </row>
    <row r="20" spans="1:26">
      <c r="A20" s="1"/>
      <c r="B20" s="1"/>
      <c r="C20" s="1"/>
      <c r="D20" s="1"/>
      <c r="E20" s="1"/>
      <c r="F20" s="1"/>
      <c r="G20" s="1"/>
      <c r="H20" s="1"/>
      <c r="I20" s="2"/>
      <c r="J20" s="2"/>
      <c r="K20" s="2"/>
      <c r="L20" s="1"/>
      <c r="R20" s="1"/>
      <c r="S20" s="1"/>
      <c r="T20" s="1"/>
      <c r="U20" s="1"/>
    </row>
    <row r="21" spans="1:26">
      <c r="A21" s="1" t="s">
        <v>55</v>
      </c>
      <c r="B21" s="1"/>
      <c r="C21" s="1"/>
      <c r="D21" s="1"/>
      <c r="E21" s="1"/>
      <c r="F21" s="1"/>
      <c r="G21" s="1"/>
      <c r="H21" s="1"/>
      <c r="I21" s="166">
        <v>0</v>
      </c>
      <c r="J21" s="167"/>
      <c r="K21" s="168"/>
      <c r="L21" s="1"/>
      <c r="M21" s="169" t="s">
        <v>113</v>
      </c>
      <c r="N21" s="169"/>
      <c r="O21" s="169"/>
      <c r="P21" s="169"/>
      <c r="R21" s="169" t="s">
        <v>114</v>
      </c>
      <c r="S21" s="169"/>
      <c r="T21" s="169"/>
      <c r="U21" s="169"/>
      <c r="W21" s="169" t="s">
        <v>246</v>
      </c>
      <c r="X21" s="169"/>
      <c r="Y21" s="169"/>
      <c r="Z21" s="169"/>
    </row>
    <row r="22" spans="1:26" ht="15" customHeight="1">
      <c r="A22" s="1"/>
      <c r="B22" s="1"/>
      <c r="C22" s="1"/>
      <c r="D22" s="1"/>
      <c r="E22" s="1"/>
      <c r="F22" s="1"/>
      <c r="G22" s="1"/>
      <c r="H22" s="1"/>
      <c r="I22" s="2"/>
      <c r="J22" s="2"/>
      <c r="K22" s="2"/>
      <c r="L22" s="1"/>
      <c r="M22" s="184" t="s">
        <v>84</v>
      </c>
      <c r="N22" s="185"/>
      <c r="O22" s="185"/>
      <c r="P22" s="186"/>
      <c r="R22" s="184" t="s">
        <v>84</v>
      </c>
      <c r="S22" s="185"/>
      <c r="T22" s="185"/>
      <c r="U22" s="186"/>
      <c r="W22" s="184" t="s">
        <v>243</v>
      </c>
      <c r="X22" s="185"/>
      <c r="Y22" s="185"/>
      <c r="Z22" s="186"/>
    </row>
    <row r="23" spans="1:26">
      <c r="A23" s="5" t="s">
        <v>2</v>
      </c>
      <c r="B23" s="1"/>
      <c r="C23" s="1"/>
      <c r="D23" s="1"/>
      <c r="E23" s="1"/>
      <c r="F23" s="1"/>
      <c r="G23" s="1"/>
      <c r="H23" s="1"/>
      <c r="I23" s="166">
        <v>0</v>
      </c>
      <c r="J23" s="167"/>
      <c r="K23" s="168"/>
      <c r="L23" s="1"/>
      <c r="M23" s="187"/>
      <c r="N23" s="188"/>
      <c r="O23" s="188"/>
      <c r="P23" s="189"/>
      <c r="R23" s="187"/>
      <c r="S23" s="188"/>
      <c r="T23" s="188"/>
      <c r="U23" s="189"/>
      <c r="W23" s="187"/>
      <c r="X23" s="236"/>
      <c r="Y23" s="236"/>
      <c r="Z23" s="189"/>
    </row>
    <row r="24" spans="1:26">
      <c r="I24" s="1"/>
      <c r="J24" s="1"/>
      <c r="K24" s="1"/>
      <c r="L24" s="2"/>
      <c r="M24" s="187"/>
      <c r="N24" s="188"/>
      <c r="O24" s="188"/>
      <c r="P24" s="189"/>
      <c r="R24" s="187"/>
      <c r="S24" s="188"/>
      <c r="T24" s="188"/>
      <c r="U24" s="189"/>
      <c r="W24" s="187"/>
      <c r="X24" s="236"/>
      <c r="Y24" s="236"/>
      <c r="Z24" s="189"/>
    </row>
    <row r="25" spans="1:26">
      <c r="A25" s="5" t="s">
        <v>125</v>
      </c>
      <c r="I25" s="166">
        <v>50</v>
      </c>
      <c r="J25" s="167"/>
      <c r="K25" s="168"/>
      <c r="L25" s="2"/>
      <c r="M25" s="187"/>
      <c r="N25" s="188"/>
      <c r="O25" s="188"/>
      <c r="P25" s="189"/>
      <c r="R25" s="187"/>
      <c r="S25" s="188"/>
      <c r="T25" s="188"/>
      <c r="U25" s="189"/>
      <c r="W25" s="187"/>
      <c r="X25" s="236"/>
      <c r="Y25" s="236"/>
      <c r="Z25" s="189"/>
    </row>
    <row r="26" spans="1:26">
      <c r="I26" s="1"/>
      <c r="J26" s="1"/>
      <c r="K26" s="1"/>
      <c r="L26" s="2"/>
      <c r="M26" s="187"/>
      <c r="N26" s="188"/>
      <c r="O26" s="188"/>
      <c r="P26" s="189"/>
      <c r="R26" s="187"/>
      <c r="S26" s="188"/>
      <c r="T26" s="188"/>
      <c r="U26" s="189"/>
      <c r="W26" s="187"/>
      <c r="X26" s="236"/>
      <c r="Y26" s="236"/>
      <c r="Z26" s="189"/>
    </row>
    <row r="27" spans="1:26">
      <c r="A27" s="5" t="s">
        <v>126</v>
      </c>
      <c r="I27" s="166"/>
      <c r="J27" s="167"/>
      <c r="K27" s="168"/>
      <c r="L27" s="2"/>
      <c r="M27" s="187"/>
      <c r="N27" s="188"/>
      <c r="O27" s="188"/>
      <c r="P27" s="189"/>
      <c r="R27" s="187"/>
      <c r="S27" s="188"/>
      <c r="T27" s="188"/>
      <c r="U27" s="189"/>
      <c r="W27" s="190"/>
      <c r="X27" s="191"/>
      <c r="Y27" s="191"/>
      <c r="Z27" s="192"/>
    </row>
    <row r="28" spans="1:26">
      <c r="A28" s="1"/>
      <c r="I28" s="2"/>
      <c r="J28" s="2"/>
      <c r="K28" s="2"/>
      <c r="L28" s="2"/>
      <c r="M28" s="187"/>
      <c r="N28" s="188"/>
      <c r="O28" s="188"/>
      <c r="P28" s="189"/>
      <c r="R28" s="187"/>
      <c r="S28" s="188"/>
      <c r="T28" s="188"/>
      <c r="U28" s="189"/>
      <c r="W28" s="184" t="s">
        <v>138</v>
      </c>
      <c r="X28" s="185"/>
      <c r="Y28" s="185"/>
      <c r="Z28" s="186"/>
    </row>
    <row r="29" spans="1:26">
      <c r="A29" s="5" t="s">
        <v>127</v>
      </c>
      <c r="I29" s="166"/>
      <c r="J29" s="167"/>
      <c r="K29" s="168"/>
      <c r="L29" s="2"/>
      <c r="M29" s="187"/>
      <c r="N29" s="188"/>
      <c r="O29" s="188"/>
      <c r="P29" s="189"/>
      <c r="R29" s="187"/>
      <c r="S29" s="188"/>
      <c r="T29" s="188"/>
      <c r="U29" s="189"/>
      <c r="W29" s="187"/>
      <c r="X29" s="236"/>
      <c r="Y29" s="236"/>
      <c r="Z29" s="189"/>
    </row>
    <row r="30" spans="1:26">
      <c r="A30" s="1"/>
      <c r="I30" s="2"/>
      <c r="J30" s="2"/>
      <c r="K30" s="2"/>
      <c r="L30" s="2"/>
      <c r="M30" s="187"/>
      <c r="N30" s="188"/>
      <c r="O30" s="188"/>
      <c r="P30" s="189"/>
      <c r="R30" s="187"/>
      <c r="S30" s="188"/>
      <c r="T30" s="188"/>
      <c r="U30" s="189"/>
      <c r="W30" s="187"/>
      <c r="X30" s="236"/>
      <c r="Y30" s="236"/>
      <c r="Z30" s="189"/>
    </row>
    <row r="31" spans="1:26">
      <c r="A31" s="5" t="s">
        <v>128</v>
      </c>
      <c r="I31" s="166" t="s">
        <v>135</v>
      </c>
      <c r="J31" s="167"/>
      <c r="K31" s="168"/>
      <c r="L31" s="2"/>
      <c r="M31" s="187"/>
      <c r="N31" s="188"/>
      <c r="O31" s="188"/>
      <c r="P31" s="189"/>
      <c r="R31" s="187"/>
      <c r="S31" s="188"/>
      <c r="T31" s="188"/>
      <c r="U31" s="189"/>
      <c r="W31" s="187"/>
      <c r="X31" s="236"/>
      <c r="Y31" s="236"/>
      <c r="Z31" s="189"/>
    </row>
    <row r="32" spans="1:26">
      <c r="A32" s="1"/>
      <c r="I32" s="2"/>
      <c r="J32" s="2"/>
      <c r="K32" s="2"/>
      <c r="L32" s="2"/>
      <c r="M32" s="190"/>
      <c r="N32" s="191"/>
      <c r="O32" s="191"/>
      <c r="P32" s="192"/>
      <c r="R32" s="190"/>
      <c r="S32" s="191"/>
      <c r="T32" s="191"/>
      <c r="U32" s="192"/>
      <c r="W32" s="190"/>
      <c r="X32" s="191"/>
      <c r="Y32" s="191"/>
      <c r="Z32" s="192"/>
    </row>
    <row r="33" spans="1:26">
      <c r="A33" s="5" t="s">
        <v>129</v>
      </c>
      <c r="I33" s="166">
        <v>0</v>
      </c>
      <c r="J33" s="167"/>
      <c r="K33" s="168"/>
      <c r="L33" s="2"/>
    </row>
    <row r="34" spans="1:26">
      <c r="I34" s="1"/>
      <c r="J34" s="1"/>
      <c r="K34" s="1"/>
      <c r="L34" s="2"/>
      <c r="M34" s="181" t="s">
        <v>83</v>
      </c>
      <c r="N34" s="182"/>
      <c r="O34" s="182"/>
      <c r="P34" s="183"/>
      <c r="R34" s="169" t="s">
        <v>115</v>
      </c>
      <c r="S34" s="169"/>
      <c r="T34" s="169"/>
      <c r="U34" s="169"/>
      <c r="W34" s="169" t="s">
        <v>126</v>
      </c>
      <c r="X34" s="169"/>
      <c r="Y34" s="169"/>
      <c r="Z34" s="169"/>
    </row>
    <row r="35" spans="1:26">
      <c r="A35" s="1" t="s">
        <v>4</v>
      </c>
      <c r="B35" s="1"/>
      <c r="C35" s="1"/>
      <c r="D35" s="1"/>
      <c r="E35" s="1"/>
      <c r="F35" s="1"/>
      <c r="G35" s="1"/>
      <c r="H35" s="1"/>
      <c r="I35" s="166">
        <v>54.5</v>
      </c>
      <c r="J35" s="167"/>
      <c r="K35" s="168"/>
      <c r="L35" s="2"/>
      <c r="M35" s="170" t="s">
        <v>87</v>
      </c>
      <c r="N35" s="171"/>
      <c r="O35" s="171"/>
      <c r="P35" s="172"/>
      <c r="R35" s="180" t="s">
        <v>251</v>
      </c>
      <c r="S35" s="180"/>
      <c r="T35" s="180"/>
      <c r="U35" s="180"/>
      <c r="W35" s="180" t="s">
        <v>126</v>
      </c>
      <c r="X35" s="180"/>
      <c r="Y35" s="180"/>
      <c r="Z35" s="180"/>
    </row>
    <row r="36" spans="1:26">
      <c r="A36" s="4"/>
      <c r="B36" s="4"/>
      <c r="C36" s="1"/>
      <c r="D36" s="1"/>
      <c r="E36" s="1"/>
      <c r="F36" s="1"/>
      <c r="G36" s="1"/>
      <c r="H36" s="1"/>
      <c r="I36" s="1"/>
      <c r="J36" s="2"/>
      <c r="K36" s="2"/>
      <c r="L36" s="2"/>
      <c r="M36" s="173"/>
      <c r="N36" s="174"/>
      <c r="O36" s="174"/>
      <c r="P36" s="175"/>
      <c r="R36" s="180"/>
      <c r="S36" s="180"/>
      <c r="T36" s="180"/>
      <c r="U36" s="180"/>
      <c r="W36" s="180"/>
      <c r="X36" s="180"/>
      <c r="Y36" s="180"/>
      <c r="Z36" s="180"/>
    </row>
    <row r="37" spans="1:26">
      <c r="A37" s="1" t="s">
        <v>3</v>
      </c>
      <c r="B37" s="1"/>
      <c r="C37" s="1"/>
      <c r="D37" s="1"/>
      <c r="E37" s="1"/>
      <c r="F37" s="1"/>
      <c r="G37" s="1"/>
      <c r="H37" s="1"/>
      <c r="I37" s="1"/>
      <c r="J37" s="2"/>
      <c r="K37" s="2"/>
      <c r="L37" s="2"/>
      <c r="M37" s="173"/>
      <c r="N37" s="174"/>
      <c r="O37" s="174"/>
      <c r="P37" s="175"/>
      <c r="R37" s="180"/>
      <c r="S37" s="180"/>
      <c r="T37" s="180"/>
      <c r="U37" s="180"/>
      <c r="W37" s="180"/>
      <c r="X37" s="180"/>
      <c r="Y37" s="180"/>
      <c r="Z37" s="180"/>
    </row>
    <row r="38" spans="1:26">
      <c r="A38" s="1"/>
      <c r="B38" s="1"/>
      <c r="C38" s="1"/>
      <c r="D38" s="1"/>
      <c r="E38" s="1"/>
      <c r="F38" s="1"/>
      <c r="G38" s="1"/>
      <c r="H38" s="1"/>
      <c r="I38" s="166">
        <v>54.5</v>
      </c>
      <c r="J38" s="167"/>
      <c r="K38" s="168"/>
      <c r="L38" s="2"/>
      <c r="M38" s="173"/>
      <c r="N38" s="174"/>
      <c r="O38" s="174"/>
      <c r="P38" s="175"/>
      <c r="R38" s="180"/>
      <c r="S38" s="180"/>
      <c r="T38" s="180"/>
      <c r="U38" s="180"/>
      <c r="W38" s="180"/>
      <c r="X38" s="180"/>
      <c r="Y38" s="180"/>
      <c r="Z38" s="180"/>
    </row>
    <row r="39" spans="1:26">
      <c r="A39" s="6">
        <v>2</v>
      </c>
      <c r="B39" s="6" t="s">
        <v>24</v>
      </c>
      <c r="C39" s="10"/>
      <c r="D39" s="10"/>
      <c r="E39" s="10"/>
      <c r="F39" s="10"/>
      <c r="G39" s="10"/>
      <c r="H39" s="10"/>
      <c r="I39" s="20"/>
      <c r="J39" s="20"/>
      <c r="K39" s="20"/>
      <c r="M39" s="173"/>
      <c r="N39" s="174"/>
      <c r="O39" s="174"/>
      <c r="P39" s="175"/>
      <c r="R39" s="180"/>
      <c r="S39" s="180"/>
      <c r="T39" s="180"/>
      <c r="U39" s="180"/>
      <c r="W39" s="180"/>
      <c r="X39" s="180"/>
      <c r="Y39" s="180"/>
      <c r="Z39" s="180"/>
    </row>
    <row r="40" spans="1:26">
      <c r="A40" s="5"/>
      <c r="B40" s="6"/>
      <c r="C40" s="10"/>
      <c r="D40" s="10"/>
      <c r="E40" s="10"/>
      <c r="F40" s="10"/>
      <c r="G40" s="10"/>
      <c r="H40" s="10"/>
      <c r="I40" s="20"/>
      <c r="J40" s="21"/>
      <c r="K40" s="20"/>
      <c r="M40" s="173"/>
      <c r="N40" s="174"/>
      <c r="O40" s="174"/>
      <c r="P40" s="175"/>
      <c r="R40" s="180"/>
      <c r="S40" s="180"/>
      <c r="T40" s="180"/>
      <c r="U40" s="180"/>
      <c r="W40" s="180"/>
      <c r="X40" s="180"/>
      <c r="Y40" s="180"/>
      <c r="Z40" s="180"/>
    </row>
    <row r="41" spans="1:26" ht="15" customHeight="1">
      <c r="A41" s="11" t="s">
        <v>31</v>
      </c>
      <c r="B41" s="12"/>
      <c r="C41" s="12"/>
      <c r="D41" s="12"/>
      <c r="E41" s="12"/>
      <c r="F41" s="12"/>
      <c r="G41" s="12"/>
      <c r="H41" s="12"/>
      <c r="I41" s="166"/>
      <c r="J41" s="167"/>
      <c r="K41" s="168"/>
      <c r="L41" s="2"/>
      <c r="M41" s="173"/>
      <c r="N41" s="174"/>
      <c r="O41" s="174"/>
      <c r="P41" s="175"/>
      <c r="R41" s="180"/>
      <c r="S41" s="180"/>
      <c r="T41" s="180"/>
      <c r="U41" s="180"/>
      <c r="W41" s="180"/>
      <c r="X41" s="180"/>
      <c r="Y41" s="180"/>
      <c r="Z41" s="180"/>
    </row>
    <row r="42" spans="1:26">
      <c r="A42" s="12"/>
      <c r="B42" s="12"/>
      <c r="C42" s="12"/>
      <c r="D42" s="12"/>
      <c r="E42" s="12"/>
      <c r="F42" s="12"/>
      <c r="G42" s="12"/>
      <c r="H42" s="12"/>
      <c r="M42" s="173"/>
      <c r="N42" s="174"/>
      <c r="O42" s="174"/>
      <c r="P42" s="175"/>
      <c r="R42" s="180"/>
      <c r="S42" s="180"/>
      <c r="T42" s="180"/>
      <c r="U42" s="180"/>
      <c r="W42" s="180"/>
      <c r="X42" s="180"/>
      <c r="Y42" s="180"/>
      <c r="Z42" s="180"/>
    </row>
    <row r="43" spans="1:26">
      <c r="A43" s="10" t="s">
        <v>25</v>
      </c>
      <c r="B43" s="10"/>
      <c r="C43" s="10"/>
      <c r="D43" s="10"/>
      <c r="E43" s="10"/>
      <c r="F43" s="10"/>
      <c r="G43" s="10"/>
      <c r="H43" s="10"/>
      <c r="I43" s="166"/>
      <c r="J43" s="167"/>
      <c r="K43" s="168"/>
      <c r="L43" s="2"/>
      <c r="M43" s="173"/>
      <c r="N43" s="174"/>
      <c r="O43" s="174"/>
      <c r="P43" s="175"/>
      <c r="R43" s="180"/>
      <c r="S43" s="180"/>
      <c r="T43" s="180"/>
      <c r="U43" s="180"/>
      <c r="W43" s="180"/>
      <c r="X43" s="180"/>
      <c r="Y43" s="180"/>
      <c r="Z43" s="180"/>
    </row>
    <row r="44" spans="1:26" ht="15" customHeight="1">
      <c r="A44" s="10"/>
      <c r="B44" s="10"/>
      <c r="C44" s="10"/>
      <c r="D44" s="10"/>
      <c r="E44" s="10"/>
      <c r="F44" s="10"/>
      <c r="G44" s="10"/>
      <c r="H44" s="10"/>
      <c r="I44" s="2"/>
      <c r="J44" s="2"/>
      <c r="K44" s="2"/>
      <c r="L44" s="2"/>
      <c r="M44" s="176"/>
      <c r="N44" s="177"/>
      <c r="O44" s="177"/>
      <c r="P44" s="178"/>
      <c r="R44" s="180"/>
      <c r="S44" s="180"/>
      <c r="T44" s="180"/>
      <c r="U44" s="180"/>
      <c r="W44" s="180"/>
      <c r="X44" s="180"/>
      <c r="Y44" s="180"/>
      <c r="Z44" s="180"/>
    </row>
    <row r="45" spans="1:26">
      <c r="A45" s="10" t="s">
        <v>26</v>
      </c>
      <c r="B45" s="10"/>
      <c r="C45" s="10"/>
      <c r="D45" s="10"/>
      <c r="E45" s="10"/>
      <c r="F45" s="10"/>
      <c r="G45" s="10"/>
      <c r="H45" s="10"/>
      <c r="I45" s="166"/>
      <c r="J45" s="167"/>
      <c r="K45" s="168"/>
      <c r="L45" s="2"/>
    </row>
    <row r="46" spans="1:26">
      <c r="A46" s="6"/>
      <c r="B46" s="6"/>
      <c r="C46" s="10"/>
      <c r="D46" s="10"/>
      <c r="E46" s="10"/>
      <c r="F46" s="10"/>
      <c r="G46" s="10"/>
      <c r="H46" s="10"/>
      <c r="M46" s="169" t="s">
        <v>103</v>
      </c>
      <c r="N46" s="169"/>
      <c r="O46" s="169"/>
      <c r="P46" s="169"/>
      <c r="R46" s="169" t="s">
        <v>116</v>
      </c>
      <c r="S46" s="169"/>
      <c r="T46" s="169"/>
      <c r="U46" s="169"/>
      <c r="W46" s="169" t="s">
        <v>127</v>
      </c>
      <c r="X46" s="169"/>
      <c r="Y46" s="169"/>
      <c r="Z46" s="169"/>
    </row>
    <row r="47" spans="1:26">
      <c r="A47" s="10" t="s">
        <v>27</v>
      </c>
      <c r="B47" s="10"/>
      <c r="C47" s="10"/>
      <c r="D47" s="10"/>
      <c r="E47" s="10"/>
      <c r="F47" s="10"/>
      <c r="G47" s="10"/>
      <c r="H47" s="10"/>
      <c r="I47" s="166"/>
      <c r="J47" s="167"/>
      <c r="K47" s="168"/>
      <c r="L47" s="2"/>
      <c r="M47" s="170" t="s">
        <v>104</v>
      </c>
      <c r="N47" s="171"/>
      <c r="O47" s="171"/>
      <c r="P47" s="172"/>
      <c r="R47" s="179" t="s">
        <v>254</v>
      </c>
      <c r="S47" s="180"/>
      <c r="T47" s="180"/>
      <c r="U47" s="180"/>
      <c r="W47" s="180" t="s">
        <v>127</v>
      </c>
      <c r="X47" s="180"/>
      <c r="Y47" s="180"/>
      <c r="Z47" s="180"/>
    </row>
    <row r="48" spans="1:26">
      <c r="A48" s="10"/>
      <c r="B48" s="10"/>
      <c r="C48" s="10"/>
      <c r="D48" s="10"/>
      <c r="E48" s="10"/>
      <c r="F48" s="10"/>
      <c r="G48" s="10"/>
      <c r="H48" s="10"/>
      <c r="I48" s="2"/>
      <c r="J48" s="2"/>
      <c r="K48" s="2"/>
      <c r="L48" s="2"/>
      <c r="M48" s="173"/>
      <c r="N48" s="174"/>
      <c r="O48" s="174"/>
      <c r="P48" s="175"/>
      <c r="R48" s="180"/>
      <c r="S48" s="180"/>
      <c r="T48" s="180"/>
      <c r="U48" s="180"/>
      <c r="W48" s="180"/>
      <c r="X48" s="180"/>
      <c r="Y48" s="180"/>
      <c r="Z48" s="180"/>
    </row>
    <row r="49" spans="1:31">
      <c r="A49" s="10" t="s">
        <v>5</v>
      </c>
      <c r="B49" s="10"/>
      <c r="C49" s="10"/>
      <c r="D49" s="10"/>
      <c r="E49" s="10"/>
      <c r="F49" s="10"/>
      <c r="G49" s="10"/>
      <c r="H49" s="10"/>
      <c r="I49" s="166"/>
      <c r="J49" s="167"/>
      <c r="K49" s="168"/>
      <c r="L49" s="2"/>
      <c r="M49" s="173"/>
      <c r="N49" s="174"/>
      <c r="O49" s="174"/>
      <c r="P49" s="175"/>
      <c r="R49" s="180"/>
      <c r="S49" s="180"/>
      <c r="T49" s="180"/>
      <c r="U49" s="180"/>
      <c r="W49" s="180"/>
      <c r="X49" s="180"/>
      <c r="Y49" s="180"/>
      <c r="Z49" s="180"/>
    </row>
    <row r="50" spans="1:31">
      <c r="A50" s="6"/>
      <c r="B50" s="6"/>
      <c r="C50" s="10"/>
      <c r="D50" s="10"/>
      <c r="E50" s="10"/>
      <c r="F50" s="10"/>
      <c r="G50" s="10"/>
      <c r="H50" s="10"/>
      <c r="I50" s="20"/>
      <c r="J50" s="20"/>
      <c r="K50" s="20"/>
      <c r="M50" s="173"/>
      <c r="N50" s="174"/>
      <c r="O50" s="174"/>
      <c r="P50" s="175"/>
      <c r="R50" s="180"/>
      <c r="S50" s="180"/>
      <c r="T50" s="180"/>
      <c r="U50" s="180"/>
      <c r="W50" s="180"/>
      <c r="X50" s="180"/>
      <c r="Y50" s="180"/>
      <c r="Z50" s="180"/>
    </row>
    <row r="51" spans="1:31">
      <c r="A51" s="10" t="s">
        <v>6</v>
      </c>
      <c r="B51" s="10"/>
      <c r="C51" s="10"/>
      <c r="D51" s="10"/>
      <c r="E51" s="10"/>
      <c r="F51" s="10"/>
      <c r="G51" s="10"/>
      <c r="H51" s="10"/>
      <c r="I51" s="166"/>
      <c r="J51" s="167"/>
      <c r="K51" s="168"/>
      <c r="L51" s="2"/>
      <c r="M51" s="173"/>
      <c r="N51" s="174"/>
      <c r="O51" s="174"/>
      <c r="P51" s="175"/>
      <c r="R51" s="180"/>
      <c r="S51" s="180"/>
      <c r="T51" s="180"/>
      <c r="U51" s="180"/>
      <c r="W51" s="180"/>
      <c r="X51" s="180"/>
      <c r="Y51" s="180"/>
      <c r="Z51" s="180"/>
    </row>
    <row r="52" spans="1:31">
      <c r="A52" s="10"/>
      <c r="B52" s="10"/>
      <c r="C52" s="10"/>
      <c r="D52" s="10"/>
      <c r="E52" s="10"/>
      <c r="F52" s="10"/>
      <c r="G52" s="10"/>
      <c r="H52" s="10"/>
      <c r="I52" s="2"/>
      <c r="J52" s="2"/>
      <c r="K52" s="2"/>
      <c r="L52" s="2"/>
      <c r="M52" s="173"/>
      <c r="N52" s="174"/>
      <c r="O52" s="174"/>
      <c r="P52" s="175"/>
      <c r="R52" s="180"/>
      <c r="S52" s="180"/>
      <c r="T52" s="180"/>
      <c r="U52" s="180"/>
      <c r="W52" s="180"/>
      <c r="X52" s="180"/>
      <c r="Y52" s="180"/>
      <c r="Z52" s="180"/>
    </row>
    <row r="53" spans="1:31">
      <c r="A53" s="10" t="s">
        <v>89</v>
      </c>
      <c r="B53" s="10"/>
      <c r="C53" s="10"/>
      <c r="D53" s="10"/>
      <c r="E53" s="10"/>
      <c r="F53" s="10"/>
      <c r="G53" s="10"/>
      <c r="H53" s="10"/>
      <c r="I53" s="160" t="s">
        <v>134</v>
      </c>
      <c r="J53" s="161"/>
      <c r="K53" s="162"/>
      <c r="L53" s="2"/>
      <c r="M53" s="173"/>
      <c r="N53" s="174"/>
      <c r="O53" s="174"/>
      <c r="P53" s="175"/>
      <c r="R53" s="180"/>
      <c r="S53" s="180"/>
      <c r="T53" s="180"/>
      <c r="U53" s="180"/>
      <c r="W53" s="180"/>
      <c r="X53" s="180"/>
      <c r="Y53" s="180"/>
      <c r="Z53" s="180"/>
    </row>
    <row r="54" spans="1:31">
      <c r="A54" s="6"/>
      <c r="B54" s="6"/>
      <c r="C54" s="10"/>
      <c r="D54" s="10"/>
      <c r="E54" s="10"/>
      <c r="F54" s="10"/>
      <c r="G54" s="10"/>
      <c r="H54" s="10"/>
      <c r="M54" s="173"/>
      <c r="N54" s="174"/>
      <c r="O54" s="174"/>
      <c r="P54" s="175"/>
      <c r="R54" s="180"/>
      <c r="S54" s="180"/>
      <c r="T54" s="180"/>
      <c r="U54" s="180"/>
      <c r="V54" s="1"/>
      <c r="W54" s="180"/>
      <c r="X54" s="180"/>
      <c r="Y54" s="180"/>
      <c r="Z54" s="180"/>
    </row>
    <row r="55" spans="1:31">
      <c r="A55" s="10" t="s">
        <v>7</v>
      </c>
      <c r="B55" s="10"/>
      <c r="C55" s="10"/>
      <c r="D55" s="10"/>
      <c r="E55" s="10"/>
      <c r="F55" s="10"/>
      <c r="G55" s="10"/>
      <c r="H55" s="10"/>
      <c r="I55" s="160" t="s">
        <v>134</v>
      </c>
      <c r="J55" s="161"/>
      <c r="K55" s="162"/>
      <c r="L55" s="2"/>
      <c r="M55" s="173"/>
      <c r="N55" s="174"/>
      <c r="O55" s="174"/>
      <c r="P55" s="175"/>
      <c r="R55" s="180"/>
      <c r="S55" s="180"/>
      <c r="T55" s="180"/>
      <c r="U55" s="180"/>
      <c r="V55" s="1"/>
      <c r="W55" s="180"/>
      <c r="X55" s="180"/>
      <c r="Y55" s="180"/>
      <c r="Z55" s="180"/>
    </row>
    <row r="56" spans="1:31">
      <c r="A56" s="10"/>
      <c r="B56" s="10"/>
      <c r="C56" s="10"/>
      <c r="D56" s="10"/>
      <c r="E56" s="10"/>
      <c r="F56" s="10"/>
      <c r="G56" s="10"/>
      <c r="H56" s="10"/>
      <c r="I56" s="2"/>
      <c r="J56" s="2"/>
      <c r="K56" s="2"/>
      <c r="L56" s="2"/>
      <c r="M56" s="176"/>
      <c r="N56" s="177"/>
      <c r="O56" s="177"/>
      <c r="P56" s="178"/>
      <c r="R56" s="180"/>
      <c r="S56" s="180"/>
      <c r="T56" s="180"/>
      <c r="U56" s="180"/>
      <c r="V56" s="1"/>
      <c r="W56" s="180"/>
      <c r="X56" s="180"/>
      <c r="Y56" s="180"/>
      <c r="Z56" s="180"/>
    </row>
    <row r="57" spans="1:31">
      <c r="A57" s="10" t="s">
        <v>28</v>
      </c>
      <c r="B57" s="10"/>
      <c r="C57" s="10"/>
      <c r="D57" s="10"/>
      <c r="E57" s="10"/>
      <c r="F57" s="10"/>
      <c r="G57" s="10"/>
      <c r="H57" s="10"/>
      <c r="I57" s="166">
        <v>0</v>
      </c>
      <c r="J57" s="167"/>
      <c r="K57" s="168"/>
      <c r="L57" s="2"/>
      <c r="V57" s="1"/>
    </row>
    <row r="58" spans="1:31">
      <c r="A58" s="6"/>
      <c r="B58" s="6"/>
      <c r="C58" s="10"/>
      <c r="D58" s="10"/>
      <c r="E58" s="10"/>
      <c r="F58" s="10"/>
      <c r="G58" s="10"/>
      <c r="H58" s="10"/>
      <c r="M58" s="169" t="s">
        <v>130</v>
      </c>
      <c r="N58" s="169"/>
      <c r="O58" s="169"/>
      <c r="P58" s="169"/>
      <c r="R58" s="169" t="s">
        <v>247</v>
      </c>
      <c r="S58" s="169"/>
      <c r="T58" s="169"/>
      <c r="U58" s="169"/>
      <c r="V58" s="2"/>
      <c r="W58" s="169" t="s">
        <v>248</v>
      </c>
      <c r="X58" s="169"/>
      <c r="Y58" s="169"/>
      <c r="Z58" s="169"/>
      <c r="AB58" s="169" t="s">
        <v>188</v>
      </c>
      <c r="AC58" s="169"/>
      <c r="AD58" s="169"/>
      <c r="AE58" s="169"/>
    </row>
    <row r="59" spans="1:31" ht="15" customHeight="1">
      <c r="A59" s="10" t="s">
        <v>29</v>
      </c>
      <c r="B59" s="10"/>
      <c r="C59" s="10"/>
      <c r="D59" s="10"/>
      <c r="E59" s="10"/>
      <c r="F59" s="10"/>
      <c r="G59" s="10"/>
      <c r="H59" s="10"/>
      <c r="I59" s="160" t="s">
        <v>134</v>
      </c>
      <c r="J59" s="161"/>
      <c r="K59" s="162"/>
      <c r="L59" s="2"/>
      <c r="M59" s="170" t="s">
        <v>131</v>
      </c>
      <c r="N59" s="171"/>
      <c r="O59" s="171"/>
      <c r="P59" s="172"/>
      <c r="R59" s="170" t="s">
        <v>252</v>
      </c>
      <c r="S59" s="171"/>
      <c r="T59" s="171"/>
      <c r="U59" s="172"/>
      <c r="V59" s="2"/>
      <c r="W59" s="170" t="s">
        <v>253</v>
      </c>
      <c r="X59" s="171"/>
      <c r="Y59" s="171"/>
      <c r="Z59" s="172"/>
      <c r="AB59" s="170" t="s">
        <v>190</v>
      </c>
      <c r="AC59" s="171"/>
      <c r="AD59" s="171"/>
      <c r="AE59" s="172"/>
    </row>
    <row r="60" spans="1:31">
      <c r="A60" s="6"/>
      <c r="B60" s="6"/>
      <c r="C60" s="10"/>
      <c r="D60" s="10"/>
      <c r="E60" s="10"/>
      <c r="F60" s="10"/>
      <c r="G60" s="10"/>
      <c r="H60" s="10"/>
      <c r="M60" s="173"/>
      <c r="N60" s="174"/>
      <c r="O60" s="174"/>
      <c r="P60" s="175"/>
      <c r="R60" s="173"/>
      <c r="S60" s="235"/>
      <c r="T60" s="235"/>
      <c r="U60" s="175"/>
      <c r="V60" s="2"/>
      <c r="W60" s="173"/>
      <c r="X60" s="235"/>
      <c r="Y60" s="235"/>
      <c r="Z60" s="175"/>
      <c r="AB60" s="173"/>
      <c r="AC60" s="174"/>
      <c r="AD60" s="174"/>
      <c r="AE60" s="175"/>
    </row>
    <row r="61" spans="1:31">
      <c r="A61" s="10" t="s">
        <v>8</v>
      </c>
      <c r="B61" s="10"/>
      <c r="C61" s="10"/>
      <c r="D61" s="10"/>
      <c r="E61" s="10"/>
      <c r="F61" s="10"/>
      <c r="G61" s="10"/>
      <c r="H61" s="10"/>
      <c r="I61" s="160" t="s">
        <v>134</v>
      </c>
      <c r="J61" s="161"/>
      <c r="K61" s="162"/>
      <c r="L61" s="2"/>
      <c r="M61" s="173"/>
      <c r="N61" s="174"/>
      <c r="O61" s="174"/>
      <c r="P61" s="175"/>
      <c r="R61" s="173"/>
      <c r="S61" s="235"/>
      <c r="T61" s="235"/>
      <c r="U61" s="175"/>
      <c r="V61" s="2"/>
      <c r="W61" s="173"/>
      <c r="X61" s="235"/>
      <c r="Y61" s="235"/>
      <c r="Z61" s="175"/>
      <c r="AB61" s="173"/>
      <c r="AC61" s="174"/>
      <c r="AD61" s="174"/>
      <c r="AE61" s="175"/>
    </row>
    <row r="62" spans="1:31">
      <c r="A62" s="6"/>
      <c r="B62" s="6"/>
      <c r="C62" s="10"/>
      <c r="D62" s="10"/>
      <c r="E62" s="10"/>
      <c r="F62" s="10"/>
      <c r="G62" s="10"/>
      <c r="H62" s="10"/>
      <c r="M62" s="173"/>
      <c r="N62" s="174"/>
      <c r="O62" s="174"/>
      <c r="P62" s="175"/>
      <c r="R62" s="173"/>
      <c r="S62" s="235"/>
      <c r="T62" s="235"/>
      <c r="U62" s="175"/>
      <c r="V62" s="2"/>
      <c r="W62" s="173"/>
      <c r="X62" s="235"/>
      <c r="Y62" s="235"/>
      <c r="Z62" s="175"/>
      <c r="AB62" s="173"/>
      <c r="AC62" s="174"/>
      <c r="AD62" s="174"/>
      <c r="AE62" s="175"/>
    </row>
    <row r="63" spans="1:31">
      <c r="A63" s="10" t="s">
        <v>9</v>
      </c>
      <c r="B63" s="10"/>
      <c r="C63" s="10"/>
      <c r="D63" s="10"/>
      <c r="E63" s="10"/>
      <c r="F63" s="10"/>
      <c r="G63" s="10"/>
      <c r="H63" s="10"/>
      <c r="I63" s="160" t="s">
        <v>134</v>
      </c>
      <c r="J63" s="161"/>
      <c r="K63" s="162"/>
      <c r="L63" s="2"/>
      <c r="M63" s="173"/>
      <c r="N63" s="174"/>
      <c r="O63" s="174"/>
      <c r="P63" s="175"/>
      <c r="R63" s="173"/>
      <c r="S63" s="235"/>
      <c r="T63" s="235"/>
      <c r="U63" s="175"/>
      <c r="V63" s="2"/>
      <c r="W63" s="173"/>
      <c r="X63" s="235"/>
      <c r="Y63" s="235"/>
      <c r="Z63" s="175"/>
      <c r="AB63" s="173"/>
      <c r="AC63" s="174"/>
      <c r="AD63" s="174"/>
      <c r="AE63" s="175"/>
    </row>
    <row r="64" spans="1:31" ht="15" customHeight="1">
      <c r="A64" s="6"/>
      <c r="B64" s="6"/>
      <c r="C64" s="10"/>
      <c r="D64" s="10"/>
      <c r="E64" s="10"/>
      <c r="F64" s="10"/>
      <c r="G64" s="10"/>
      <c r="H64" s="10"/>
      <c r="M64" s="173"/>
      <c r="N64" s="174"/>
      <c r="O64" s="174"/>
      <c r="P64" s="175"/>
      <c r="R64" s="173"/>
      <c r="S64" s="235"/>
      <c r="T64" s="235"/>
      <c r="U64" s="175"/>
      <c r="V64" s="2"/>
      <c r="W64" s="173"/>
      <c r="X64" s="235"/>
      <c r="Y64" s="235"/>
      <c r="Z64" s="175"/>
      <c r="AB64" s="173"/>
      <c r="AC64" s="174"/>
      <c r="AD64" s="174"/>
      <c r="AE64" s="175"/>
    </row>
    <row r="65" spans="1:31">
      <c r="A65" s="10" t="s">
        <v>10</v>
      </c>
      <c r="B65" s="7"/>
      <c r="C65" s="10"/>
      <c r="D65" s="10"/>
      <c r="E65" s="10"/>
      <c r="F65" s="10"/>
      <c r="G65" s="10"/>
      <c r="H65" s="10"/>
      <c r="I65" s="160" t="s">
        <v>134</v>
      </c>
      <c r="J65" s="161"/>
      <c r="K65" s="162"/>
      <c r="M65" s="173"/>
      <c r="N65" s="174"/>
      <c r="O65" s="174"/>
      <c r="P65" s="175"/>
      <c r="R65" s="173"/>
      <c r="S65" s="235"/>
      <c r="T65" s="235"/>
      <c r="U65" s="175"/>
      <c r="V65" s="2"/>
      <c r="W65" s="173"/>
      <c r="X65" s="235"/>
      <c r="Y65" s="235"/>
      <c r="Z65" s="175"/>
      <c r="AB65" s="173"/>
      <c r="AC65" s="174"/>
      <c r="AD65" s="174"/>
      <c r="AE65" s="175"/>
    </row>
    <row r="66" spans="1:31">
      <c r="A66" s="7"/>
      <c r="B66" s="7"/>
      <c r="C66" s="10"/>
      <c r="D66" s="10"/>
      <c r="E66" s="10"/>
      <c r="F66" s="10"/>
      <c r="G66" s="10"/>
      <c r="H66" s="10"/>
      <c r="I66" s="2"/>
      <c r="J66" s="10"/>
      <c r="K66" s="10"/>
      <c r="L66" s="10"/>
      <c r="M66" s="173"/>
      <c r="N66" s="174"/>
      <c r="O66" s="174"/>
      <c r="P66" s="175"/>
      <c r="Q66" s="2"/>
      <c r="R66" s="173"/>
      <c r="S66" s="235"/>
      <c r="T66" s="235"/>
      <c r="U66" s="175"/>
      <c r="V66" s="2"/>
      <c r="W66" s="173"/>
      <c r="X66" s="235"/>
      <c r="Y66" s="235"/>
      <c r="Z66" s="175"/>
      <c r="AB66" s="173"/>
      <c r="AC66" s="174"/>
      <c r="AD66" s="174"/>
      <c r="AE66" s="175"/>
    </row>
    <row r="67" spans="1:31">
      <c r="A67" s="10" t="s">
        <v>11</v>
      </c>
      <c r="B67" s="10"/>
      <c r="C67" s="10"/>
      <c r="D67" s="10"/>
      <c r="E67" s="10"/>
      <c r="F67" s="10"/>
      <c r="G67" s="10"/>
      <c r="H67" s="10"/>
      <c r="I67" s="160" t="s">
        <v>134</v>
      </c>
      <c r="J67" s="161"/>
      <c r="K67" s="162"/>
      <c r="L67" s="2"/>
      <c r="M67" s="173"/>
      <c r="N67" s="174"/>
      <c r="O67" s="174"/>
      <c r="P67" s="175"/>
      <c r="Q67" s="2"/>
      <c r="R67" s="173"/>
      <c r="S67" s="235"/>
      <c r="T67" s="235"/>
      <c r="U67" s="175"/>
      <c r="V67" s="1"/>
      <c r="W67" s="173"/>
      <c r="X67" s="235"/>
      <c r="Y67" s="235"/>
      <c r="Z67" s="175"/>
      <c r="AB67" s="173"/>
      <c r="AC67" s="174"/>
      <c r="AD67" s="174"/>
      <c r="AE67" s="175"/>
    </row>
    <row r="68" spans="1:31">
      <c r="A68" s="3"/>
      <c r="B68" s="10"/>
      <c r="C68" s="10"/>
      <c r="D68" s="10"/>
      <c r="E68" s="10"/>
      <c r="F68" s="10"/>
      <c r="G68" s="10"/>
      <c r="H68" s="10"/>
      <c r="I68" s="2"/>
      <c r="J68" s="2"/>
      <c r="K68" s="2"/>
      <c r="L68" s="2"/>
      <c r="M68" s="176"/>
      <c r="N68" s="177"/>
      <c r="O68" s="177"/>
      <c r="P68" s="178"/>
      <c r="Q68" s="2"/>
      <c r="R68" s="176"/>
      <c r="S68" s="177"/>
      <c r="T68" s="177"/>
      <c r="U68" s="178"/>
      <c r="V68" s="1"/>
      <c r="W68" s="176"/>
      <c r="X68" s="177"/>
      <c r="Y68" s="177"/>
      <c r="Z68" s="178"/>
      <c r="AB68" s="176"/>
      <c r="AC68" s="177"/>
      <c r="AD68" s="177"/>
      <c r="AE68" s="178"/>
    </row>
    <row r="69" spans="1:31">
      <c r="A69" s="10" t="s">
        <v>12</v>
      </c>
      <c r="B69" s="10"/>
      <c r="C69" s="10"/>
      <c r="D69" s="10"/>
      <c r="E69" s="10"/>
      <c r="F69" s="10"/>
      <c r="G69" s="10"/>
      <c r="H69" s="10"/>
      <c r="I69" s="160" t="s">
        <v>134</v>
      </c>
      <c r="J69" s="161"/>
      <c r="K69" s="162"/>
      <c r="L69" s="2"/>
      <c r="M69" s="2"/>
      <c r="N69" s="2"/>
      <c r="O69" s="2"/>
      <c r="P69" s="2"/>
      <c r="Q69" s="2"/>
      <c r="V69" s="1"/>
    </row>
    <row r="70" spans="1:31">
      <c r="A70" s="10"/>
      <c r="B70" s="10"/>
      <c r="C70" s="10"/>
      <c r="D70" s="10"/>
      <c r="E70" s="10"/>
      <c r="F70" s="10"/>
      <c r="G70" s="10"/>
      <c r="H70" s="10"/>
      <c r="I70" s="13"/>
      <c r="J70" s="13"/>
      <c r="K70" s="13"/>
      <c r="L70" s="2"/>
      <c r="M70" s="2"/>
      <c r="N70" s="2"/>
      <c r="O70" s="2"/>
      <c r="P70" s="2"/>
      <c r="Q70" s="2"/>
      <c r="V70" s="1"/>
    </row>
    <row r="71" spans="1:31">
      <c r="A71" s="10" t="s">
        <v>57</v>
      </c>
      <c r="B71" s="10"/>
      <c r="C71" s="10"/>
      <c r="D71" s="10"/>
      <c r="E71" s="10"/>
      <c r="F71" s="10"/>
      <c r="G71" s="10"/>
      <c r="H71" s="10"/>
      <c r="I71" s="160"/>
      <c r="J71" s="161"/>
      <c r="K71" s="162"/>
      <c r="L71" s="2"/>
      <c r="M71" s="2"/>
      <c r="N71" s="2"/>
      <c r="O71" s="2"/>
      <c r="P71" s="2"/>
      <c r="Q71" s="2"/>
      <c r="V71" s="1"/>
    </row>
    <row r="72" spans="1:31">
      <c r="A72" s="1"/>
      <c r="B72" s="1"/>
      <c r="C72" s="1"/>
      <c r="D72" s="1"/>
      <c r="E72" s="1"/>
      <c r="F72" s="1"/>
      <c r="G72" s="1"/>
      <c r="H72" s="1"/>
      <c r="I72" s="1"/>
      <c r="J72" s="1"/>
      <c r="K72" s="1"/>
      <c r="L72" s="1"/>
      <c r="M72" s="2"/>
      <c r="N72" s="2"/>
      <c r="O72" s="2"/>
      <c r="P72" s="2"/>
      <c r="Q72" s="2"/>
      <c r="R72" s="2"/>
      <c r="S72" s="2"/>
      <c r="T72" s="2"/>
      <c r="U72" s="2"/>
      <c r="V72" s="2"/>
    </row>
    <row r="73" spans="1:31" ht="16.5" thickBot="1">
      <c r="A73" s="8">
        <v>2.1</v>
      </c>
      <c r="B73" s="6" t="s">
        <v>33</v>
      </c>
      <c r="C73" s="22"/>
      <c r="D73" s="22"/>
      <c r="E73" s="22"/>
      <c r="F73" s="22"/>
      <c r="G73" s="22"/>
      <c r="H73" s="22"/>
      <c r="I73" s="22"/>
      <c r="J73" s="22"/>
      <c r="K73" s="22"/>
      <c r="L73" s="22"/>
      <c r="M73" s="22"/>
      <c r="N73" s="22"/>
      <c r="O73" s="22"/>
      <c r="P73" s="22"/>
      <c r="Q73" s="22"/>
      <c r="R73" s="22"/>
      <c r="S73" s="22"/>
      <c r="T73" s="22"/>
      <c r="U73" s="22"/>
      <c r="V73" s="22"/>
    </row>
    <row r="74" spans="1:31">
      <c r="A74" s="142" t="s">
        <v>30</v>
      </c>
      <c r="B74" s="143"/>
      <c r="C74" s="163"/>
      <c r="D74" s="164" t="s">
        <v>13</v>
      </c>
      <c r="E74" s="165"/>
      <c r="F74" s="164" t="s">
        <v>14</v>
      </c>
      <c r="G74" s="158"/>
      <c r="H74" s="157" t="s">
        <v>15</v>
      </c>
      <c r="I74" s="158"/>
      <c r="J74" s="157" t="s">
        <v>16</v>
      </c>
      <c r="K74" s="158"/>
      <c r="L74" s="157" t="s">
        <v>17</v>
      </c>
      <c r="M74" s="158"/>
      <c r="N74" s="157" t="s">
        <v>18</v>
      </c>
      <c r="O74" s="158"/>
      <c r="P74" s="157" t="s">
        <v>19</v>
      </c>
      <c r="Q74" s="158"/>
      <c r="R74" s="157" t="s">
        <v>119</v>
      </c>
      <c r="S74" s="158"/>
      <c r="T74" s="157" t="s">
        <v>120</v>
      </c>
      <c r="U74" s="158"/>
      <c r="V74" s="2"/>
    </row>
    <row r="75" spans="1:31" ht="15.75" thickBot="1">
      <c r="A75" s="152" t="s">
        <v>20</v>
      </c>
      <c r="B75" s="153"/>
      <c r="C75" s="159"/>
      <c r="D75" s="23" t="s">
        <v>21</v>
      </c>
      <c r="E75" s="24" t="s">
        <v>22</v>
      </c>
      <c r="F75" s="25" t="s">
        <v>21</v>
      </c>
      <c r="G75" s="24" t="s">
        <v>22</v>
      </c>
      <c r="H75" s="25" t="s">
        <v>21</v>
      </c>
      <c r="I75" s="24" t="s">
        <v>22</v>
      </c>
      <c r="J75" s="25" t="s">
        <v>21</v>
      </c>
      <c r="K75" s="24" t="s">
        <v>22</v>
      </c>
      <c r="L75" s="25" t="s">
        <v>21</v>
      </c>
      <c r="M75" s="24" t="s">
        <v>22</v>
      </c>
      <c r="N75" s="25" t="s">
        <v>21</v>
      </c>
      <c r="O75" s="24" t="s">
        <v>22</v>
      </c>
      <c r="P75" s="25" t="s">
        <v>21</v>
      </c>
      <c r="Q75" s="24" t="s">
        <v>22</v>
      </c>
      <c r="R75" s="25" t="s">
        <v>21</v>
      </c>
      <c r="S75" s="24" t="s">
        <v>22</v>
      </c>
      <c r="T75" s="25" t="s">
        <v>21</v>
      </c>
      <c r="U75" s="24" t="s">
        <v>22</v>
      </c>
      <c r="V75" s="2"/>
    </row>
    <row r="76" spans="1:31">
      <c r="A76" s="133" t="s">
        <v>56</v>
      </c>
      <c r="B76" s="134"/>
      <c r="C76" s="156"/>
      <c r="D76" s="26"/>
      <c r="E76" s="27"/>
      <c r="F76" s="26"/>
      <c r="G76" s="27"/>
      <c r="H76" s="26"/>
      <c r="I76" s="27"/>
      <c r="J76" s="26"/>
      <c r="K76" s="27"/>
      <c r="L76" s="26"/>
      <c r="M76" s="27"/>
      <c r="N76" s="26"/>
      <c r="O76" s="27"/>
      <c r="P76" s="26"/>
      <c r="Q76" s="27"/>
      <c r="R76" s="26"/>
      <c r="S76" s="27"/>
      <c r="T76" s="26"/>
      <c r="U76" s="27"/>
      <c r="V76" s="2"/>
    </row>
    <row r="77" spans="1:31">
      <c r="A77" s="137" t="s">
        <v>46</v>
      </c>
      <c r="B77" s="138"/>
      <c r="C77" s="155"/>
      <c r="D77" s="28"/>
      <c r="E77" s="29"/>
      <c r="F77" s="28"/>
      <c r="G77" s="29"/>
      <c r="H77" s="28"/>
      <c r="I77" s="29"/>
      <c r="J77" s="28"/>
      <c r="K77" s="29"/>
      <c r="L77" s="28"/>
      <c r="M77" s="29"/>
      <c r="N77" s="28"/>
      <c r="O77" s="29"/>
      <c r="P77" s="28"/>
      <c r="Q77" s="29"/>
      <c r="R77" s="28"/>
      <c r="S77" s="29"/>
      <c r="T77" s="28"/>
      <c r="U77" s="29"/>
      <c r="V77" s="2"/>
    </row>
    <row r="78" spans="1:31">
      <c r="A78" s="129" t="s">
        <v>47</v>
      </c>
      <c r="B78" s="130"/>
      <c r="C78" s="154"/>
      <c r="D78" s="28"/>
      <c r="E78" s="29"/>
      <c r="F78" s="28"/>
      <c r="G78" s="29"/>
      <c r="H78" s="28"/>
      <c r="I78" s="29"/>
      <c r="J78" s="28"/>
      <c r="K78" s="29"/>
      <c r="L78" s="28"/>
      <c r="M78" s="29"/>
      <c r="N78" s="28"/>
      <c r="O78" s="29"/>
      <c r="P78" s="28"/>
      <c r="Q78" s="29"/>
      <c r="R78" s="28"/>
      <c r="S78" s="29"/>
      <c r="T78" s="28"/>
      <c r="U78" s="29"/>
      <c r="V78" s="2"/>
    </row>
    <row r="79" spans="1:31">
      <c r="A79" s="137" t="s">
        <v>48</v>
      </c>
      <c r="B79" s="138"/>
      <c r="C79" s="155"/>
      <c r="D79" s="28"/>
      <c r="E79" s="29"/>
      <c r="F79" s="28"/>
      <c r="G79" s="29"/>
      <c r="H79" s="28"/>
      <c r="I79" s="29"/>
      <c r="J79" s="28"/>
      <c r="K79" s="29"/>
      <c r="L79" s="28"/>
      <c r="M79" s="29"/>
      <c r="N79" s="28"/>
      <c r="O79" s="29"/>
      <c r="P79" s="28"/>
      <c r="Q79" s="29"/>
      <c r="R79" s="28"/>
      <c r="S79" s="29"/>
      <c r="T79" s="28"/>
      <c r="U79" s="29"/>
      <c r="V79" s="2"/>
    </row>
    <row r="80" spans="1:31">
      <c r="A80" s="129" t="s">
        <v>49</v>
      </c>
      <c r="B80" s="130"/>
      <c r="C80" s="154"/>
      <c r="D80" s="28"/>
      <c r="E80" s="29"/>
      <c r="F80" s="28"/>
      <c r="G80" s="29"/>
      <c r="H80" s="28"/>
      <c r="I80" s="29"/>
      <c r="J80" s="28"/>
      <c r="K80" s="29"/>
      <c r="L80" s="28"/>
      <c r="M80" s="29"/>
      <c r="N80" s="28"/>
      <c r="O80" s="29"/>
      <c r="P80" s="28"/>
      <c r="Q80" s="29"/>
      <c r="R80" s="28"/>
      <c r="S80" s="29"/>
      <c r="T80" s="28"/>
      <c r="U80" s="29"/>
      <c r="V80" s="2"/>
    </row>
    <row r="81" spans="1:27">
      <c r="A81" s="129" t="s">
        <v>132</v>
      </c>
      <c r="B81" s="130"/>
      <c r="C81" s="154"/>
      <c r="D81" s="28"/>
      <c r="E81" s="29"/>
      <c r="F81" s="28"/>
      <c r="G81" s="29"/>
      <c r="H81" s="28"/>
      <c r="I81" s="29"/>
      <c r="J81" s="28"/>
      <c r="K81" s="29"/>
      <c r="L81" s="28"/>
      <c r="M81" s="29"/>
      <c r="N81" s="28"/>
      <c r="O81" s="29"/>
      <c r="P81" s="28"/>
      <c r="Q81" s="29"/>
      <c r="R81" s="28"/>
      <c r="S81" s="29"/>
      <c r="T81" s="28"/>
      <c r="U81" s="29"/>
      <c r="V81" s="2"/>
    </row>
    <row r="82" spans="1:27" ht="15" customHeight="1">
      <c r="A82" s="129" t="s">
        <v>50</v>
      </c>
      <c r="B82" s="130"/>
      <c r="C82" s="154"/>
      <c r="D82" s="28"/>
      <c r="E82" s="29"/>
      <c r="F82" s="28"/>
      <c r="G82" s="29"/>
      <c r="H82" s="28"/>
      <c r="I82" s="29"/>
      <c r="J82" s="28"/>
      <c r="K82" s="29"/>
      <c r="L82" s="28"/>
      <c r="M82" s="29"/>
      <c r="N82" s="28"/>
      <c r="O82" s="29"/>
      <c r="P82" s="28"/>
      <c r="Q82" s="29"/>
      <c r="R82" s="28"/>
      <c r="S82" s="29"/>
      <c r="T82" s="28"/>
      <c r="U82" s="29"/>
      <c r="V82" s="2"/>
    </row>
    <row r="83" spans="1:27" ht="15" customHeight="1">
      <c r="A83" s="137" t="s">
        <v>51</v>
      </c>
      <c r="B83" s="138"/>
      <c r="C83" s="155"/>
      <c r="D83" s="28"/>
      <c r="E83" s="29"/>
      <c r="F83" s="28"/>
      <c r="G83" s="29"/>
      <c r="H83" s="28"/>
      <c r="I83" s="29"/>
      <c r="J83" s="28"/>
      <c r="K83" s="29"/>
      <c r="L83" s="28"/>
      <c r="M83" s="29"/>
      <c r="N83" s="28"/>
      <c r="O83" s="29"/>
      <c r="P83" s="28"/>
      <c r="Q83" s="29"/>
      <c r="R83" s="28"/>
      <c r="S83" s="29"/>
      <c r="T83" s="28"/>
      <c r="U83" s="29"/>
      <c r="V83" s="2"/>
    </row>
    <row r="84" spans="1:27" ht="15" customHeight="1">
      <c r="A84" s="129" t="s">
        <v>63</v>
      </c>
      <c r="B84" s="130"/>
      <c r="C84" s="154"/>
      <c r="D84" s="28"/>
      <c r="E84" s="29"/>
      <c r="F84" s="28"/>
      <c r="G84" s="29"/>
      <c r="H84" s="28"/>
      <c r="I84" s="29"/>
      <c r="J84" s="28"/>
      <c r="K84" s="29"/>
      <c r="L84" s="28"/>
      <c r="M84" s="29"/>
      <c r="N84" s="28"/>
      <c r="O84" s="29"/>
      <c r="P84" s="28"/>
      <c r="Q84" s="29"/>
      <c r="R84" s="28"/>
      <c r="S84" s="29"/>
      <c r="T84" s="28"/>
      <c r="U84" s="29"/>
      <c r="V84" s="2"/>
    </row>
    <row r="85" spans="1:27" ht="15" customHeight="1">
      <c r="A85" s="137" t="s">
        <v>64</v>
      </c>
      <c r="B85" s="138"/>
      <c r="C85" s="155"/>
      <c r="D85" s="28"/>
      <c r="E85" s="29"/>
      <c r="F85" s="28"/>
      <c r="G85" s="29"/>
      <c r="H85" s="28"/>
      <c r="I85" s="29"/>
      <c r="J85" s="28"/>
      <c r="K85" s="29"/>
      <c r="L85" s="28"/>
      <c r="M85" s="29"/>
      <c r="N85" s="28"/>
      <c r="O85" s="29"/>
      <c r="P85" s="28"/>
      <c r="Q85" s="29"/>
      <c r="R85" s="28"/>
      <c r="S85" s="29"/>
      <c r="T85" s="28"/>
      <c r="U85" s="29"/>
      <c r="V85" s="2"/>
    </row>
    <row r="86" spans="1:27" ht="15" customHeight="1">
      <c r="A86" s="137" t="s">
        <v>85</v>
      </c>
      <c r="B86" s="138"/>
      <c r="C86" s="155"/>
      <c r="D86" s="28"/>
      <c r="E86" s="29"/>
      <c r="F86" s="28"/>
      <c r="G86" s="29"/>
      <c r="H86" s="28"/>
      <c r="I86" s="29"/>
      <c r="J86" s="28"/>
      <c r="K86" s="29"/>
      <c r="L86" s="28"/>
      <c r="M86" s="29"/>
      <c r="N86" s="28"/>
      <c r="O86" s="29"/>
      <c r="P86" s="28"/>
      <c r="Q86" s="29"/>
      <c r="R86" s="28"/>
      <c r="S86" s="29"/>
      <c r="T86" s="28"/>
      <c r="U86" s="29"/>
      <c r="V86" s="2"/>
    </row>
    <row r="87" spans="1:27" ht="15" customHeight="1">
      <c r="A87" s="137" t="s">
        <v>86</v>
      </c>
      <c r="B87" s="138"/>
      <c r="C87" s="155"/>
      <c r="D87" s="28"/>
      <c r="E87" s="29"/>
      <c r="F87" s="28"/>
      <c r="G87" s="29"/>
      <c r="H87" s="28"/>
      <c r="I87" s="29"/>
      <c r="J87" s="28"/>
      <c r="K87" s="29"/>
      <c r="L87" s="28"/>
      <c r="M87" s="29"/>
      <c r="N87" s="28"/>
      <c r="O87" s="29"/>
      <c r="P87" s="28"/>
      <c r="Q87" s="29"/>
      <c r="R87" s="28"/>
      <c r="S87" s="29"/>
      <c r="T87" s="28"/>
      <c r="U87" s="29"/>
      <c r="V87" s="2"/>
    </row>
    <row r="88" spans="1:27" ht="15" customHeight="1" thickBot="1">
      <c r="A88" s="139" t="s">
        <v>65</v>
      </c>
      <c r="B88" s="140"/>
      <c r="C88" s="141"/>
      <c r="D88" s="30"/>
      <c r="E88" s="31"/>
      <c r="F88" s="30"/>
      <c r="G88" s="31"/>
      <c r="H88" s="30"/>
      <c r="I88" s="31"/>
      <c r="J88" s="30"/>
      <c r="K88" s="31"/>
      <c r="L88" s="30"/>
      <c r="M88" s="31"/>
      <c r="N88" s="30"/>
      <c r="O88" s="31"/>
      <c r="P88" s="30"/>
      <c r="Q88" s="31"/>
      <c r="R88" s="30"/>
      <c r="S88" s="31"/>
      <c r="T88" s="30"/>
      <c r="U88" s="31"/>
      <c r="V88" s="2"/>
    </row>
    <row r="89" spans="1:27">
      <c r="A89" s="32"/>
      <c r="B89" s="32"/>
      <c r="C89" s="32"/>
      <c r="D89" s="32"/>
      <c r="E89" s="32"/>
      <c r="F89" s="32"/>
      <c r="G89" s="32"/>
      <c r="H89" s="32"/>
      <c r="I89" s="32"/>
      <c r="J89" s="32"/>
      <c r="K89" s="32"/>
      <c r="L89" s="32"/>
      <c r="M89" s="32"/>
      <c r="N89" s="32"/>
      <c r="O89" s="32"/>
      <c r="P89" s="32"/>
      <c r="Q89" s="32"/>
      <c r="R89" s="32"/>
      <c r="S89" s="32"/>
      <c r="U89" s="32"/>
      <c r="V89" s="32"/>
    </row>
    <row r="90" spans="1:27" ht="15.75" thickBot="1">
      <c r="A90" s="14" t="s">
        <v>37</v>
      </c>
      <c r="H90" s="14" t="s">
        <v>39</v>
      </c>
      <c r="S90" s="33"/>
      <c r="T90" s="33"/>
      <c r="U90" s="33"/>
      <c r="V90" s="33"/>
    </row>
    <row r="91" spans="1:27">
      <c r="A91" s="142" t="s">
        <v>30</v>
      </c>
      <c r="B91" s="143"/>
      <c r="C91" s="143"/>
      <c r="D91" s="144" t="s">
        <v>36</v>
      </c>
      <c r="E91" s="145"/>
      <c r="H91" s="148" t="s">
        <v>52</v>
      </c>
      <c r="I91" s="149"/>
      <c r="J91" s="149"/>
      <c r="K91" s="149"/>
      <c r="L91" s="149"/>
      <c r="M91" s="150" t="s">
        <v>92</v>
      </c>
      <c r="N91" s="150"/>
      <c r="O91" s="151"/>
      <c r="S91" s="33"/>
      <c r="U91" s="33"/>
      <c r="V91" s="33"/>
      <c r="AA91" s="33"/>
    </row>
    <row r="92" spans="1:27" ht="15.75" thickBot="1">
      <c r="A92" s="152" t="s">
        <v>20</v>
      </c>
      <c r="B92" s="153"/>
      <c r="C92" s="153"/>
      <c r="D92" s="146"/>
      <c r="E92" s="147"/>
      <c r="H92" s="96" t="s">
        <v>82</v>
      </c>
      <c r="I92" s="97"/>
      <c r="J92" s="97"/>
      <c r="K92" s="97"/>
      <c r="L92" s="97"/>
      <c r="M92" s="98" t="s">
        <v>91</v>
      </c>
      <c r="N92" s="98"/>
      <c r="O92" s="99"/>
      <c r="S92" s="33"/>
      <c r="U92" s="33"/>
      <c r="V92" s="33"/>
      <c r="AA92" s="33"/>
    </row>
    <row r="93" spans="1:27" ht="15.75">
      <c r="A93" s="133" t="s">
        <v>56</v>
      </c>
      <c r="B93" s="134"/>
      <c r="C93" s="134"/>
      <c r="D93" s="135">
        <v>27.3</v>
      </c>
      <c r="E93" s="136"/>
      <c r="H93" s="96" t="s">
        <v>38</v>
      </c>
      <c r="I93" s="97"/>
      <c r="J93" s="97"/>
      <c r="K93" s="97"/>
      <c r="L93" s="97"/>
      <c r="M93" s="98" t="s">
        <v>93</v>
      </c>
      <c r="N93" s="98"/>
      <c r="O93" s="99"/>
      <c r="S93" s="33"/>
      <c r="U93" s="33"/>
      <c r="V93" s="33"/>
      <c r="AA93" s="33"/>
    </row>
    <row r="94" spans="1:27" ht="15.75">
      <c r="A94" s="137" t="s">
        <v>46</v>
      </c>
      <c r="B94" s="138"/>
      <c r="C94" s="138"/>
      <c r="D94" s="131">
        <v>27.5</v>
      </c>
      <c r="E94" s="132"/>
      <c r="H94" s="96" t="s">
        <v>61</v>
      </c>
      <c r="I94" s="97"/>
      <c r="J94" s="97"/>
      <c r="K94" s="97"/>
      <c r="L94" s="97"/>
      <c r="M94" s="98" t="s">
        <v>94</v>
      </c>
      <c r="N94" s="98"/>
      <c r="O94" s="99"/>
      <c r="S94" s="33"/>
      <c r="U94" s="33"/>
      <c r="V94" s="33"/>
      <c r="AA94" s="33"/>
    </row>
    <row r="95" spans="1:27" ht="15.75">
      <c r="A95" s="129" t="s">
        <v>47</v>
      </c>
      <c r="B95" s="130"/>
      <c r="C95" s="130"/>
      <c r="D95" s="131">
        <v>27.5</v>
      </c>
      <c r="E95" s="132"/>
      <c r="H95" s="96" t="s">
        <v>62</v>
      </c>
      <c r="I95" s="97"/>
      <c r="J95" s="97"/>
      <c r="K95" s="97"/>
      <c r="L95" s="97"/>
      <c r="M95" s="98" t="s">
        <v>94</v>
      </c>
      <c r="N95" s="98"/>
      <c r="O95" s="99"/>
      <c r="S95" s="33"/>
    </row>
    <row r="96" spans="1:27" ht="15.75">
      <c r="A96" s="129" t="s">
        <v>48</v>
      </c>
      <c r="B96" s="130"/>
      <c r="C96" s="130"/>
      <c r="D96" s="131">
        <v>28</v>
      </c>
      <c r="E96" s="132"/>
      <c r="H96" s="96" t="s">
        <v>90</v>
      </c>
      <c r="I96" s="97"/>
      <c r="J96" s="97"/>
      <c r="K96" s="97"/>
      <c r="L96" s="97"/>
      <c r="M96" s="98" t="s">
        <v>93</v>
      </c>
      <c r="N96" s="98"/>
      <c r="O96" s="99"/>
      <c r="S96" s="33"/>
    </row>
    <row r="97" spans="1:20" ht="15.75">
      <c r="A97" s="129" t="s">
        <v>49</v>
      </c>
      <c r="B97" s="130"/>
      <c r="C97" s="130"/>
      <c r="D97" s="131">
        <v>28.2</v>
      </c>
      <c r="E97" s="132"/>
      <c r="H97" s="96" t="s">
        <v>102</v>
      </c>
      <c r="I97" s="97"/>
      <c r="J97" s="97"/>
      <c r="K97" s="97"/>
      <c r="L97" s="97"/>
      <c r="M97" s="98">
        <v>2</v>
      </c>
      <c r="N97" s="98"/>
      <c r="O97" s="99"/>
      <c r="S97" s="33"/>
    </row>
    <row r="98" spans="1:20" ht="15.75">
      <c r="A98" s="129" t="s">
        <v>132</v>
      </c>
      <c r="B98" s="130"/>
      <c r="C98" s="130"/>
      <c r="D98" s="131">
        <v>28.5</v>
      </c>
      <c r="E98" s="132"/>
      <c r="H98" s="96" t="s">
        <v>53</v>
      </c>
      <c r="I98" s="97"/>
      <c r="J98" s="97"/>
      <c r="K98" s="97"/>
      <c r="L98" s="97"/>
      <c r="M98" s="98" t="s">
        <v>93</v>
      </c>
      <c r="N98" s="98"/>
      <c r="O98" s="99"/>
      <c r="S98" s="33"/>
      <c r="T98" s="33"/>
    </row>
    <row r="99" spans="1:20" ht="15.75">
      <c r="A99" s="129" t="s">
        <v>50</v>
      </c>
      <c r="B99" s="130"/>
      <c r="C99" s="130"/>
      <c r="D99" s="131"/>
      <c r="E99" s="132"/>
      <c r="H99" s="96" t="s">
        <v>100</v>
      </c>
      <c r="I99" s="97"/>
      <c r="J99" s="97"/>
      <c r="K99" s="97"/>
      <c r="L99" s="97"/>
      <c r="M99" s="98">
        <v>2</v>
      </c>
      <c r="N99" s="98"/>
      <c r="O99" s="99"/>
      <c r="S99" s="33"/>
      <c r="T99" s="33"/>
    </row>
    <row r="100" spans="1:20" ht="15.75">
      <c r="A100" s="129" t="s">
        <v>51</v>
      </c>
      <c r="B100" s="130"/>
      <c r="C100" s="130"/>
      <c r="D100" s="131"/>
      <c r="E100" s="132"/>
      <c r="H100" s="96" t="s">
        <v>88</v>
      </c>
      <c r="I100" s="97"/>
      <c r="J100" s="97"/>
      <c r="K100" s="97"/>
      <c r="L100" s="97"/>
      <c r="M100" s="98" t="s">
        <v>93</v>
      </c>
      <c r="N100" s="98"/>
      <c r="O100" s="99"/>
      <c r="S100" s="33"/>
      <c r="T100" s="33"/>
    </row>
    <row r="101" spans="1:20" ht="15.75">
      <c r="A101" s="129" t="s">
        <v>63</v>
      </c>
      <c r="B101" s="130"/>
      <c r="C101" s="130"/>
      <c r="D101" s="131"/>
      <c r="E101" s="132"/>
      <c r="H101" s="96" t="s">
        <v>101</v>
      </c>
      <c r="I101" s="97"/>
      <c r="J101" s="97"/>
      <c r="K101" s="97"/>
      <c r="L101" s="97"/>
      <c r="M101" s="98">
        <v>2</v>
      </c>
      <c r="N101" s="98"/>
      <c r="O101" s="99"/>
      <c r="S101" s="33"/>
      <c r="T101" s="33"/>
    </row>
    <row r="102" spans="1:20" ht="15.75">
      <c r="A102" s="125" t="s">
        <v>64</v>
      </c>
      <c r="B102" s="126"/>
      <c r="C102" s="126"/>
      <c r="D102" s="127"/>
      <c r="E102" s="128"/>
      <c r="H102" s="96" t="s">
        <v>54</v>
      </c>
      <c r="I102" s="97"/>
      <c r="J102" s="97"/>
      <c r="K102" s="97"/>
      <c r="L102" s="97"/>
      <c r="M102" s="98" t="s">
        <v>94</v>
      </c>
      <c r="N102" s="98"/>
      <c r="O102" s="99"/>
      <c r="S102" s="33"/>
    </row>
    <row r="103" spans="1:20" ht="15.75">
      <c r="A103" s="125" t="s">
        <v>85</v>
      </c>
      <c r="B103" s="126"/>
      <c r="C103" s="126"/>
      <c r="D103" s="127"/>
      <c r="E103" s="128"/>
      <c r="H103" s="96" t="s">
        <v>60</v>
      </c>
      <c r="I103" s="97"/>
      <c r="J103" s="97"/>
      <c r="K103" s="97"/>
      <c r="L103" s="97"/>
      <c r="M103" s="98" t="s">
        <v>94</v>
      </c>
      <c r="N103" s="98"/>
      <c r="O103" s="99"/>
      <c r="S103" s="33"/>
    </row>
    <row r="104" spans="1:20" ht="16.5" thickBot="1">
      <c r="A104" s="125" t="s">
        <v>86</v>
      </c>
      <c r="B104" s="126"/>
      <c r="C104" s="126"/>
      <c r="D104" s="127"/>
      <c r="E104" s="128"/>
      <c r="H104" s="103" t="s">
        <v>59</v>
      </c>
      <c r="I104" s="104"/>
      <c r="J104" s="104"/>
      <c r="K104" s="104"/>
      <c r="L104" s="104"/>
      <c r="M104" s="105" t="s">
        <v>94</v>
      </c>
      <c r="N104" s="105"/>
      <c r="O104" s="106"/>
      <c r="S104" s="33"/>
    </row>
    <row r="105" spans="1:20" ht="16.5" thickBot="1">
      <c r="A105" s="113" t="s">
        <v>65</v>
      </c>
      <c r="B105" s="114"/>
      <c r="C105" s="114"/>
      <c r="D105" s="115">
        <v>28.5</v>
      </c>
      <c r="E105" s="116"/>
      <c r="H105" s="117" t="s">
        <v>81</v>
      </c>
      <c r="I105" s="118"/>
      <c r="J105" s="118"/>
      <c r="K105" s="118"/>
      <c r="L105" s="118"/>
      <c r="M105" s="119" t="s">
        <v>80</v>
      </c>
      <c r="N105" s="120"/>
      <c r="O105" s="121"/>
      <c r="P105" s="122" t="s">
        <v>79</v>
      </c>
      <c r="Q105" s="123"/>
      <c r="R105" s="123"/>
      <c r="S105" s="124"/>
    </row>
    <row r="106" spans="1:20">
      <c r="H106" s="96" t="s">
        <v>78</v>
      </c>
      <c r="I106" s="97"/>
      <c r="J106" s="97"/>
      <c r="K106" s="97"/>
      <c r="L106" s="97"/>
      <c r="M106" s="98" t="s">
        <v>94</v>
      </c>
      <c r="N106" s="98"/>
      <c r="O106" s="99"/>
      <c r="P106" s="110" t="s">
        <v>77</v>
      </c>
      <c r="Q106" s="111"/>
      <c r="R106" s="111"/>
      <c r="S106" s="112"/>
    </row>
    <row r="107" spans="1:20">
      <c r="H107" s="96" t="s">
        <v>76</v>
      </c>
      <c r="I107" s="97"/>
      <c r="J107" s="97"/>
      <c r="K107" s="97"/>
      <c r="L107" s="97"/>
      <c r="M107" s="98" t="s">
        <v>94</v>
      </c>
      <c r="N107" s="98"/>
      <c r="O107" s="99"/>
      <c r="P107" s="110" t="s">
        <v>75</v>
      </c>
      <c r="Q107" s="111"/>
      <c r="R107" s="111"/>
      <c r="S107" s="112"/>
    </row>
    <row r="108" spans="1:20">
      <c r="H108" s="96" t="s">
        <v>74</v>
      </c>
      <c r="I108" s="97"/>
      <c r="J108" s="97"/>
      <c r="K108" s="97"/>
      <c r="L108" s="97"/>
      <c r="M108" s="98" t="s">
        <v>94</v>
      </c>
      <c r="N108" s="98"/>
      <c r="O108" s="99"/>
      <c r="P108" s="110" t="s">
        <v>73</v>
      </c>
      <c r="Q108" s="111"/>
      <c r="R108" s="111"/>
      <c r="S108" s="112"/>
    </row>
    <row r="109" spans="1:20">
      <c r="H109" s="96" t="s">
        <v>72</v>
      </c>
      <c r="I109" s="97"/>
      <c r="J109" s="97"/>
      <c r="K109" s="97"/>
      <c r="L109" s="97"/>
      <c r="M109" s="98">
        <v>1</v>
      </c>
      <c r="N109" s="98"/>
      <c r="O109" s="99"/>
      <c r="P109" s="110" t="s">
        <v>71</v>
      </c>
      <c r="Q109" s="111"/>
      <c r="R109" s="111"/>
      <c r="S109" s="112"/>
    </row>
    <row r="110" spans="1:20">
      <c r="H110" s="96" t="s">
        <v>70</v>
      </c>
      <c r="I110" s="97"/>
      <c r="J110" s="97"/>
      <c r="K110" s="97"/>
      <c r="L110" s="97"/>
      <c r="M110" s="98" t="s">
        <v>94</v>
      </c>
      <c r="N110" s="98"/>
      <c r="O110" s="99"/>
      <c r="P110" s="110" t="s">
        <v>69</v>
      </c>
      <c r="Q110" s="111"/>
      <c r="R110" s="111"/>
      <c r="S110" s="112"/>
    </row>
    <row r="111" spans="1:20">
      <c r="H111" s="96" t="s">
        <v>68</v>
      </c>
      <c r="I111" s="97"/>
      <c r="J111" s="97"/>
      <c r="K111" s="97"/>
      <c r="L111" s="97"/>
      <c r="M111" s="98" t="s">
        <v>94</v>
      </c>
      <c r="N111" s="98"/>
      <c r="O111" s="99"/>
      <c r="P111" s="100" t="s">
        <v>67</v>
      </c>
      <c r="Q111" s="101"/>
      <c r="R111" s="101"/>
      <c r="S111" s="102"/>
    </row>
    <row r="112" spans="1:20" ht="15.75" thickBot="1">
      <c r="H112" s="103" t="s">
        <v>99</v>
      </c>
      <c r="I112" s="104"/>
      <c r="J112" s="104"/>
      <c r="K112" s="104"/>
      <c r="L112" s="104"/>
      <c r="M112" s="105" t="s">
        <v>94</v>
      </c>
      <c r="N112" s="105"/>
      <c r="O112" s="106"/>
      <c r="P112" s="107" t="s">
        <v>66</v>
      </c>
      <c r="Q112" s="108"/>
      <c r="R112" s="108"/>
      <c r="S112" s="109"/>
    </row>
    <row r="115" spans="1:19" ht="15.75" thickBot="1">
      <c r="A115" s="37">
        <v>2.2000000000000002</v>
      </c>
      <c r="B115" s="36" t="s">
        <v>136</v>
      </c>
      <c r="C115" s="35"/>
      <c r="D115" s="35"/>
      <c r="E115" s="35"/>
      <c r="F115" s="35"/>
      <c r="G115" s="35"/>
      <c r="H115" s="35"/>
      <c r="I115" s="35"/>
      <c r="J115" s="35"/>
      <c r="K115" s="35"/>
      <c r="L115" s="35"/>
      <c r="M115" s="35"/>
      <c r="N115" s="35"/>
      <c r="O115" s="35"/>
      <c r="P115" s="35"/>
      <c r="Q115" s="35"/>
      <c r="R115" s="35"/>
      <c r="S115" s="35"/>
    </row>
    <row r="116" spans="1:19" ht="39" thickBot="1">
      <c r="A116" s="55" t="s">
        <v>137</v>
      </c>
      <c r="B116" s="56" t="s">
        <v>138</v>
      </c>
      <c r="C116" s="56" t="s">
        <v>56</v>
      </c>
      <c r="D116" s="56" t="s">
        <v>46</v>
      </c>
      <c r="E116" s="56" t="s">
        <v>47</v>
      </c>
      <c r="F116" s="56" t="s">
        <v>139</v>
      </c>
      <c r="G116" s="56" t="s">
        <v>49</v>
      </c>
      <c r="H116" s="56" t="s">
        <v>140</v>
      </c>
      <c r="I116" s="56" t="s">
        <v>50</v>
      </c>
      <c r="J116" s="56" t="s">
        <v>51</v>
      </c>
      <c r="K116" s="56" t="s">
        <v>63</v>
      </c>
      <c r="L116" s="56" t="s">
        <v>64</v>
      </c>
      <c r="M116" s="56" t="s">
        <v>85</v>
      </c>
      <c r="N116" s="56" t="s">
        <v>86</v>
      </c>
      <c r="O116" s="57" t="s">
        <v>141</v>
      </c>
      <c r="P116" s="35"/>
      <c r="Q116" s="35"/>
      <c r="R116" s="35"/>
      <c r="S116" s="35"/>
    </row>
    <row r="117" spans="1:19" ht="15.75">
      <c r="A117" s="93">
        <v>1</v>
      </c>
      <c r="B117" s="51">
        <v>1</v>
      </c>
      <c r="C117" s="51"/>
      <c r="D117" s="51"/>
      <c r="E117" s="51"/>
      <c r="F117" s="52"/>
      <c r="G117" s="52"/>
      <c r="H117" s="53"/>
      <c r="I117" s="52"/>
      <c r="J117" s="53"/>
      <c r="K117" s="52"/>
      <c r="L117" s="52"/>
      <c r="M117" s="52"/>
      <c r="N117" s="52"/>
      <c r="O117" s="54"/>
      <c r="P117" s="41"/>
      <c r="Q117" s="41"/>
      <c r="R117" s="41"/>
      <c r="S117" s="41"/>
    </row>
    <row r="118" spans="1:19" ht="15.75">
      <c r="A118" s="94"/>
      <c r="B118" s="48">
        <v>2</v>
      </c>
      <c r="C118" s="48"/>
      <c r="D118" s="48"/>
      <c r="E118" s="48"/>
      <c r="F118" s="49"/>
      <c r="G118" s="49"/>
      <c r="H118" s="43"/>
      <c r="I118" s="49"/>
      <c r="J118" s="43"/>
      <c r="K118" s="49"/>
      <c r="L118" s="49"/>
      <c r="M118" s="49"/>
      <c r="N118" s="49"/>
      <c r="O118" s="50"/>
      <c r="P118" s="41"/>
      <c r="Q118" s="41"/>
      <c r="R118" s="41"/>
      <c r="S118" s="41"/>
    </row>
    <row r="119" spans="1:19" ht="15.75">
      <c r="A119" s="94"/>
      <c r="B119" s="48">
        <v>3</v>
      </c>
      <c r="C119" s="48"/>
      <c r="D119" s="48"/>
      <c r="E119" s="48"/>
      <c r="F119" s="49"/>
      <c r="G119" s="49"/>
      <c r="H119" s="49"/>
      <c r="I119" s="49"/>
      <c r="J119" s="49"/>
      <c r="K119" s="49"/>
      <c r="L119" s="49"/>
      <c r="M119" s="49"/>
      <c r="N119" s="49"/>
      <c r="O119" s="50"/>
      <c r="P119" s="41"/>
      <c r="Q119" s="41"/>
      <c r="R119" s="41"/>
      <c r="S119" s="41"/>
    </row>
    <row r="120" spans="1:19" ht="16.5" thickBot="1">
      <c r="A120" s="95"/>
      <c r="B120" s="45">
        <v>4</v>
      </c>
      <c r="C120" s="45"/>
      <c r="D120" s="45"/>
      <c r="E120" s="45"/>
      <c r="F120" s="46"/>
      <c r="G120" s="46"/>
      <c r="H120" s="46"/>
      <c r="I120" s="46"/>
      <c r="J120" s="46"/>
      <c r="K120" s="46"/>
      <c r="L120" s="46"/>
      <c r="M120" s="46"/>
      <c r="N120" s="46"/>
      <c r="O120" s="47"/>
      <c r="P120" s="41"/>
      <c r="Q120" s="41"/>
      <c r="R120" s="41"/>
      <c r="S120" s="41"/>
    </row>
    <row r="121" spans="1:19" ht="15.75">
      <c r="A121" s="94">
        <v>2</v>
      </c>
      <c r="B121" s="51">
        <v>5</v>
      </c>
      <c r="C121" s="48"/>
      <c r="D121" s="48"/>
      <c r="E121" s="48"/>
      <c r="F121" s="49"/>
      <c r="G121" s="49"/>
      <c r="H121" s="43"/>
      <c r="I121" s="49"/>
      <c r="J121" s="43"/>
      <c r="K121" s="49"/>
      <c r="L121" s="49"/>
      <c r="M121" s="49"/>
      <c r="N121" s="49"/>
      <c r="O121" s="50"/>
      <c r="P121" s="41"/>
      <c r="Q121" s="41"/>
      <c r="R121" s="41"/>
      <c r="S121" s="41"/>
    </row>
    <row r="122" spans="1:19" ht="15.75">
      <c r="A122" s="94"/>
      <c r="B122" s="48">
        <v>6</v>
      </c>
      <c r="C122" s="48"/>
      <c r="D122" s="48"/>
      <c r="E122" s="48"/>
      <c r="F122" s="49"/>
      <c r="G122" s="49"/>
      <c r="H122" s="43"/>
      <c r="I122" s="49"/>
      <c r="J122" s="43"/>
      <c r="K122" s="49"/>
      <c r="L122" s="49"/>
      <c r="M122" s="49"/>
      <c r="N122" s="49"/>
      <c r="O122" s="50"/>
      <c r="P122" s="41"/>
      <c r="Q122" s="41"/>
      <c r="R122" s="41"/>
      <c r="S122" s="41"/>
    </row>
    <row r="123" spans="1:19" ht="15.75">
      <c r="A123" s="94"/>
      <c r="B123" s="48">
        <v>7</v>
      </c>
      <c r="C123" s="48"/>
      <c r="D123" s="48"/>
      <c r="E123" s="48"/>
      <c r="F123" s="49"/>
      <c r="G123" s="49"/>
      <c r="H123" s="49"/>
      <c r="I123" s="49"/>
      <c r="J123" s="49"/>
      <c r="K123" s="49"/>
      <c r="L123" s="49"/>
      <c r="M123" s="49"/>
      <c r="N123" s="49"/>
      <c r="O123" s="50"/>
      <c r="P123" s="41"/>
      <c r="Q123" s="41"/>
      <c r="R123" s="41"/>
      <c r="S123" s="41"/>
    </row>
    <row r="124" spans="1:19" ht="16.5" thickBot="1">
      <c r="A124" s="95"/>
      <c r="B124" s="45">
        <v>8</v>
      </c>
      <c r="C124" s="45"/>
      <c r="D124" s="45"/>
      <c r="E124" s="45"/>
      <c r="F124" s="46"/>
      <c r="G124" s="46"/>
      <c r="H124" s="46"/>
      <c r="I124" s="46"/>
      <c r="J124" s="46"/>
      <c r="K124" s="46"/>
      <c r="L124" s="46"/>
      <c r="M124" s="46"/>
      <c r="N124" s="46"/>
      <c r="O124" s="47"/>
      <c r="P124" s="41"/>
      <c r="Q124" s="41"/>
      <c r="R124" s="41"/>
      <c r="S124" s="41"/>
    </row>
    <row r="125" spans="1:19">
      <c r="A125" s="94">
        <v>3</v>
      </c>
      <c r="B125" s="51">
        <v>9</v>
      </c>
      <c r="C125" s="48"/>
      <c r="D125" s="48"/>
      <c r="E125" s="48"/>
      <c r="F125" s="49"/>
      <c r="G125" s="49"/>
      <c r="H125" s="43"/>
      <c r="I125" s="49"/>
      <c r="J125" s="43"/>
      <c r="K125" s="49"/>
      <c r="L125" s="49"/>
      <c r="M125" s="49"/>
      <c r="N125" s="49"/>
      <c r="O125" s="50"/>
    </row>
    <row r="126" spans="1:19">
      <c r="A126" s="94"/>
      <c r="B126" s="48">
        <v>10</v>
      </c>
      <c r="C126" s="48"/>
      <c r="D126" s="48"/>
      <c r="E126" s="48"/>
      <c r="F126" s="49"/>
      <c r="G126" s="49"/>
      <c r="H126" s="43"/>
      <c r="I126" s="49"/>
      <c r="J126" s="43"/>
      <c r="K126" s="49"/>
      <c r="L126" s="49"/>
      <c r="M126" s="49"/>
      <c r="N126" s="49"/>
      <c r="O126" s="50"/>
    </row>
    <row r="127" spans="1:19">
      <c r="A127" s="94"/>
      <c r="B127" s="48">
        <v>11</v>
      </c>
      <c r="C127" s="48"/>
      <c r="D127" s="48"/>
      <c r="E127" s="48"/>
      <c r="F127" s="49"/>
      <c r="G127" s="49"/>
      <c r="H127" s="49"/>
      <c r="I127" s="49"/>
      <c r="J127" s="49"/>
      <c r="K127" s="49"/>
      <c r="L127" s="49"/>
      <c r="M127" s="49"/>
      <c r="N127" s="49"/>
      <c r="O127" s="50"/>
    </row>
    <row r="128" spans="1:19" ht="15.75" thickBot="1">
      <c r="A128" s="92"/>
      <c r="B128" s="45">
        <v>12</v>
      </c>
      <c r="C128" s="45"/>
      <c r="D128" s="45"/>
      <c r="E128" s="45"/>
      <c r="F128" s="46"/>
      <c r="G128" s="46"/>
      <c r="H128" s="49"/>
      <c r="I128" s="46"/>
      <c r="J128" s="49"/>
      <c r="K128" s="46"/>
      <c r="L128" s="46"/>
      <c r="M128" s="46"/>
      <c r="N128" s="46"/>
      <c r="O128" s="47"/>
    </row>
    <row r="129" spans="1:15">
      <c r="A129" s="90">
        <v>4</v>
      </c>
      <c r="B129" s="51">
        <v>13</v>
      </c>
      <c r="C129" s="38"/>
      <c r="D129" s="38"/>
      <c r="E129" s="38"/>
      <c r="F129" s="39"/>
      <c r="G129" s="39"/>
      <c r="H129" s="39"/>
      <c r="I129" s="39"/>
      <c r="J129" s="39"/>
      <c r="K129" s="39"/>
      <c r="L129" s="39"/>
      <c r="M129" s="39"/>
      <c r="N129" s="39"/>
      <c r="O129" s="40"/>
    </row>
    <row r="130" spans="1:15">
      <c r="A130" s="91"/>
      <c r="B130" s="48">
        <v>14</v>
      </c>
      <c r="C130" s="42"/>
      <c r="D130" s="42"/>
      <c r="E130" s="42"/>
      <c r="F130" s="43"/>
      <c r="G130" s="43"/>
      <c r="H130" s="43"/>
      <c r="I130" s="43"/>
      <c r="J130" s="43"/>
      <c r="K130" s="43"/>
      <c r="L130" s="43"/>
      <c r="M130" s="43"/>
      <c r="N130" s="43"/>
      <c r="O130" s="44"/>
    </row>
    <row r="131" spans="1:15">
      <c r="A131" s="91"/>
      <c r="B131" s="48">
        <v>15</v>
      </c>
      <c r="C131" s="42"/>
      <c r="D131" s="42"/>
      <c r="E131" s="42"/>
      <c r="F131" s="43"/>
      <c r="G131" s="43"/>
      <c r="H131" s="43"/>
      <c r="I131" s="43"/>
      <c r="J131" s="43"/>
      <c r="K131" s="43"/>
      <c r="L131" s="43"/>
      <c r="M131" s="43"/>
      <c r="N131" s="43"/>
      <c r="O131" s="44"/>
    </row>
    <row r="132" spans="1:15" ht="15.75" thickBot="1">
      <c r="A132" s="92"/>
      <c r="B132" s="45">
        <v>16</v>
      </c>
      <c r="C132" s="45"/>
      <c r="D132" s="45"/>
      <c r="E132" s="45"/>
      <c r="F132" s="46"/>
      <c r="G132" s="46"/>
      <c r="H132" s="46"/>
      <c r="I132" s="46"/>
      <c r="J132" s="46"/>
      <c r="K132" s="46"/>
      <c r="L132" s="46"/>
      <c r="M132" s="46"/>
      <c r="N132" s="46"/>
      <c r="O132" s="47"/>
    </row>
    <row r="133" spans="1:15">
      <c r="A133" s="90">
        <v>5</v>
      </c>
      <c r="B133" s="51">
        <v>17</v>
      </c>
      <c r="C133" s="38"/>
      <c r="D133" s="38"/>
      <c r="E133" s="38"/>
      <c r="F133" s="39"/>
      <c r="G133" s="39"/>
      <c r="H133" s="39"/>
      <c r="I133" s="39"/>
      <c r="J133" s="39"/>
      <c r="K133" s="39"/>
      <c r="L133" s="39"/>
      <c r="M133" s="39"/>
      <c r="N133" s="39"/>
      <c r="O133" s="40"/>
    </row>
    <row r="134" spans="1:15">
      <c r="A134" s="91"/>
      <c r="B134" s="48">
        <v>18</v>
      </c>
      <c r="C134" s="42"/>
      <c r="D134" s="42"/>
      <c r="E134" s="42"/>
      <c r="F134" s="43"/>
      <c r="G134" s="43"/>
      <c r="H134" s="43"/>
      <c r="I134" s="43"/>
      <c r="J134" s="43"/>
      <c r="K134" s="43"/>
      <c r="L134" s="43"/>
      <c r="M134" s="43"/>
      <c r="N134" s="43"/>
      <c r="O134" s="44"/>
    </row>
    <row r="135" spans="1:15">
      <c r="A135" s="91"/>
      <c r="B135" s="48">
        <v>19</v>
      </c>
      <c r="C135" s="42"/>
      <c r="D135" s="42"/>
      <c r="E135" s="42"/>
      <c r="F135" s="43"/>
      <c r="G135" s="43"/>
      <c r="H135" s="43"/>
      <c r="I135" s="43"/>
      <c r="J135" s="43"/>
      <c r="K135" s="43"/>
      <c r="L135" s="43"/>
      <c r="M135" s="43"/>
      <c r="N135" s="43"/>
      <c r="O135" s="44"/>
    </row>
    <row r="136" spans="1:15" ht="15.75" thickBot="1">
      <c r="A136" s="92"/>
      <c r="B136" s="45">
        <v>20</v>
      </c>
      <c r="C136" s="45"/>
      <c r="D136" s="45"/>
      <c r="E136" s="45"/>
      <c r="F136" s="46"/>
      <c r="G136" s="46"/>
      <c r="H136" s="46"/>
      <c r="I136" s="46"/>
      <c r="J136" s="46"/>
      <c r="K136" s="46"/>
      <c r="L136" s="46"/>
      <c r="M136" s="46"/>
      <c r="N136" s="46"/>
      <c r="O136" s="47"/>
    </row>
    <row r="137" spans="1:15">
      <c r="A137" s="90">
        <v>6</v>
      </c>
      <c r="B137" s="51">
        <v>21</v>
      </c>
      <c r="C137" s="38"/>
      <c r="D137" s="38"/>
      <c r="E137" s="38"/>
      <c r="F137" s="39"/>
      <c r="G137" s="39"/>
      <c r="H137" s="39"/>
      <c r="I137" s="39"/>
      <c r="J137" s="39"/>
      <c r="K137" s="39"/>
      <c r="L137" s="39"/>
      <c r="M137" s="39"/>
      <c r="N137" s="39"/>
      <c r="O137" s="40"/>
    </row>
    <row r="138" spans="1:15">
      <c r="A138" s="91"/>
      <c r="B138" s="48">
        <v>22</v>
      </c>
      <c r="C138" s="42"/>
      <c r="D138" s="42"/>
      <c r="E138" s="42"/>
      <c r="F138" s="43"/>
      <c r="G138" s="43"/>
      <c r="H138" s="43"/>
      <c r="I138" s="43"/>
      <c r="J138" s="43"/>
      <c r="K138" s="43"/>
      <c r="L138" s="43"/>
      <c r="M138" s="43"/>
      <c r="N138" s="43"/>
      <c r="O138" s="44"/>
    </row>
    <row r="139" spans="1:15">
      <c r="A139" s="91"/>
      <c r="B139" s="48">
        <v>23</v>
      </c>
      <c r="C139" s="42"/>
      <c r="D139" s="42"/>
      <c r="E139" s="42"/>
      <c r="F139" s="43"/>
      <c r="G139" s="43"/>
      <c r="H139" s="43"/>
      <c r="I139" s="43"/>
      <c r="J139" s="43"/>
      <c r="K139" s="43"/>
      <c r="L139" s="43"/>
      <c r="M139" s="43"/>
      <c r="N139" s="43"/>
      <c r="O139" s="44"/>
    </row>
    <row r="140" spans="1:15" ht="15.75" thickBot="1">
      <c r="A140" s="92"/>
      <c r="B140" s="45">
        <v>24</v>
      </c>
      <c r="C140" s="45"/>
      <c r="D140" s="45"/>
      <c r="E140" s="45"/>
      <c r="F140" s="46"/>
      <c r="G140" s="46"/>
      <c r="H140" s="46"/>
      <c r="I140" s="46"/>
      <c r="J140" s="46"/>
      <c r="K140" s="46"/>
      <c r="L140" s="46"/>
      <c r="M140" s="46"/>
      <c r="N140" s="46"/>
      <c r="O140" s="47"/>
    </row>
  </sheetData>
  <dataConsolidate/>
  <mergeCells count="193">
    <mergeCell ref="W9:Z9"/>
    <mergeCell ref="W10:Z19"/>
    <mergeCell ref="AB58:AE58"/>
    <mergeCell ref="R59:U68"/>
    <mergeCell ref="AB59:AE68"/>
    <mergeCell ref="W21:Z21"/>
    <mergeCell ref="W22:Z27"/>
    <mergeCell ref="W28:Z32"/>
    <mergeCell ref="W58:Z58"/>
    <mergeCell ref="W59:Z68"/>
    <mergeCell ref="W46:Z46"/>
    <mergeCell ref="W47:Z56"/>
    <mergeCell ref="W34:Z34"/>
    <mergeCell ref="W35:Z44"/>
    <mergeCell ref="A2:Q2"/>
    <mergeCell ref="A4:B4"/>
    <mergeCell ref="C4:F4"/>
    <mergeCell ref="G4:H4"/>
    <mergeCell ref="I4:L4"/>
    <mergeCell ref="M4:N4"/>
    <mergeCell ref="O4:Q4"/>
    <mergeCell ref="A6:B6"/>
    <mergeCell ref="C6:F6"/>
    <mergeCell ref="G6:H6"/>
    <mergeCell ref="I6:L6"/>
    <mergeCell ref="M6:N6"/>
    <mergeCell ref="O6:Q6"/>
    <mergeCell ref="A5:B5"/>
    <mergeCell ref="C5:F5"/>
    <mergeCell ref="G5:H5"/>
    <mergeCell ref="I5:L5"/>
    <mergeCell ref="M5:N5"/>
    <mergeCell ref="O5:Q5"/>
    <mergeCell ref="M9:P9"/>
    <mergeCell ref="R9:U9"/>
    <mergeCell ref="M10:P19"/>
    <mergeCell ref="R10:U19"/>
    <mergeCell ref="I11:K11"/>
    <mergeCell ref="I13:K13"/>
    <mergeCell ref="I15:K15"/>
    <mergeCell ref="I17:K17"/>
    <mergeCell ref="I19:K19"/>
    <mergeCell ref="I21:K21"/>
    <mergeCell ref="M21:P21"/>
    <mergeCell ref="R21:U21"/>
    <mergeCell ref="M22:P32"/>
    <mergeCell ref="R22:U32"/>
    <mergeCell ref="I23:K23"/>
    <mergeCell ref="I25:K25"/>
    <mergeCell ref="I27:K27"/>
    <mergeCell ref="I29:K29"/>
    <mergeCell ref="I31:K31"/>
    <mergeCell ref="I33:K33"/>
    <mergeCell ref="M34:P34"/>
    <mergeCell ref="R34:U34"/>
    <mergeCell ref="I35:K35"/>
    <mergeCell ref="M35:P44"/>
    <mergeCell ref="R35:U44"/>
    <mergeCell ref="I38:K38"/>
    <mergeCell ref="I41:K41"/>
    <mergeCell ref="I43:K43"/>
    <mergeCell ref="I45:K45"/>
    <mergeCell ref="M46:P46"/>
    <mergeCell ref="R46:U46"/>
    <mergeCell ref="I47:K47"/>
    <mergeCell ref="M47:P56"/>
    <mergeCell ref="R47:U56"/>
    <mergeCell ref="I49:K49"/>
    <mergeCell ref="I51:K51"/>
    <mergeCell ref="I53:K53"/>
    <mergeCell ref="I55:K55"/>
    <mergeCell ref="I57:K57"/>
    <mergeCell ref="M58:P58"/>
    <mergeCell ref="R58:U58"/>
    <mergeCell ref="I59:K59"/>
    <mergeCell ref="M59:P68"/>
    <mergeCell ref="I61:K61"/>
    <mergeCell ref="I63:K63"/>
    <mergeCell ref="I65:K65"/>
    <mergeCell ref="I67:K67"/>
    <mergeCell ref="L74:M74"/>
    <mergeCell ref="N74:O74"/>
    <mergeCell ref="P74:Q74"/>
    <mergeCell ref="R74:S74"/>
    <mergeCell ref="T74:U74"/>
    <mergeCell ref="A75:C75"/>
    <mergeCell ref="I69:K69"/>
    <mergeCell ref="I71:K71"/>
    <mergeCell ref="A74:C74"/>
    <mergeCell ref="D74:E74"/>
    <mergeCell ref="F74:G74"/>
    <mergeCell ref="H74:I74"/>
    <mergeCell ref="J74:K74"/>
    <mergeCell ref="A82:C82"/>
    <mergeCell ref="A83:C83"/>
    <mergeCell ref="A84:C84"/>
    <mergeCell ref="A85:C85"/>
    <mergeCell ref="A86:C86"/>
    <mergeCell ref="A87:C87"/>
    <mergeCell ref="A76:C76"/>
    <mergeCell ref="A77:C77"/>
    <mergeCell ref="A78:C78"/>
    <mergeCell ref="A79:C79"/>
    <mergeCell ref="A80:C80"/>
    <mergeCell ref="A81:C81"/>
    <mergeCell ref="A93:C93"/>
    <mergeCell ref="D93:E93"/>
    <mergeCell ref="H93:L93"/>
    <mergeCell ref="M93:O93"/>
    <mergeCell ref="A94:C94"/>
    <mergeCell ref="D94:E94"/>
    <mergeCell ref="H94:L94"/>
    <mergeCell ref="M94:O94"/>
    <mergeCell ref="A88:C88"/>
    <mergeCell ref="A91:C91"/>
    <mergeCell ref="D91:E92"/>
    <mergeCell ref="H91:L91"/>
    <mergeCell ref="M91:O91"/>
    <mergeCell ref="A92:C92"/>
    <mergeCell ref="H92:L92"/>
    <mergeCell ref="M92:O92"/>
    <mergeCell ref="A97:C97"/>
    <mergeCell ref="D97:E97"/>
    <mergeCell ref="H97:L97"/>
    <mergeCell ref="M97:O97"/>
    <mergeCell ref="A98:C98"/>
    <mergeCell ref="D98:E98"/>
    <mergeCell ref="H98:L98"/>
    <mergeCell ref="M98:O98"/>
    <mergeCell ref="A95:C95"/>
    <mergeCell ref="D95:E95"/>
    <mergeCell ref="H95:L95"/>
    <mergeCell ref="M95:O95"/>
    <mergeCell ref="A96:C96"/>
    <mergeCell ref="D96:E96"/>
    <mergeCell ref="H96:L96"/>
    <mergeCell ref="M96:O96"/>
    <mergeCell ref="A101:C101"/>
    <mergeCell ref="D101:E101"/>
    <mergeCell ref="H101:L101"/>
    <mergeCell ref="M101:O101"/>
    <mergeCell ref="A102:C102"/>
    <mergeCell ref="D102:E102"/>
    <mergeCell ref="H102:L102"/>
    <mergeCell ref="M102:O102"/>
    <mergeCell ref="A99:C99"/>
    <mergeCell ref="D99:E99"/>
    <mergeCell ref="H99:L99"/>
    <mergeCell ref="M99:O99"/>
    <mergeCell ref="A100:C100"/>
    <mergeCell ref="D100:E100"/>
    <mergeCell ref="H100:L100"/>
    <mergeCell ref="M100:O100"/>
    <mergeCell ref="A105:C105"/>
    <mergeCell ref="D105:E105"/>
    <mergeCell ref="H105:L105"/>
    <mergeCell ref="M105:O105"/>
    <mergeCell ref="P105:S105"/>
    <mergeCell ref="H106:L106"/>
    <mergeCell ref="M106:O106"/>
    <mergeCell ref="P106:S106"/>
    <mergeCell ref="A103:C103"/>
    <mergeCell ref="D103:E103"/>
    <mergeCell ref="H103:L103"/>
    <mergeCell ref="M103:O103"/>
    <mergeCell ref="A104:C104"/>
    <mergeCell ref="D104:E104"/>
    <mergeCell ref="H104:L104"/>
    <mergeCell ref="M104:O104"/>
    <mergeCell ref="H109:L109"/>
    <mergeCell ref="M109:O109"/>
    <mergeCell ref="P109:S109"/>
    <mergeCell ref="H110:L110"/>
    <mergeCell ref="M110:O110"/>
    <mergeCell ref="P110:S110"/>
    <mergeCell ref="H107:L107"/>
    <mergeCell ref="M107:O107"/>
    <mergeCell ref="P107:S107"/>
    <mergeCell ref="H108:L108"/>
    <mergeCell ref="M108:O108"/>
    <mergeCell ref="P108:S108"/>
    <mergeCell ref="A137:A140"/>
    <mergeCell ref="A133:A136"/>
    <mergeCell ref="A117:A120"/>
    <mergeCell ref="A121:A124"/>
    <mergeCell ref="A125:A128"/>
    <mergeCell ref="A129:A132"/>
    <mergeCell ref="H111:L111"/>
    <mergeCell ref="M111:O111"/>
    <mergeCell ref="P111:S111"/>
    <mergeCell ref="H112:L112"/>
    <mergeCell ref="M112:O112"/>
    <mergeCell ref="P112:S112"/>
  </mergeCells>
  <conditionalFormatting sqref="D93:E104">
    <cfRule type="cellIs" dxfId="11" priority="12" operator="greaterThan">
      <formula>32</formula>
    </cfRule>
  </conditionalFormatting>
  <conditionalFormatting sqref="D76:D88">
    <cfRule type="cellIs" dxfId="10" priority="11" operator="lessThan">
      <formula>43.5</formula>
    </cfRule>
  </conditionalFormatting>
  <conditionalFormatting sqref="F76:F88">
    <cfRule type="cellIs" dxfId="9" priority="10" operator="lessThan">
      <formula>43.5</formula>
    </cfRule>
  </conditionalFormatting>
  <conditionalFormatting sqref="H76:H88">
    <cfRule type="cellIs" dxfId="8" priority="9" operator="lessThan">
      <formula>43.5</formula>
    </cfRule>
  </conditionalFormatting>
  <conditionalFormatting sqref="J76:J88">
    <cfRule type="cellIs" dxfId="7" priority="8" operator="lessThan">
      <formula>43.5</formula>
    </cfRule>
  </conditionalFormatting>
  <conditionalFormatting sqref="L76:L88">
    <cfRule type="cellIs" dxfId="6" priority="7" operator="lessThan">
      <formula>43.5</formula>
    </cfRule>
  </conditionalFormatting>
  <conditionalFormatting sqref="N76:N88">
    <cfRule type="cellIs" dxfId="5" priority="6" operator="lessThan">
      <formula>43.5</formula>
    </cfRule>
  </conditionalFormatting>
  <conditionalFormatting sqref="P76:P88">
    <cfRule type="cellIs" dxfId="4" priority="5" operator="lessThan">
      <formula>43.5</formula>
    </cfRule>
  </conditionalFormatting>
  <conditionalFormatting sqref="R76:R88">
    <cfRule type="cellIs" dxfId="3" priority="4" operator="lessThan">
      <formula>43.5</formula>
    </cfRule>
  </conditionalFormatting>
  <conditionalFormatting sqref="T76:T88">
    <cfRule type="cellIs" dxfId="2" priority="3" operator="lessThan">
      <formula>43.5</formula>
    </cfRule>
  </conditionalFormatting>
  <conditionalFormatting sqref="C4:F4">
    <cfRule type="cellIs" dxfId="1" priority="2" operator="notEqual">
      <formula>"MBV"</formula>
    </cfRule>
  </conditionalFormatting>
  <conditionalFormatting sqref="I6:L6">
    <cfRule type="cellIs" dxfId="0" priority="1" operator="notEqual">
      <formula>"AGLI"</formula>
    </cfRule>
  </conditionalFormatting>
  <dataValidations count="18">
    <dataValidation type="list" allowBlank="1" showInputMessage="1" showErrorMessage="1" sqref="I4:L4">
      <formula1>"Shibin, Banha, Zagazig, Faqus, Sadat, Dyarb, Damanhour, Dumiat, Kafr El Dawar, Kafr El Sheikh, Mansoura, Port Said, Tanta"</formula1>
    </dataValidation>
    <dataValidation type="list" allowBlank="1" showInputMessage="1" showErrorMessage="1" sqref="I15:K15">
      <formula1>"TP48120A, TP48200A, TP48200B, TP48300A, TP48300B, ETP48300A, TP48400B, TP4860H, TP4860C, NA"</formula1>
    </dataValidation>
    <dataValidation type="list" allowBlank="1" showInputMessage="1" showErrorMessage="1" sqref="M94:O95">
      <formula1>"ALU, NSN, Huawei, NA"</formula1>
    </dataValidation>
    <dataValidation type="list" allowBlank="1" showInputMessage="1" showErrorMessage="1" sqref="I13:K13">
      <formula1>"Delta 1, Delta 2, Delta 3, Delta 4,Huawei,Flat Pack, Emerson, NSN , Ascom,Lorain,Power One,Harmer&amp;Simon, Saft, ZTE"</formula1>
    </dataValidation>
    <dataValidation type="list" allowBlank="1" showInputMessage="1" showErrorMessage="1" sqref="R5">
      <formula1>"AGLI,HGLI,NGLI"</formula1>
    </dataValidation>
    <dataValidation type="list" allowBlank="1" showInputMessage="1" showErrorMessage="1" sqref="I57:K57">
      <formula1>"0,1,2,3,4,5,6,7,8,9"</formula1>
    </dataValidation>
    <dataValidation type="list" allowBlank="1" showInputMessage="1" showErrorMessage="1" sqref="I51:K51">
      <formula1>"1,2,3,4,5,6"</formula1>
    </dataValidation>
    <dataValidation type="list" allowBlank="1" showInputMessage="1" showErrorMessage="1" sqref="I47:K47">
      <formula1>"170AH,155 AH,150 AH,400 AH,450 AH,300 AH,39 AH, 40 AH,165 AH,100 AH,90 AH,92 AH,180 AH, 160 AH"</formula1>
    </dataValidation>
    <dataValidation type="list" allowBlank="1" showInputMessage="1" showErrorMessage="1" sqref="I45:K45">
      <formula1>"2,6,12,48"</formula1>
    </dataValidation>
    <dataValidation type="list" allowBlank="1" showInputMessage="1" showErrorMessage="1" sqref="I43:K43 I49:K49">
      <formula1>"1,2,3,4,5,6,7,8,9,10,11,12"</formula1>
    </dataValidation>
    <dataValidation type="list" allowBlank="1" showInputMessage="1" showErrorMessage="1" sqref="I41:K41">
      <formula1>"Lithium, SBS,Marathon,Power Safe 12V,LOEUCH,MONBAT 155, Excide 180 AH ,Excide FT,NorthStar 100AH,OPZV, Powersafe 2V, Monolite, FIAMM"</formula1>
    </dataValidation>
    <dataValidation type="list" allowBlank="1" showInputMessage="1" showErrorMessage="1" sqref="I17:K17 I19:K19">
      <formula1>"1,2,3,4,5,6,7,8,9"</formula1>
    </dataValidation>
    <dataValidation type="list" allowBlank="1" showInputMessage="1" showErrorMessage="1" sqref="I11:K11">
      <formula1>"EC, EC+SCG, Continous Gen,Double Gen,EC+Stanby Gen.,EC+Double Standby Gen.,Vodafone Gen"</formula1>
    </dataValidation>
    <dataValidation type="list" allowBlank="1" showInputMessage="1" showErrorMessage="1" sqref="I53:K53 I55:K55 I59:K59 I61:K61 I63:K63 I69:K69 J65:K67 I65 I67">
      <formula1>"Yes,No"</formula1>
    </dataValidation>
    <dataValidation type="list" allowBlank="1" showInputMessage="1" showErrorMessage="1" sqref="M93:O93">
      <formula1>"NSN, Huawei, ALU"</formula1>
    </dataValidation>
    <dataValidation type="list" allowBlank="1" showInputMessage="1" showErrorMessage="1" sqref="M92:O92">
      <formula1>"Shelter, Outdoor"</formula1>
    </dataValidation>
    <dataValidation type="list" allowBlank="1" showInputMessage="1" showErrorMessage="1" sqref="M91">
      <formula1>"BSC, Nodal, Nodal + VIP, VIP, BTS"</formula1>
    </dataValidation>
    <dataValidation type="list" allowBlank="1" showInputMessage="1" showErrorMessage="1" sqref="M98:O98">
      <formula1>"MOT, NSN, Huawei"</formula1>
    </dataValidation>
  </dataValidations>
  <printOptions horizontalCentered="1"/>
  <pageMargins left="0" right="0" top="0" bottom="0" header="0" footer="0"/>
  <pageSetup paperSize="9" scale="77" orientation="portrait" horizontalDpi="300" verticalDpi="300" r:id="rId1"/>
  <headerFooter alignWithMargins="0"/>
  <rowBreaks count="1" manualBreakCount="1">
    <brk id="72" max="20"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Z81"/>
  <sheetViews>
    <sheetView zoomScale="20" zoomScaleNormal="20" workbookViewId="0">
      <selection activeCell="AF66" sqref="AF66"/>
    </sheetView>
  </sheetViews>
  <sheetFormatPr defaultRowHeight="15"/>
  <sheetData>
    <row r="2" spans="2:13" ht="15.75">
      <c r="E2" s="243" t="s">
        <v>98</v>
      </c>
      <c r="F2" s="244"/>
      <c r="G2" s="245"/>
      <c r="H2" s="245"/>
      <c r="I2" s="245"/>
      <c r="J2" s="245"/>
    </row>
    <row r="3" spans="2:13" ht="15.75">
      <c r="E3" s="243" t="s">
        <v>107</v>
      </c>
      <c r="F3" s="244"/>
      <c r="G3" s="245"/>
      <c r="H3" s="245"/>
      <c r="I3" s="245"/>
      <c r="J3" s="245"/>
    </row>
    <row r="4" spans="2:13" ht="15.75">
      <c r="E4" s="243" t="s">
        <v>108</v>
      </c>
      <c r="F4" s="244"/>
      <c r="G4" s="245"/>
      <c r="H4" s="245"/>
      <c r="I4" s="245"/>
      <c r="J4" s="245"/>
    </row>
    <row r="6" spans="2:13">
      <c r="B6" s="239" t="s">
        <v>109</v>
      </c>
      <c r="C6" s="239"/>
      <c r="D6" s="239"/>
      <c r="E6" s="239"/>
      <c r="J6" s="239" t="s">
        <v>109</v>
      </c>
      <c r="K6" s="239"/>
      <c r="L6" s="239"/>
      <c r="M6" s="239"/>
    </row>
    <row r="7" spans="2:13">
      <c r="B7" s="246" t="s">
        <v>110</v>
      </c>
      <c r="C7" s="246"/>
      <c r="D7" s="246"/>
      <c r="E7" s="246"/>
      <c r="J7" s="246" t="s">
        <v>110</v>
      </c>
      <c r="K7" s="246"/>
      <c r="L7" s="246"/>
      <c r="M7" s="246"/>
    </row>
    <row r="8" spans="2:13">
      <c r="B8" s="246"/>
      <c r="C8" s="246"/>
      <c r="D8" s="246"/>
      <c r="E8" s="246"/>
      <c r="J8" s="246"/>
      <c r="K8" s="246"/>
      <c r="L8" s="246"/>
      <c r="M8" s="246"/>
    </row>
    <row r="9" spans="2:13">
      <c r="B9" s="246"/>
      <c r="C9" s="246"/>
      <c r="D9" s="246"/>
      <c r="E9" s="246"/>
      <c r="J9" s="246"/>
      <c r="K9" s="246"/>
      <c r="L9" s="246"/>
      <c r="M9" s="246"/>
    </row>
    <row r="10" spans="2:13">
      <c r="B10" s="246"/>
      <c r="C10" s="246"/>
      <c r="D10" s="246"/>
      <c r="E10" s="246"/>
      <c r="J10" s="246"/>
      <c r="K10" s="246"/>
      <c r="L10" s="246"/>
      <c r="M10" s="246"/>
    </row>
    <row r="11" spans="2:13">
      <c r="B11" s="246"/>
      <c r="C11" s="246"/>
      <c r="D11" s="246"/>
      <c r="E11" s="246"/>
      <c r="J11" s="246"/>
      <c r="K11" s="246"/>
      <c r="L11" s="246"/>
      <c r="M11" s="246"/>
    </row>
    <row r="12" spans="2:13">
      <c r="B12" s="246"/>
      <c r="C12" s="246"/>
      <c r="D12" s="246"/>
      <c r="E12" s="246"/>
      <c r="J12" s="246"/>
      <c r="K12" s="246"/>
      <c r="L12" s="246"/>
      <c r="M12" s="246"/>
    </row>
    <row r="13" spans="2:13">
      <c r="B13" s="246"/>
      <c r="C13" s="246"/>
      <c r="D13" s="246"/>
      <c r="E13" s="246"/>
      <c r="J13" s="246"/>
      <c r="K13" s="246"/>
      <c r="L13" s="246"/>
      <c r="M13" s="246"/>
    </row>
    <row r="14" spans="2:13">
      <c r="B14" s="246"/>
      <c r="C14" s="246"/>
      <c r="D14" s="246"/>
      <c r="E14" s="246"/>
      <c r="J14" s="246"/>
      <c r="K14" s="246"/>
      <c r="L14" s="246"/>
      <c r="M14" s="246"/>
    </row>
    <row r="15" spans="2:13">
      <c r="B15" s="246"/>
      <c r="C15" s="246"/>
      <c r="D15" s="246"/>
      <c r="E15" s="246"/>
      <c r="J15" s="246"/>
      <c r="K15" s="246"/>
      <c r="L15" s="246"/>
      <c r="M15" s="246"/>
    </row>
    <row r="16" spans="2:13">
      <c r="B16" s="246"/>
      <c r="C16" s="246"/>
      <c r="D16" s="246"/>
      <c r="E16" s="246"/>
      <c r="J16" s="246"/>
      <c r="K16" s="246"/>
      <c r="L16" s="246"/>
      <c r="M16" s="246"/>
    </row>
    <row r="18" spans="2:26">
      <c r="B18" s="239" t="s">
        <v>108</v>
      </c>
      <c r="C18" s="239"/>
      <c r="D18" s="239"/>
      <c r="E18" s="239"/>
      <c r="J18" s="239" t="s">
        <v>108</v>
      </c>
      <c r="K18" s="239"/>
      <c r="L18" s="239"/>
      <c r="M18" s="239"/>
    </row>
    <row r="19" spans="2:26">
      <c r="B19" s="240"/>
      <c r="C19" s="241"/>
      <c r="D19" s="241"/>
      <c r="E19" s="242"/>
      <c r="J19" s="240"/>
      <c r="K19" s="241"/>
      <c r="L19" s="241"/>
      <c r="M19" s="242"/>
    </row>
    <row r="22" spans="2:26" ht="15.75">
      <c r="B22" s="238" t="s">
        <v>123</v>
      </c>
      <c r="C22" s="238"/>
      <c r="D22" s="238"/>
      <c r="E22" s="238"/>
      <c r="F22" s="238"/>
      <c r="G22" s="238"/>
      <c r="H22" s="238"/>
      <c r="I22" s="238"/>
      <c r="J22" s="238"/>
      <c r="K22" s="238"/>
      <c r="L22" s="238"/>
      <c r="M22" s="238"/>
      <c r="O22" s="238" t="s">
        <v>122</v>
      </c>
      <c r="P22" s="238"/>
      <c r="Q22" s="238"/>
      <c r="R22" s="238"/>
      <c r="S22" s="238"/>
      <c r="T22" s="238"/>
      <c r="U22" s="238"/>
      <c r="V22" s="238"/>
      <c r="W22" s="238"/>
      <c r="X22" s="238"/>
      <c r="Y22" s="238"/>
      <c r="Z22" s="238"/>
    </row>
    <row r="23" spans="2:26">
      <c r="B23" s="237" t="s">
        <v>105</v>
      </c>
      <c r="C23" s="237"/>
      <c r="D23" s="237"/>
      <c r="E23" s="237"/>
      <c r="F23" s="237"/>
      <c r="G23" s="237"/>
      <c r="H23" s="237"/>
      <c r="I23" s="237"/>
      <c r="J23" s="237"/>
      <c r="K23" s="237"/>
      <c r="L23" s="237"/>
      <c r="M23" s="237"/>
      <c r="O23" s="237" t="s">
        <v>105</v>
      </c>
      <c r="P23" s="237"/>
      <c r="Q23" s="237"/>
      <c r="R23" s="237"/>
      <c r="S23" s="237"/>
      <c r="T23" s="237"/>
      <c r="U23" s="237"/>
      <c r="V23" s="237"/>
      <c r="W23" s="237"/>
      <c r="X23" s="237"/>
      <c r="Y23" s="237"/>
      <c r="Z23" s="237"/>
    </row>
    <row r="24" spans="2:26">
      <c r="B24" s="237"/>
      <c r="C24" s="237"/>
      <c r="D24" s="237"/>
      <c r="E24" s="237"/>
      <c r="F24" s="237"/>
      <c r="G24" s="237"/>
      <c r="H24" s="237"/>
      <c r="I24" s="237"/>
      <c r="J24" s="237"/>
      <c r="K24" s="237"/>
      <c r="L24" s="237"/>
      <c r="M24" s="237"/>
      <c r="O24" s="237"/>
      <c r="P24" s="237"/>
      <c r="Q24" s="237"/>
      <c r="R24" s="237"/>
      <c r="S24" s="237"/>
      <c r="T24" s="237"/>
      <c r="U24" s="237"/>
      <c r="V24" s="237"/>
      <c r="W24" s="237"/>
      <c r="X24" s="237"/>
      <c r="Y24" s="237"/>
      <c r="Z24" s="237"/>
    </row>
    <row r="25" spans="2:26">
      <c r="B25" s="237"/>
      <c r="C25" s="237"/>
      <c r="D25" s="237"/>
      <c r="E25" s="237"/>
      <c r="F25" s="237"/>
      <c r="G25" s="237"/>
      <c r="H25" s="237"/>
      <c r="I25" s="237"/>
      <c r="J25" s="237"/>
      <c r="K25" s="237"/>
      <c r="L25" s="237"/>
      <c r="M25" s="237"/>
      <c r="O25" s="237"/>
      <c r="P25" s="237"/>
      <c r="Q25" s="237"/>
      <c r="R25" s="237"/>
      <c r="S25" s="237"/>
      <c r="T25" s="237"/>
      <c r="U25" s="237"/>
      <c r="V25" s="237"/>
      <c r="W25" s="237"/>
      <c r="X25" s="237"/>
      <c r="Y25" s="237"/>
      <c r="Z25" s="237"/>
    </row>
    <row r="26" spans="2:26">
      <c r="B26" s="237"/>
      <c r="C26" s="237"/>
      <c r="D26" s="237"/>
      <c r="E26" s="237"/>
      <c r="F26" s="237"/>
      <c r="G26" s="237"/>
      <c r="H26" s="237"/>
      <c r="I26" s="237"/>
      <c r="J26" s="237"/>
      <c r="K26" s="237"/>
      <c r="L26" s="237"/>
      <c r="M26" s="237"/>
      <c r="O26" s="237"/>
      <c r="P26" s="237"/>
      <c r="Q26" s="237"/>
      <c r="R26" s="237"/>
      <c r="S26" s="237"/>
      <c r="T26" s="237"/>
      <c r="U26" s="237"/>
      <c r="V26" s="237"/>
      <c r="W26" s="237"/>
      <c r="X26" s="237"/>
      <c r="Y26" s="237"/>
      <c r="Z26" s="237"/>
    </row>
    <row r="27" spans="2:26">
      <c r="B27" s="237"/>
      <c r="C27" s="237"/>
      <c r="D27" s="237"/>
      <c r="E27" s="237"/>
      <c r="F27" s="237"/>
      <c r="G27" s="237"/>
      <c r="H27" s="237"/>
      <c r="I27" s="237"/>
      <c r="J27" s="237"/>
      <c r="K27" s="237"/>
      <c r="L27" s="237"/>
      <c r="M27" s="237"/>
      <c r="O27" s="237"/>
      <c r="P27" s="237"/>
      <c r="Q27" s="237"/>
      <c r="R27" s="237"/>
      <c r="S27" s="237"/>
      <c r="T27" s="237"/>
      <c r="U27" s="237"/>
      <c r="V27" s="237"/>
      <c r="W27" s="237"/>
      <c r="X27" s="237"/>
      <c r="Y27" s="237"/>
      <c r="Z27" s="237"/>
    </row>
    <row r="28" spans="2:26">
      <c r="B28" s="237"/>
      <c r="C28" s="237"/>
      <c r="D28" s="237"/>
      <c r="E28" s="237"/>
      <c r="F28" s="237"/>
      <c r="G28" s="237"/>
      <c r="H28" s="237"/>
      <c r="I28" s="237"/>
      <c r="J28" s="237"/>
      <c r="K28" s="237"/>
      <c r="L28" s="237"/>
      <c r="M28" s="237"/>
      <c r="O28" s="237"/>
      <c r="P28" s="237"/>
      <c r="Q28" s="237"/>
      <c r="R28" s="237"/>
      <c r="S28" s="237"/>
      <c r="T28" s="237"/>
      <c r="U28" s="237"/>
      <c r="V28" s="237"/>
      <c r="W28" s="237"/>
      <c r="X28" s="237"/>
      <c r="Y28" s="237"/>
      <c r="Z28" s="237"/>
    </row>
    <row r="29" spans="2:26">
      <c r="B29" s="237"/>
      <c r="C29" s="237"/>
      <c r="D29" s="237"/>
      <c r="E29" s="237"/>
      <c r="F29" s="237"/>
      <c r="G29" s="237"/>
      <c r="H29" s="237"/>
      <c r="I29" s="237"/>
      <c r="J29" s="237"/>
      <c r="K29" s="237"/>
      <c r="L29" s="237"/>
      <c r="M29" s="237"/>
      <c r="O29" s="237"/>
      <c r="P29" s="237"/>
      <c r="Q29" s="237"/>
      <c r="R29" s="237"/>
      <c r="S29" s="237"/>
      <c r="T29" s="237"/>
      <c r="U29" s="237"/>
      <c r="V29" s="237"/>
      <c r="W29" s="237"/>
      <c r="X29" s="237"/>
      <c r="Y29" s="237"/>
      <c r="Z29" s="237"/>
    </row>
    <row r="30" spans="2:26">
      <c r="B30" s="237"/>
      <c r="C30" s="237"/>
      <c r="D30" s="237"/>
      <c r="E30" s="237"/>
      <c r="F30" s="237"/>
      <c r="G30" s="237"/>
      <c r="H30" s="237"/>
      <c r="I30" s="237"/>
      <c r="J30" s="237"/>
      <c r="K30" s="237"/>
      <c r="L30" s="237"/>
      <c r="M30" s="237"/>
      <c r="O30" s="237"/>
      <c r="P30" s="237"/>
      <c r="Q30" s="237"/>
      <c r="R30" s="237"/>
      <c r="S30" s="237"/>
      <c r="T30" s="237"/>
      <c r="U30" s="237"/>
      <c r="V30" s="237"/>
      <c r="W30" s="237"/>
      <c r="X30" s="237"/>
      <c r="Y30" s="237"/>
      <c r="Z30" s="237"/>
    </row>
    <row r="31" spans="2:26">
      <c r="B31" s="237"/>
      <c r="C31" s="237"/>
      <c r="D31" s="237"/>
      <c r="E31" s="237"/>
      <c r="F31" s="237"/>
      <c r="G31" s="237"/>
      <c r="H31" s="237"/>
      <c r="I31" s="237"/>
      <c r="J31" s="237"/>
      <c r="K31" s="237"/>
      <c r="L31" s="237"/>
      <c r="M31" s="237"/>
      <c r="O31" s="237"/>
      <c r="P31" s="237"/>
      <c r="Q31" s="237"/>
      <c r="R31" s="237"/>
      <c r="S31" s="237"/>
      <c r="T31" s="237"/>
      <c r="U31" s="237"/>
      <c r="V31" s="237"/>
      <c r="W31" s="237"/>
      <c r="X31" s="237"/>
      <c r="Y31" s="237"/>
      <c r="Z31" s="237"/>
    </row>
    <row r="32" spans="2:26">
      <c r="B32" s="237"/>
      <c r="C32" s="237"/>
      <c r="D32" s="237"/>
      <c r="E32" s="237"/>
      <c r="F32" s="237"/>
      <c r="G32" s="237"/>
      <c r="H32" s="237"/>
      <c r="I32" s="237"/>
      <c r="J32" s="237"/>
      <c r="K32" s="237"/>
      <c r="L32" s="237"/>
      <c r="M32" s="237"/>
      <c r="O32" s="237"/>
      <c r="P32" s="237"/>
      <c r="Q32" s="237"/>
      <c r="R32" s="237"/>
      <c r="S32" s="237"/>
      <c r="T32" s="237"/>
      <c r="U32" s="237"/>
      <c r="V32" s="237"/>
      <c r="W32" s="237"/>
      <c r="X32" s="237"/>
      <c r="Y32" s="237"/>
      <c r="Z32" s="237"/>
    </row>
    <row r="33" spans="2:26">
      <c r="B33" s="237"/>
      <c r="C33" s="237"/>
      <c r="D33" s="237"/>
      <c r="E33" s="237"/>
      <c r="F33" s="237"/>
      <c r="G33" s="237"/>
      <c r="H33" s="237"/>
      <c r="I33" s="237"/>
      <c r="J33" s="237"/>
      <c r="K33" s="237"/>
      <c r="L33" s="237"/>
      <c r="M33" s="237"/>
      <c r="O33" s="237"/>
      <c r="P33" s="237"/>
      <c r="Q33" s="237"/>
      <c r="R33" s="237"/>
      <c r="S33" s="237"/>
      <c r="T33" s="237"/>
      <c r="U33" s="237"/>
      <c r="V33" s="237"/>
      <c r="W33" s="237"/>
      <c r="X33" s="237"/>
      <c r="Y33" s="237"/>
      <c r="Z33" s="237"/>
    </row>
    <row r="34" spans="2:26">
      <c r="B34" s="237"/>
      <c r="C34" s="237"/>
      <c r="D34" s="237"/>
      <c r="E34" s="237"/>
      <c r="F34" s="237"/>
      <c r="G34" s="237"/>
      <c r="H34" s="237"/>
      <c r="I34" s="237"/>
      <c r="J34" s="237"/>
      <c r="K34" s="237"/>
      <c r="L34" s="237"/>
      <c r="M34" s="237"/>
      <c r="O34" s="237"/>
      <c r="P34" s="237"/>
      <c r="Q34" s="237"/>
      <c r="R34" s="237"/>
      <c r="S34" s="237"/>
      <c r="T34" s="237"/>
      <c r="U34" s="237"/>
      <c r="V34" s="237"/>
      <c r="W34" s="237"/>
      <c r="X34" s="237"/>
      <c r="Y34" s="237"/>
      <c r="Z34" s="237"/>
    </row>
    <row r="35" spans="2:26">
      <c r="B35" s="237"/>
      <c r="C35" s="237"/>
      <c r="D35" s="237"/>
      <c r="E35" s="237"/>
      <c r="F35" s="237"/>
      <c r="G35" s="237"/>
      <c r="H35" s="237"/>
      <c r="I35" s="237"/>
      <c r="J35" s="237"/>
      <c r="K35" s="237"/>
      <c r="L35" s="237"/>
      <c r="M35" s="237"/>
      <c r="O35" s="237"/>
      <c r="P35" s="237"/>
      <c r="Q35" s="237"/>
      <c r="R35" s="237"/>
      <c r="S35" s="237"/>
      <c r="T35" s="237"/>
      <c r="U35" s="237"/>
      <c r="V35" s="237"/>
      <c r="W35" s="237"/>
      <c r="X35" s="237"/>
      <c r="Y35" s="237"/>
      <c r="Z35" s="237"/>
    </row>
    <row r="36" spans="2:26">
      <c r="B36" s="237"/>
      <c r="C36" s="237"/>
      <c r="D36" s="237"/>
      <c r="E36" s="237"/>
      <c r="F36" s="237"/>
      <c r="G36" s="237"/>
      <c r="H36" s="237"/>
      <c r="I36" s="237"/>
      <c r="J36" s="237"/>
      <c r="K36" s="237"/>
      <c r="L36" s="237"/>
      <c r="M36" s="237"/>
      <c r="O36" s="237"/>
      <c r="P36" s="237"/>
      <c r="Q36" s="237"/>
      <c r="R36" s="237"/>
      <c r="S36" s="237"/>
      <c r="T36" s="237"/>
      <c r="U36" s="237"/>
      <c r="V36" s="237"/>
      <c r="W36" s="237"/>
      <c r="X36" s="237"/>
      <c r="Y36" s="237"/>
      <c r="Z36" s="237"/>
    </row>
    <row r="37" spans="2:26">
      <c r="B37" s="237"/>
      <c r="C37" s="237"/>
      <c r="D37" s="237"/>
      <c r="E37" s="237"/>
      <c r="F37" s="237"/>
      <c r="G37" s="237"/>
      <c r="H37" s="237"/>
      <c r="I37" s="237"/>
      <c r="J37" s="237"/>
      <c r="K37" s="237"/>
      <c r="L37" s="237"/>
      <c r="M37" s="237"/>
      <c r="O37" s="237"/>
      <c r="P37" s="237"/>
      <c r="Q37" s="237"/>
      <c r="R37" s="237"/>
      <c r="S37" s="237"/>
      <c r="T37" s="237"/>
      <c r="U37" s="237"/>
      <c r="V37" s="237"/>
      <c r="W37" s="237"/>
      <c r="X37" s="237"/>
      <c r="Y37" s="237"/>
      <c r="Z37" s="237"/>
    </row>
    <row r="38" spans="2:26">
      <c r="B38" s="237"/>
      <c r="C38" s="237"/>
      <c r="D38" s="237"/>
      <c r="E38" s="237"/>
      <c r="F38" s="237"/>
      <c r="G38" s="237"/>
      <c r="H38" s="237"/>
      <c r="I38" s="237"/>
      <c r="J38" s="237"/>
      <c r="K38" s="237"/>
      <c r="L38" s="237"/>
      <c r="M38" s="237"/>
      <c r="O38" s="237"/>
      <c r="P38" s="237"/>
      <c r="Q38" s="237"/>
      <c r="R38" s="237"/>
      <c r="S38" s="237"/>
      <c r="T38" s="237"/>
      <c r="U38" s="237"/>
      <c r="V38" s="237"/>
      <c r="W38" s="237"/>
      <c r="X38" s="237"/>
      <c r="Y38" s="237"/>
      <c r="Z38" s="237"/>
    </row>
    <row r="39" spans="2:26">
      <c r="B39" s="237"/>
      <c r="C39" s="237"/>
      <c r="D39" s="237"/>
      <c r="E39" s="237"/>
      <c r="F39" s="237"/>
      <c r="G39" s="237"/>
      <c r="H39" s="237"/>
      <c r="I39" s="237"/>
      <c r="J39" s="237"/>
      <c r="K39" s="237"/>
      <c r="L39" s="237"/>
      <c r="M39" s="237"/>
      <c r="O39" s="237"/>
      <c r="P39" s="237"/>
      <c r="Q39" s="237"/>
      <c r="R39" s="237"/>
      <c r="S39" s="237"/>
      <c r="T39" s="237"/>
      <c r="U39" s="237"/>
      <c r="V39" s="237"/>
      <c r="W39" s="237"/>
      <c r="X39" s="237"/>
      <c r="Y39" s="237"/>
      <c r="Z39" s="237"/>
    </row>
    <row r="40" spans="2:26">
      <c r="B40" s="237"/>
      <c r="C40" s="237"/>
      <c r="D40" s="237"/>
      <c r="E40" s="237"/>
      <c r="F40" s="237"/>
      <c r="G40" s="237"/>
      <c r="H40" s="237"/>
      <c r="I40" s="237"/>
      <c r="J40" s="237"/>
      <c r="K40" s="237"/>
      <c r="L40" s="237"/>
      <c r="M40" s="237"/>
      <c r="O40" s="237"/>
      <c r="P40" s="237"/>
      <c r="Q40" s="237"/>
      <c r="R40" s="237"/>
      <c r="S40" s="237"/>
      <c r="T40" s="237"/>
      <c r="U40" s="237"/>
      <c r="V40" s="237"/>
      <c r="W40" s="237"/>
      <c r="X40" s="237"/>
      <c r="Y40" s="237"/>
      <c r="Z40" s="237"/>
    </row>
    <row r="41" spans="2:26">
      <c r="B41" s="237"/>
      <c r="C41" s="237"/>
      <c r="D41" s="237"/>
      <c r="E41" s="237"/>
      <c r="F41" s="237"/>
      <c r="G41" s="237"/>
      <c r="H41" s="237"/>
      <c r="I41" s="237"/>
      <c r="J41" s="237"/>
      <c r="K41" s="237"/>
      <c r="L41" s="237"/>
      <c r="M41" s="237"/>
      <c r="O41" s="237"/>
      <c r="P41" s="237"/>
      <c r="Q41" s="237"/>
      <c r="R41" s="237"/>
      <c r="S41" s="237"/>
      <c r="T41" s="237"/>
      <c r="U41" s="237"/>
      <c r="V41" s="237"/>
      <c r="W41" s="237"/>
      <c r="X41" s="237"/>
      <c r="Y41" s="237"/>
      <c r="Z41" s="237"/>
    </row>
    <row r="42" spans="2:26">
      <c r="B42" s="237"/>
      <c r="C42" s="237"/>
      <c r="D42" s="237"/>
      <c r="E42" s="237"/>
      <c r="F42" s="237"/>
      <c r="G42" s="237"/>
      <c r="H42" s="237"/>
      <c r="I42" s="237"/>
      <c r="J42" s="237"/>
      <c r="K42" s="237"/>
      <c r="L42" s="237"/>
      <c r="M42" s="237"/>
      <c r="O42" s="237"/>
      <c r="P42" s="237"/>
      <c r="Q42" s="237"/>
      <c r="R42" s="237"/>
      <c r="S42" s="237"/>
      <c r="T42" s="237"/>
      <c r="U42" s="237"/>
      <c r="V42" s="237"/>
      <c r="W42" s="237"/>
      <c r="X42" s="237"/>
      <c r="Y42" s="237"/>
      <c r="Z42" s="237"/>
    </row>
    <row r="43" spans="2:26">
      <c r="B43" s="237"/>
      <c r="C43" s="237"/>
      <c r="D43" s="237"/>
      <c r="E43" s="237"/>
      <c r="F43" s="237"/>
      <c r="G43" s="237"/>
      <c r="H43" s="237"/>
      <c r="I43" s="237"/>
      <c r="J43" s="237"/>
      <c r="K43" s="237"/>
      <c r="L43" s="237"/>
      <c r="M43" s="237"/>
      <c r="O43" s="237"/>
      <c r="P43" s="237"/>
      <c r="Q43" s="237"/>
      <c r="R43" s="237"/>
      <c r="S43" s="237"/>
      <c r="T43" s="237"/>
      <c r="U43" s="237"/>
      <c r="V43" s="237"/>
      <c r="W43" s="237"/>
      <c r="X43" s="237"/>
      <c r="Y43" s="237"/>
      <c r="Z43" s="237"/>
    </row>
    <row r="44" spans="2:26">
      <c r="B44" s="237"/>
      <c r="C44" s="237"/>
      <c r="D44" s="237"/>
      <c r="E44" s="237"/>
      <c r="F44" s="237"/>
      <c r="G44" s="237"/>
      <c r="H44" s="237"/>
      <c r="I44" s="237"/>
      <c r="J44" s="237"/>
      <c r="K44" s="237"/>
      <c r="L44" s="237"/>
      <c r="M44" s="237"/>
      <c r="O44" s="237"/>
      <c r="P44" s="237"/>
      <c r="Q44" s="237"/>
      <c r="R44" s="237"/>
      <c r="S44" s="237"/>
      <c r="T44" s="237"/>
      <c r="U44" s="237"/>
      <c r="V44" s="237"/>
      <c r="W44" s="237"/>
      <c r="X44" s="237"/>
      <c r="Y44" s="237"/>
      <c r="Z44" s="237"/>
    </row>
    <row r="45" spans="2:26">
      <c r="B45" s="237"/>
      <c r="C45" s="237"/>
      <c r="D45" s="237"/>
      <c r="E45" s="237"/>
      <c r="F45" s="237"/>
      <c r="G45" s="237"/>
      <c r="H45" s="237"/>
      <c r="I45" s="237"/>
      <c r="J45" s="237"/>
      <c r="K45" s="237"/>
      <c r="L45" s="237"/>
      <c r="M45" s="237"/>
      <c r="O45" s="237"/>
      <c r="P45" s="237"/>
      <c r="Q45" s="237"/>
      <c r="R45" s="237"/>
      <c r="S45" s="237"/>
      <c r="T45" s="237"/>
      <c r="U45" s="237"/>
      <c r="V45" s="237"/>
      <c r="W45" s="237"/>
      <c r="X45" s="237"/>
      <c r="Y45" s="237"/>
      <c r="Z45" s="237"/>
    </row>
    <row r="46" spans="2:26">
      <c r="B46" s="237"/>
      <c r="C46" s="237"/>
      <c r="D46" s="237"/>
      <c r="E46" s="237"/>
      <c r="F46" s="237"/>
      <c r="G46" s="237"/>
      <c r="H46" s="237"/>
      <c r="I46" s="237"/>
      <c r="J46" s="237"/>
      <c r="K46" s="237"/>
      <c r="L46" s="237"/>
      <c r="M46" s="237"/>
      <c r="O46" s="237"/>
      <c r="P46" s="237"/>
      <c r="Q46" s="237"/>
      <c r="R46" s="237"/>
      <c r="S46" s="237"/>
      <c r="T46" s="237"/>
      <c r="U46" s="237"/>
      <c r="V46" s="237"/>
      <c r="W46" s="237"/>
      <c r="X46" s="237"/>
      <c r="Y46" s="237"/>
      <c r="Z46" s="237"/>
    </row>
    <row r="47" spans="2:26">
      <c r="B47" s="237"/>
      <c r="C47" s="237"/>
      <c r="D47" s="237"/>
      <c r="E47" s="237"/>
      <c r="F47" s="237"/>
      <c r="G47" s="237"/>
      <c r="H47" s="237"/>
      <c r="I47" s="237"/>
      <c r="J47" s="237"/>
      <c r="K47" s="237"/>
      <c r="L47" s="237"/>
      <c r="M47" s="237"/>
      <c r="O47" s="237"/>
      <c r="P47" s="237"/>
      <c r="Q47" s="237"/>
      <c r="R47" s="237"/>
      <c r="S47" s="237"/>
      <c r="T47" s="237"/>
      <c r="U47" s="237"/>
      <c r="V47" s="237"/>
      <c r="W47" s="237"/>
      <c r="X47" s="237"/>
      <c r="Y47" s="237"/>
      <c r="Z47" s="237"/>
    </row>
    <row r="48" spans="2:26">
      <c r="B48" s="237"/>
      <c r="C48" s="237"/>
      <c r="D48" s="237"/>
      <c r="E48" s="237"/>
      <c r="F48" s="237"/>
      <c r="G48" s="237"/>
      <c r="H48" s="237"/>
      <c r="I48" s="237"/>
      <c r="J48" s="237"/>
      <c r="K48" s="237"/>
      <c r="L48" s="237"/>
      <c r="M48" s="237"/>
      <c r="O48" s="237"/>
      <c r="P48" s="237"/>
      <c r="Q48" s="237"/>
      <c r="R48" s="237"/>
      <c r="S48" s="237"/>
      <c r="T48" s="237"/>
      <c r="U48" s="237"/>
      <c r="V48" s="237"/>
      <c r="W48" s="237"/>
      <c r="X48" s="237"/>
      <c r="Y48" s="237"/>
      <c r="Z48" s="237"/>
    </row>
    <row r="49" spans="2:26">
      <c r="B49" s="237"/>
      <c r="C49" s="237"/>
      <c r="D49" s="237"/>
      <c r="E49" s="237"/>
      <c r="F49" s="237"/>
      <c r="G49" s="237"/>
      <c r="H49" s="237"/>
      <c r="I49" s="237"/>
      <c r="J49" s="237"/>
      <c r="K49" s="237"/>
      <c r="L49" s="237"/>
      <c r="M49" s="237"/>
      <c r="O49" s="237"/>
      <c r="P49" s="237"/>
      <c r="Q49" s="237"/>
      <c r="R49" s="237"/>
      <c r="S49" s="237"/>
      <c r="T49" s="237"/>
      <c r="U49" s="237"/>
      <c r="V49" s="237"/>
      <c r="W49" s="237"/>
      <c r="X49" s="237"/>
      <c r="Y49" s="237"/>
      <c r="Z49" s="237"/>
    </row>
    <row r="50" spans="2:26">
      <c r="B50" s="237"/>
      <c r="C50" s="237"/>
      <c r="D50" s="237"/>
      <c r="E50" s="237"/>
      <c r="F50" s="237"/>
      <c r="G50" s="237"/>
      <c r="H50" s="237"/>
      <c r="I50" s="237"/>
      <c r="J50" s="237"/>
      <c r="K50" s="237"/>
      <c r="L50" s="237"/>
      <c r="M50" s="237"/>
      <c r="O50" s="237"/>
      <c r="P50" s="237"/>
      <c r="Q50" s="237"/>
      <c r="R50" s="237"/>
      <c r="S50" s="237"/>
      <c r="T50" s="237"/>
      <c r="U50" s="237"/>
      <c r="V50" s="237"/>
      <c r="W50" s="237"/>
      <c r="X50" s="237"/>
      <c r="Y50" s="237"/>
      <c r="Z50" s="237"/>
    </row>
    <row r="53" spans="2:26" ht="15.75">
      <c r="B53" s="238" t="s">
        <v>124</v>
      </c>
      <c r="C53" s="238"/>
      <c r="D53" s="238"/>
      <c r="E53" s="238"/>
      <c r="F53" s="238"/>
      <c r="G53" s="238"/>
      <c r="H53" s="238"/>
      <c r="I53" s="238"/>
      <c r="J53" s="238"/>
      <c r="K53" s="238"/>
      <c r="L53" s="238"/>
      <c r="M53" s="238"/>
      <c r="O53" s="238" t="s">
        <v>121</v>
      </c>
      <c r="P53" s="238"/>
      <c r="Q53" s="238"/>
      <c r="R53" s="238"/>
      <c r="S53" s="238"/>
      <c r="T53" s="238"/>
      <c r="U53" s="238"/>
      <c r="V53" s="238"/>
      <c r="W53" s="238"/>
      <c r="X53" s="238"/>
      <c r="Y53" s="238"/>
      <c r="Z53" s="238"/>
    </row>
    <row r="54" spans="2:26">
      <c r="B54" s="237" t="s">
        <v>106</v>
      </c>
      <c r="C54" s="237"/>
      <c r="D54" s="237"/>
      <c r="E54" s="237"/>
      <c r="F54" s="237"/>
      <c r="G54" s="237"/>
      <c r="H54" s="237"/>
      <c r="I54" s="237"/>
      <c r="J54" s="237"/>
      <c r="K54" s="237"/>
      <c r="L54" s="237"/>
      <c r="M54" s="237"/>
      <c r="O54" s="237" t="s">
        <v>105</v>
      </c>
      <c r="P54" s="237"/>
      <c r="Q54" s="237"/>
      <c r="R54" s="237"/>
      <c r="S54" s="237"/>
      <c r="T54" s="237"/>
      <c r="U54" s="237"/>
      <c r="V54" s="237"/>
      <c r="W54" s="237"/>
      <c r="X54" s="237"/>
      <c r="Y54" s="237"/>
      <c r="Z54" s="237"/>
    </row>
    <row r="55" spans="2:26">
      <c r="B55" s="237"/>
      <c r="C55" s="237"/>
      <c r="D55" s="237"/>
      <c r="E55" s="237"/>
      <c r="F55" s="237"/>
      <c r="G55" s="237"/>
      <c r="H55" s="237"/>
      <c r="I55" s="237"/>
      <c r="J55" s="237"/>
      <c r="K55" s="237"/>
      <c r="L55" s="237"/>
      <c r="M55" s="237"/>
      <c r="O55" s="237"/>
      <c r="P55" s="237"/>
      <c r="Q55" s="237"/>
      <c r="R55" s="237"/>
      <c r="S55" s="237"/>
      <c r="T55" s="237"/>
      <c r="U55" s="237"/>
      <c r="V55" s="237"/>
      <c r="W55" s="237"/>
      <c r="X55" s="237"/>
      <c r="Y55" s="237"/>
      <c r="Z55" s="237"/>
    </row>
    <row r="56" spans="2:26">
      <c r="B56" s="237"/>
      <c r="C56" s="237"/>
      <c r="D56" s="237"/>
      <c r="E56" s="237"/>
      <c r="F56" s="237"/>
      <c r="G56" s="237"/>
      <c r="H56" s="237"/>
      <c r="I56" s="237"/>
      <c r="J56" s="237"/>
      <c r="K56" s="237"/>
      <c r="L56" s="237"/>
      <c r="M56" s="237"/>
      <c r="O56" s="237"/>
      <c r="P56" s="237"/>
      <c r="Q56" s="237"/>
      <c r="R56" s="237"/>
      <c r="S56" s="237"/>
      <c r="T56" s="237"/>
      <c r="U56" s="237"/>
      <c r="V56" s="237"/>
      <c r="W56" s="237"/>
      <c r="X56" s="237"/>
      <c r="Y56" s="237"/>
      <c r="Z56" s="237"/>
    </row>
    <row r="57" spans="2:26">
      <c r="B57" s="237"/>
      <c r="C57" s="237"/>
      <c r="D57" s="237"/>
      <c r="E57" s="237"/>
      <c r="F57" s="237"/>
      <c r="G57" s="237"/>
      <c r="H57" s="237"/>
      <c r="I57" s="237"/>
      <c r="J57" s="237"/>
      <c r="K57" s="237"/>
      <c r="L57" s="237"/>
      <c r="M57" s="237"/>
      <c r="O57" s="237"/>
      <c r="P57" s="237"/>
      <c r="Q57" s="237"/>
      <c r="R57" s="237"/>
      <c r="S57" s="237"/>
      <c r="T57" s="237"/>
      <c r="U57" s="237"/>
      <c r="V57" s="237"/>
      <c r="W57" s="237"/>
      <c r="X57" s="237"/>
      <c r="Y57" s="237"/>
      <c r="Z57" s="237"/>
    </row>
    <row r="58" spans="2:26">
      <c r="B58" s="237"/>
      <c r="C58" s="237"/>
      <c r="D58" s="237"/>
      <c r="E58" s="237"/>
      <c r="F58" s="237"/>
      <c r="G58" s="237"/>
      <c r="H58" s="237"/>
      <c r="I58" s="237"/>
      <c r="J58" s="237"/>
      <c r="K58" s="237"/>
      <c r="L58" s="237"/>
      <c r="M58" s="237"/>
      <c r="O58" s="237"/>
      <c r="P58" s="237"/>
      <c r="Q58" s="237"/>
      <c r="R58" s="237"/>
      <c r="S58" s="237"/>
      <c r="T58" s="237"/>
      <c r="U58" s="237"/>
      <c r="V58" s="237"/>
      <c r="W58" s="237"/>
      <c r="X58" s="237"/>
      <c r="Y58" s="237"/>
      <c r="Z58" s="237"/>
    </row>
    <row r="59" spans="2:26">
      <c r="B59" s="237"/>
      <c r="C59" s="237"/>
      <c r="D59" s="237"/>
      <c r="E59" s="237"/>
      <c r="F59" s="237"/>
      <c r="G59" s="237"/>
      <c r="H59" s="237"/>
      <c r="I59" s="237"/>
      <c r="J59" s="237"/>
      <c r="K59" s="237"/>
      <c r="L59" s="237"/>
      <c r="M59" s="237"/>
      <c r="O59" s="237"/>
      <c r="P59" s="237"/>
      <c r="Q59" s="237"/>
      <c r="R59" s="237"/>
      <c r="S59" s="237"/>
      <c r="T59" s="237"/>
      <c r="U59" s="237"/>
      <c r="V59" s="237"/>
      <c r="W59" s="237"/>
      <c r="X59" s="237"/>
      <c r="Y59" s="237"/>
      <c r="Z59" s="237"/>
    </row>
    <row r="60" spans="2:26">
      <c r="B60" s="237"/>
      <c r="C60" s="237"/>
      <c r="D60" s="237"/>
      <c r="E60" s="237"/>
      <c r="F60" s="237"/>
      <c r="G60" s="237"/>
      <c r="H60" s="237"/>
      <c r="I60" s="237"/>
      <c r="J60" s="237"/>
      <c r="K60" s="237"/>
      <c r="L60" s="237"/>
      <c r="M60" s="237"/>
      <c r="O60" s="237"/>
      <c r="P60" s="237"/>
      <c r="Q60" s="237"/>
      <c r="R60" s="237"/>
      <c r="S60" s="237"/>
      <c r="T60" s="237"/>
      <c r="U60" s="237"/>
      <c r="V60" s="237"/>
      <c r="W60" s="237"/>
      <c r="X60" s="237"/>
      <c r="Y60" s="237"/>
      <c r="Z60" s="237"/>
    </row>
    <row r="61" spans="2:26">
      <c r="B61" s="237"/>
      <c r="C61" s="237"/>
      <c r="D61" s="237"/>
      <c r="E61" s="237"/>
      <c r="F61" s="237"/>
      <c r="G61" s="237"/>
      <c r="H61" s="237"/>
      <c r="I61" s="237"/>
      <c r="J61" s="237"/>
      <c r="K61" s="237"/>
      <c r="L61" s="237"/>
      <c r="M61" s="237"/>
      <c r="O61" s="237"/>
      <c r="P61" s="237"/>
      <c r="Q61" s="237"/>
      <c r="R61" s="237"/>
      <c r="S61" s="237"/>
      <c r="T61" s="237"/>
      <c r="U61" s="237"/>
      <c r="V61" s="237"/>
      <c r="W61" s="237"/>
      <c r="X61" s="237"/>
      <c r="Y61" s="237"/>
      <c r="Z61" s="237"/>
    </row>
    <row r="62" spans="2:26">
      <c r="B62" s="237"/>
      <c r="C62" s="237"/>
      <c r="D62" s="237"/>
      <c r="E62" s="237"/>
      <c r="F62" s="237"/>
      <c r="G62" s="237"/>
      <c r="H62" s="237"/>
      <c r="I62" s="237"/>
      <c r="J62" s="237"/>
      <c r="K62" s="237"/>
      <c r="L62" s="237"/>
      <c r="M62" s="237"/>
      <c r="O62" s="237"/>
      <c r="P62" s="237"/>
      <c r="Q62" s="237"/>
      <c r="R62" s="237"/>
      <c r="S62" s="237"/>
      <c r="T62" s="237"/>
      <c r="U62" s="237"/>
      <c r="V62" s="237"/>
      <c r="W62" s="237"/>
      <c r="X62" s="237"/>
      <c r="Y62" s="237"/>
      <c r="Z62" s="237"/>
    </row>
    <row r="63" spans="2:26">
      <c r="B63" s="237"/>
      <c r="C63" s="237"/>
      <c r="D63" s="237"/>
      <c r="E63" s="237"/>
      <c r="F63" s="237"/>
      <c r="G63" s="237"/>
      <c r="H63" s="237"/>
      <c r="I63" s="237"/>
      <c r="J63" s="237"/>
      <c r="K63" s="237"/>
      <c r="L63" s="237"/>
      <c r="M63" s="237"/>
      <c r="O63" s="237"/>
      <c r="P63" s="237"/>
      <c r="Q63" s="237"/>
      <c r="R63" s="237"/>
      <c r="S63" s="237"/>
      <c r="T63" s="237"/>
      <c r="U63" s="237"/>
      <c r="V63" s="237"/>
      <c r="W63" s="237"/>
      <c r="X63" s="237"/>
      <c r="Y63" s="237"/>
      <c r="Z63" s="237"/>
    </row>
    <row r="64" spans="2:26">
      <c r="B64" s="237"/>
      <c r="C64" s="237"/>
      <c r="D64" s="237"/>
      <c r="E64" s="237"/>
      <c r="F64" s="237"/>
      <c r="G64" s="237"/>
      <c r="H64" s="237"/>
      <c r="I64" s="237"/>
      <c r="J64" s="237"/>
      <c r="K64" s="237"/>
      <c r="L64" s="237"/>
      <c r="M64" s="237"/>
      <c r="O64" s="237"/>
      <c r="P64" s="237"/>
      <c r="Q64" s="237"/>
      <c r="R64" s="237"/>
      <c r="S64" s="237"/>
      <c r="T64" s="237"/>
      <c r="U64" s="237"/>
      <c r="V64" s="237"/>
      <c r="W64" s="237"/>
      <c r="X64" s="237"/>
      <c r="Y64" s="237"/>
      <c r="Z64" s="237"/>
    </row>
    <row r="65" spans="2:26">
      <c r="B65" s="237"/>
      <c r="C65" s="237"/>
      <c r="D65" s="237"/>
      <c r="E65" s="237"/>
      <c r="F65" s="237"/>
      <c r="G65" s="237"/>
      <c r="H65" s="237"/>
      <c r="I65" s="237"/>
      <c r="J65" s="237"/>
      <c r="K65" s="237"/>
      <c r="L65" s="237"/>
      <c r="M65" s="237"/>
      <c r="O65" s="237"/>
      <c r="P65" s="237"/>
      <c r="Q65" s="237"/>
      <c r="R65" s="237"/>
      <c r="S65" s="237"/>
      <c r="T65" s="237"/>
      <c r="U65" s="237"/>
      <c r="V65" s="237"/>
      <c r="W65" s="237"/>
      <c r="X65" s="237"/>
      <c r="Y65" s="237"/>
      <c r="Z65" s="237"/>
    </row>
    <row r="66" spans="2:26">
      <c r="B66" s="237"/>
      <c r="C66" s="237"/>
      <c r="D66" s="237"/>
      <c r="E66" s="237"/>
      <c r="F66" s="237"/>
      <c r="G66" s="237"/>
      <c r="H66" s="237"/>
      <c r="I66" s="237"/>
      <c r="J66" s="237"/>
      <c r="K66" s="237"/>
      <c r="L66" s="237"/>
      <c r="M66" s="237"/>
      <c r="O66" s="237"/>
      <c r="P66" s="237"/>
      <c r="Q66" s="237"/>
      <c r="R66" s="237"/>
      <c r="S66" s="237"/>
      <c r="T66" s="237"/>
      <c r="U66" s="237"/>
      <c r="V66" s="237"/>
      <c r="W66" s="237"/>
      <c r="X66" s="237"/>
      <c r="Y66" s="237"/>
      <c r="Z66" s="237"/>
    </row>
    <row r="67" spans="2:26">
      <c r="B67" s="237"/>
      <c r="C67" s="237"/>
      <c r="D67" s="237"/>
      <c r="E67" s="237"/>
      <c r="F67" s="237"/>
      <c r="G67" s="237"/>
      <c r="H67" s="237"/>
      <c r="I67" s="237"/>
      <c r="J67" s="237"/>
      <c r="K67" s="237"/>
      <c r="L67" s="237"/>
      <c r="M67" s="237"/>
      <c r="O67" s="237"/>
      <c r="P67" s="237"/>
      <c r="Q67" s="237"/>
      <c r="R67" s="237"/>
      <c r="S67" s="237"/>
      <c r="T67" s="237"/>
      <c r="U67" s="237"/>
      <c r="V67" s="237"/>
      <c r="W67" s="237"/>
      <c r="X67" s="237"/>
      <c r="Y67" s="237"/>
      <c r="Z67" s="237"/>
    </row>
    <row r="68" spans="2:26">
      <c r="B68" s="237"/>
      <c r="C68" s="237"/>
      <c r="D68" s="237"/>
      <c r="E68" s="237"/>
      <c r="F68" s="237"/>
      <c r="G68" s="237"/>
      <c r="H68" s="237"/>
      <c r="I68" s="237"/>
      <c r="J68" s="237"/>
      <c r="K68" s="237"/>
      <c r="L68" s="237"/>
      <c r="M68" s="237"/>
      <c r="O68" s="237"/>
      <c r="P68" s="237"/>
      <c r="Q68" s="237"/>
      <c r="R68" s="237"/>
      <c r="S68" s="237"/>
      <c r="T68" s="237"/>
      <c r="U68" s="237"/>
      <c r="V68" s="237"/>
      <c r="W68" s="237"/>
      <c r="X68" s="237"/>
      <c r="Y68" s="237"/>
      <c r="Z68" s="237"/>
    </row>
    <row r="69" spans="2:26">
      <c r="B69" s="237"/>
      <c r="C69" s="237"/>
      <c r="D69" s="237"/>
      <c r="E69" s="237"/>
      <c r="F69" s="237"/>
      <c r="G69" s="237"/>
      <c r="H69" s="237"/>
      <c r="I69" s="237"/>
      <c r="J69" s="237"/>
      <c r="K69" s="237"/>
      <c r="L69" s="237"/>
      <c r="M69" s="237"/>
      <c r="O69" s="237"/>
      <c r="P69" s="237"/>
      <c r="Q69" s="237"/>
      <c r="R69" s="237"/>
      <c r="S69" s="237"/>
      <c r="T69" s="237"/>
      <c r="U69" s="237"/>
      <c r="V69" s="237"/>
      <c r="W69" s="237"/>
      <c r="X69" s="237"/>
      <c r="Y69" s="237"/>
      <c r="Z69" s="237"/>
    </row>
    <row r="70" spans="2:26">
      <c r="B70" s="237"/>
      <c r="C70" s="237"/>
      <c r="D70" s="237"/>
      <c r="E70" s="237"/>
      <c r="F70" s="237"/>
      <c r="G70" s="237"/>
      <c r="H70" s="237"/>
      <c r="I70" s="237"/>
      <c r="J70" s="237"/>
      <c r="K70" s="237"/>
      <c r="L70" s="237"/>
      <c r="M70" s="237"/>
      <c r="O70" s="237"/>
      <c r="P70" s="237"/>
      <c r="Q70" s="237"/>
      <c r="R70" s="237"/>
      <c r="S70" s="237"/>
      <c r="T70" s="237"/>
      <c r="U70" s="237"/>
      <c r="V70" s="237"/>
      <c r="W70" s="237"/>
      <c r="X70" s="237"/>
      <c r="Y70" s="237"/>
      <c r="Z70" s="237"/>
    </row>
    <row r="71" spans="2:26">
      <c r="B71" s="237"/>
      <c r="C71" s="237"/>
      <c r="D71" s="237"/>
      <c r="E71" s="237"/>
      <c r="F71" s="237"/>
      <c r="G71" s="237"/>
      <c r="H71" s="237"/>
      <c r="I71" s="237"/>
      <c r="J71" s="237"/>
      <c r="K71" s="237"/>
      <c r="L71" s="237"/>
      <c r="M71" s="237"/>
      <c r="O71" s="237"/>
      <c r="P71" s="237"/>
      <c r="Q71" s="237"/>
      <c r="R71" s="237"/>
      <c r="S71" s="237"/>
      <c r="T71" s="237"/>
      <c r="U71" s="237"/>
      <c r="V71" s="237"/>
      <c r="W71" s="237"/>
      <c r="X71" s="237"/>
      <c r="Y71" s="237"/>
      <c r="Z71" s="237"/>
    </row>
    <row r="72" spans="2:26">
      <c r="B72" s="237"/>
      <c r="C72" s="237"/>
      <c r="D72" s="237"/>
      <c r="E72" s="237"/>
      <c r="F72" s="237"/>
      <c r="G72" s="237"/>
      <c r="H72" s="237"/>
      <c r="I72" s="237"/>
      <c r="J72" s="237"/>
      <c r="K72" s="237"/>
      <c r="L72" s="237"/>
      <c r="M72" s="237"/>
      <c r="O72" s="237"/>
      <c r="P72" s="237"/>
      <c r="Q72" s="237"/>
      <c r="R72" s="237"/>
      <c r="S72" s="237"/>
      <c r="T72" s="237"/>
      <c r="U72" s="237"/>
      <c r="V72" s="237"/>
      <c r="W72" s="237"/>
      <c r="X72" s="237"/>
      <c r="Y72" s="237"/>
      <c r="Z72" s="237"/>
    </row>
    <row r="73" spans="2:26">
      <c r="B73" s="237"/>
      <c r="C73" s="237"/>
      <c r="D73" s="237"/>
      <c r="E73" s="237"/>
      <c r="F73" s="237"/>
      <c r="G73" s="237"/>
      <c r="H73" s="237"/>
      <c r="I73" s="237"/>
      <c r="J73" s="237"/>
      <c r="K73" s="237"/>
      <c r="L73" s="237"/>
      <c r="M73" s="237"/>
      <c r="O73" s="237"/>
      <c r="P73" s="237"/>
      <c r="Q73" s="237"/>
      <c r="R73" s="237"/>
      <c r="S73" s="237"/>
      <c r="T73" s="237"/>
      <c r="U73" s="237"/>
      <c r="V73" s="237"/>
      <c r="W73" s="237"/>
      <c r="X73" s="237"/>
      <c r="Y73" s="237"/>
      <c r="Z73" s="237"/>
    </row>
    <row r="74" spans="2:26">
      <c r="B74" s="237"/>
      <c r="C74" s="237"/>
      <c r="D74" s="237"/>
      <c r="E74" s="237"/>
      <c r="F74" s="237"/>
      <c r="G74" s="237"/>
      <c r="H74" s="237"/>
      <c r="I74" s="237"/>
      <c r="J74" s="237"/>
      <c r="K74" s="237"/>
      <c r="L74" s="237"/>
      <c r="M74" s="237"/>
      <c r="O74" s="237"/>
      <c r="P74" s="237"/>
      <c r="Q74" s="237"/>
      <c r="R74" s="237"/>
      <c r="S74" s="237"/>
      <c r="T74" s="237"/>
      <c r="U74" s="237"/>
      <c r="V74" s="237"/>
      <c r="W74" s="237"/>
      <c r="X74" s="237"/>
      <c r="Y74" s="237"/>
      <c r="Z74" s="237"/>
    </row>
    <row r="75" spans="2:26">
      <c r="B75" s="237"/>
      <c r="C75" s="237"/>
      <c r="D75" s="237"/>
      <c r="E75" s="237"/>
      <c r="F75" s="237"/>
      <c r="G75" s="237"/>
      <c r="H75" s="237"/>
      <c r="I75" s="237"/>
      <c r="J75" s="237"/>
      <c r="K75" s="237"/>
      <c r="L75" s="237"/>
      <c r="M75" s="237"/>
      <c r="O75" s="237"/>
      <c r="P75" s="237"/>
      <c r="Q75" s="237"/>
      <c r="R75" s="237"/>
      <c r="S75" s="237"/>
      <c r="T75" s="237"/>
      <c r="U75" s="237"/>
      <c r="V75" s="237"/>
      <c r="W75" s="237"/>
      <c r="X75" s="237"/>
      <c r="Y75" s="237"/>
      <c r="Z75" s="237"/>
    </row>
    <row r="76" spans="2:26">
      <c r="B76" s="237"/>
      <c r="C76" s="237"/>
      <c r="D76" s="237"/>
      <c r="E76" s="237"/>
      <c r="F76" s="237"/>
      <c r="G76" s="237"/>
      <c r="H76" s="237"/>
      <c r="I76" s="237"/>
      <c r="J76" s="237"/>
      <c r="K76" s="237"/>
      <c r="L76" s="237"/>
      <c r="M76" s="237"/>
      <c r="O76" s="237"/>
      <c r="P76" s="237"/>
      <c r="Q76" s="237"/>
      <c r="R76" s="237"/>
      <c r="S76" s="237"/>
      <c r="T76" s="237"/>
      <c r="U76" s="237"/>
      <c r="V76" s="237"/>
      <c r="W76" s="237"/>
      <c r="X76" s="237"/>
      <c r="Y76" s="237"/>
      <c r="Z76" s="237"/>
    </row>
    <row r="77" spans="2:26">
      <c r="B77" s="237"/>
      <c r="C77" s="237"/>
      <c r="D77" s="237"/>
      <c r="E77" s="237"/>
      <c r="F77" s="237"/>
      <c r="G77" s="237"/>
      <c r="H77" s="237"/>
      <c r="I77" s="237"/>
      <c r="J77" s="237"/>
      <c r="K77" s="237"/>
      <c r="L77" s="237"/>
      <c r="M77" s="237"/>
      <c r="O77" s="237"/>
      <c r="P77" s="237"/>
      <c r="Q77" s="237"/>
      <c r="R77" s="237"/>
      <c r="S77" s="237"/>
      <c r="T77" s="237"/>
      <c r="U77" s="237"/>
      <c r="V77" s="237"/>
      <c r="W77" s="237"/>
      <c r="X77" s="237"/>
      <c r="Y77" s="237"/>
      <c r="Z77" s="237"/>
    </row>
    <row r="78" spans="2:26">
      <c r="B78" s="237"/>
      <c r="C78" s="237"/>
      <c r="D78" s="237"/>
      <c r="E78" s="237"/>
      <c r="F78" s="237"/>
      <c r="G78" s="237"/>
      <c r="H78" s="237"/>
      <c r="I78" s="237"/>
      <c r="J78" s="237"/>
      <c r="K78" s="237"/>
      <c r="L78" s="237"/>
      <c r="M78" s="237"/>
      <c r="O78" s="237"/>
      <c r="P78" s="237"/>
      <c r="Q78" s="237"/>
      <c r="R78" s="237"/>
      <c r="S78" s="237"/>
      <c r="T78" s="237"/>
      <c r="U78" s="237"/>
      <c r="V78" s="237"/>
      <c r="W78" s="237"/>
      <c r="X78" s="237"/>
      <c r="Y78" s="237"/>
      <c r="Z78" s="237"/>
    </row>
    <row r="79" spans="2:26">
      <c r="B79" s="237"/>
      <c r="C79" s="237"/>
      <c r="D79" s="237"/>
      <c r="E79" s="237"/>
      <c r="F79" s="237"/>
      <c r="G79" s="237"/>
      <c r="H79" s="237"/>
      <c r="I79" s="237"/>
      <c r="J79" s="237"/>
      <c r="K79" s="237"/>
      <c r="L79" s="237"/>
      <c r="M79" s="237"/>
      <c r="O79" s="237"/>
      <c r="P79" s="237"/>
      <c r="Q79" s="237"/>
      <c r="R79" s="237"/>
      <c r="S79" s="237"/>
      <c r="T79" s="237"/>
      <c r="U79" s="237"/>
      <c r="V79" s="237"/>
      <c r="W79" s="237"/>
      <c r="X79" s="237"/>
      <c r="Y79" s="237"/>
      <c r="Z79" s="237"/>
    </row>
    <row r="80" spans="2:26">
      <c r="B80" s="237"/>
      <c r="C80" s="237"/>
      <c r="D80" s="237"/>
      <c r="E80" s="237"/>
      <c r="F80" s="237"/>
      <c r="G80" s="237"/>
      <c r="H80" s="237"/>
      <c r="I80" s="237"/>
      <c r="J80" s="237"/>
      <c r="K80" s="237"/>
      <c r="L80" s="237"/>
      <c r="M80" s="237"/>
      <c r="O80" s="237"/>
      <c r="P80" s="237"/>
      <c r="Q80" s="237"/>
      <c r="R80" s="237"/>
      <c r="S80" s="237"/>
      <c r="T80" s="237"/>
      <c r="U80" s="237"/>
      <c r="V80" s="237"/>
      <c r="W80" s="237"/>
      <c r="X80" s="237"/>
      <c r="Y80" s="237"/>
      <c r="Z80" s="237"/>
    </row>
    <row r="81" spans="2:26">
      <c r="B81" s="237"/>
      <c r="C81" s="237"/>
      <c r="D81" s="237"/>
      <c r="E81" s="237"/>
      <c r="F81" s="237"/>
      <c r="G81" s="237"/>
      <c r="H81" s="237"/>
      <c r="I81" s="237"/>
      <c r="J81" s="237"/>
      <c r="K81" s="237"/>
      <c r="L81" s="237"/>
      <c r="M81" s="237"/>
      <c r="O81" s="237"/>
      <c r="P81" s="237"/>
      <c r="Q81" s="237"/>
      <c r="R81" s="237"/>
      <c r="S81" s="237"/>
      <c r="T81" s="237"/>
      <c r="U81" s="237"/>
      <c r="V81" s="237"/>
      <c r="W81" s="237"/>
      <c r="X81" s="237"/>
      <c r="Y81" s="237"/>
      <c r="Z81" s="237"/>
    </row>
  </sheetData>
  <mergeCells count="22">
    <mergeCell ref="O22:Z22"/>
    <mergeCell ref="O23:Z50"/>
    <mergeCell ref="O53:Z53"/>
    <mergeCell ref="O54:Z81"/>
    <mergeCell ref="E2:F2"/>
    <mergeCell ref="G2:J2"/>
    <mergeCell ref="E3:F3"/>
    <mergeCell ref="G3:J3"/>
    <mergeCell ref="E4:F4"/>
    <mergeCell ref="G4:J4"/>
    <mergeCell ref="J6:M6"/>
    <mergeCell ref="J7:M16"/>
    <mergeCell ref="B53:M53"/>
    <mergeCell ref="B54:M81"/>
    <mergeCell ref="B6:E6"/>
    <mergeCell ref="B7:E16"/>
    <mergeCell ref="B23:M50"/>
    <mergeCell ref="B22:M22"/>
    <mergeCell ref="B18:E18"/>
    <mergeCell ref="B19:E19"/>
    <mergeCell ref="J18:M18"/>
    <mergeCell ref="J19:M19"/>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2:M32"/>
  <sheetViews>
    <sheetView zoomScale="70" zoomScaleNormal="70" workbookViewId="0">
      <selection activeCell="E8" sqref="E8"/>
    </sheetView>
  </sheetViews>
  <sheetFormatPr defaultRowHeight="15"/>
  <cols>
    <col min="1" max="1" width="3.5546875" style="35" customWidth="1"/>
    <col min="2" max="2" width="6.77734375" style="35" customWidth="1"/>
    <col min="3" max="3" width="15.21875" style="35" customWidth="1"/>
    <col min="4" max="4" width="31.6640625" style="35" bestFit="1" customWidth="1"/>
    <col min="5" max="5" width="8.6640625" style="35" customWidth="1"/>
    <col min="6" max="6" width="8.33203125" style="35" customWidth="1"/>
    <col min="7" max="7" width="13.6640625" style="35" customWidth="1"/>
    <col min="8" max="8" width="24.6640625" style="35" customWidth="1"/>
    <col min="9" max="9" width="11.77734375" style="35" customWidth="1"/>
    <col min="10" max="10" width="18.109375" style="35" customWidth="1"/>
    <col min="11" max="11" width="29.77734375" style="35" customWidth="1"/>
    <col min="12" max="16384" width="8.88671875" style="35"/>
  </cols>
  <sheetData>
    <row r="2" spans="3:11" ht="15.75">
      <c r="C2" s="80" t="s">
        <v>226</v>
      </c>
      <c r="G2" s="80" t="s">
        <v>227</v>
      </c>
    </row>
    <row r="3" spans="3:11" ht="15.75" thickBot="1"/>
    <row r="4" spans="3:11" ht="15.75" customHeight="1" thickBot="1">
      <c r="C4" s="64" t="s">
        <v>191</v>
      </c>
      <c r="D4" s="64" t="e">
        <f ca="1">_xlfn.CONCAT('[1]BDT Sheet'!C5:F5,"_",'[1]BDT Sheet'!I5:L5)</f>
        <v>#NAME?</v>
      </c>
      <c r="G4" s="81" t="s">
        <v>191</v>
      </c>
      <c r="H4" s="81"/>
      <c r="J4" s="65" t="s">
        <v>192</v>
      </c>
    </row>
    <row r="5" spans="3:11" ht="15.75" thickBot="1">
      <c r="C5" s="64" t="s">
        <v>193</v>
      </c>
      <c r="D5" s="66" t="str">
        <f>'[1]BDT Sheet'!I13</f>
        <v>Delta 2</v>
      </c>
      <c r="G5" s="81" t="s">
        <v>193</v>
      </c>
      <c r="H5" s="82" t="s">
        <v>228</v>
      </c>
    </row>
    <row r="6" spans="3:11" ht="15.75" thickBot="1">
      <c r="C6" s="252" t="s">
        <v>194</v>
      </c>
      <c r="D6" s="67" t="s">
        <v>195</v>
      </c>
      <c r="G6" s="255" t="s">
        <v>194</v>
      </c>
      <c r="H6" s="83" t="s">
        <v>229</v>
      </c>
      <c r="J6" s="68" t="s">
        <v>196</v>
      </c>
      <c r="K6" s="69" t="s">
        <v>197</v>
      </c>
    </row>
    <row r="7" spans="3:11" ht="15.75" thickBot="1">
      <c r="C7" s="253"/>
      <c r="D7" s="67" t="s">
        <v>198</v>
      </c>
      <c r="G7" s="256"/>
      <c r="H7" s="83" t="s">
        <v>230</v>
      </c>
      <c r="J7" s="70" t="s">
        <v>193</v>
      </c>
      <c r="K7" s="71" t="s">
        <v>199</v>
      </c>
    </row>
    <row r="8" spans="3:11" ht="15.75" thickBot="1">
      <c r="C8" s="253"/>
      <c r="D8" s="67" t="s">
        <v>200</v>
      </c>
      <c r="G8" s="256"/>
      <c r="H8" s="83" t="s">
        <v>231</v>
      </c>
      <c r="J8" s="247" t="s">
        <v>201</v>
      </c>
      <c r="K8" s="72" t="s">
        <v>202</v>
      </c>
    </row>
    <row r="9" spans="3:11" ht="15.75" thickBot="1">
      <c r="C9" s="253"/>
      <c r="D9" s="67" t="s">
        <v>203</v>
      </c>
      <c r="G9" s="256"/>
      <c r="H9" s="83" t="s">
        <v>232</v>
      </c>
      <c r="J9" s="248"/>
      <c r="K9" s="72" t="s">
        <v>204</v>
      </c>
    </row>
    <row r="10" spans="3:11" ht="15.75" thickBot="1">
      <c r="C10" s="253"/>
      <c r="D10" s="67" t="s">
        <v>205</v>
      </c>
      <c r="G10" s="256"/>
      <c r="H10" s="83" t="s">
        <v>233</v>
      </c>
      <c r="J10" s="248"/>
      <c r="K10" s="72" t="s">
        <v>206</v>
      </c>
    </row>
    <row r="11" spans="3:11" ht="15.75" thickBot="1">
      <c r="C11" s="253"/>
      <c r="D11" s="73"/>
      <c r="G11" s="256"/>
      <c r="H11" s="83" t="s">
        <v>234</v>
      </c>
      <c r="J11" s="248"/>
      <c r="K11" s="72" t="s">
        <v>207</v>
      </c>
    </row>
    <row r="12" spans="3:11" ht="15.75" thickBot="1">
      <c r="C12" s="253"/>
      <c r="D12" s="73"/>
      <c r="G12" s="256"/>
      <c r="H12" s="83" t="s">
        <v>235</v>
      </c>
      <c r="J12" s="248"/>
      <c r="K12" s="72" t="s">
        <v>208</v>
      </c>
    </row>
    <row r="13" spans="3:11" ht="15.75" thickBot="1">
      <c r="C13" s="253"/>
      <c r="D13" s="73"/>
      <c r="G13" s="256"/>
      <c r="H13" s="83" t="s">
        <v>236</v>
      </c>
      <c r="J13" s="248"/>
      <c r="K13" s="72" t="s">
        <v>209</v>
      </c>
    </row>
    <row r="14" spans="3:11" ht="15.75" thickBot="1">
      <c r="C14" s="253"/>
      <c r="D14" s="73"/>
      <c r="G14" s="256"/>
      <c r="H14" s="83" t="s">
        <v>237</v>
      </c>
      <c r="J14" s="249"/>
      <c r="K14" s="72" t="s">
        <v>210</v>
      </c>
    </row>
    <row r="15" spans="3:11" ht="15.75" thickBot="1">
      <c r="C15" s="253"/>
      <c r="D15" s="73"/>
      <c r="G15" s="256"/>
      <c r="H15" s="83" t="s">
        <v>238</v>
      </c>
      <c r="J15" s="70" t="s">
        <v>211</v>
      </c>
      <c r="K15" s="72">
        <v>7</v>
      </c>
    </row>
    <row r="16" spans="3:11" ht="15.75" thickBot="1">
      <c r="C16" s="254"/>
      <c r="D16" s="73"/>
      <c r="G16" s="257"/>
      <c r="H16" s="83" t="s">
        <v>239</v>
      </c>
      <c r="J16" s="70" t="s">
        <v>212</v>
      </c>
      <c r="K16" s="74" t="s">
        <v>213</v>
      </c>
    </row>
    <row r="17" spans="3:13" ht="15.75" thickBot="1">
      <c r="C17" s="64" t="s">
        <v>211</v>
      </c>
      <c r="D17" s="75">
        <f>'[1]BDT Sheet'!I17</f>
        <v>5</v>
      </c>
      <c r="G17" s="81" t="s">
        <v>211</v>
      </c>
      <c r="H17" s="84">
        <v>3</v>
      </c>
      <c r="J17" s="70" t="s">
        <v>214</v>
      </c>
      <c r="K17" s="72" t="s">
        <v>215</v>
      </c>
    </row>
    <row r="18" spans="3:13" ht="15.75" thickBot="1">
      <c r="C18" s="64" t="s">
        <v>212</v>
      </c>
      <c r="D18" s="75" t="e">
        <f ca="1">_xlfn.CONCAT('[1]BDT Sheet'!I39:K39," ","( ",'[1]BDT Sheet'!I31:K31,'[1]BDT Sheet'!I35:K35," / ",'[1]BDT Sheet'!I37:K37," )")</f>
        <v>#NAME?</v>
      </c>
      <c r="G18" s="81" t="s">
        <v>212</v>
      </c>
      <c r="H18" s="84" t="s">
        <v>240</v>
      </c>
    </row>
    <row r="19" spans="3:13" ht="15.75" thickBot="1">
      <c r="C19" s="64" t="s">
        <v>214</v>
      </c>
      <c r="D19" s="72" t="s">
        <v>216</v>
      </c>
      <c r="G19" s="81" t="s">
        <v>214</v>
      </c>
      <c r="H19" s="85" t="s">
        <v>241</v>
      </c>
    </row>
    <row r="20" spans="3:13" ht="15" customHeight="1">
      <c r="G20" s="15"/>
      <c r="H20" s="15"/>
      <c r="J20" s="250" t="s">
        <v>217</v>
      </c>
      <c r="K20" s="251"/>
      <c r="L20" s="251"/>
      <c r="M20" s="251"/>
    </row>
    <row r="21" spans="3:13" ht="15.75">
      <c r="C21" s="76" t="s">
        <v>218</v>
      </c>
      <c r="G21" s="86" t="s">
        <v>218</v>
      </c>
      <c r="H21" s="15"/>
      <c r="J21" s="251"/>
      <c r="K21" s="251"/>
      <c r="L21" s="251"/>
      <c r="M21" s="251"/>
    </row>
    <row r="22" spans="3:13" ht="15.75" customHeight="1" thickBot="1">
      <c r="G22" s="15"/>
      <c r="H22" s="15"/>
      <c r="J22" s="251"/>
      <c r="K22" s="251"/>
      <c r="L22" s="251"/>
      <c r="M22" s="251"/>
    </row>
    <row r="23" spans="3:13" ht="15.75" customHeight="1" thickBot="1">
      <c r="C23" s="64" t="s">
        <v>191</v>
      </c>
      <c r="D23" s="64" t="s">
        <v>219</v>
      </c>
      <c r="G23" s="81" t="s">
        <v>191</v>
      </c>
      <c r="H23" s="81"/>
      <c r="J23" s="251"/>
      <c r="K23" s="251"/>
      <c r="L23" s="251"/>
      <c r="M23" s="251"/>
    </row>
    <row r="24" spans="3:13" ht="16.5" thickBot="1">
      <c r="C24" s="77" t="s">
        <v>118</v>
      </c>
      <c r="D24" s="78">
        <v>8</v>
      </c>
      <c r="G24" s="87" t="s">
        <v>118</v>
      </c>
      <c r="H24" s="88">
        <v>1</v>
      </c>
      <c r="J24" s="251"/>
      <c r="K24" s="251"/>
      <c r="L24" s="251"/>
      <c r="M24" s="251"/>
    </row>
    <row r="25" spans="3:13" ht="16.5" thickBot="1">
      <c r="C25" s="77" t="s">
        <v>220</v>
      </c>
      <c r="D25" s="67" t="s">
        <v>195</v>
      </c>
      <c r="G25" s="87" t="s">
        <v>220</v>
      </c>
      <c r="H25" s="88" t="s">
        <v>242</v>
      </c>
      <c r="J25" s="251"/>
      <c r="K25" s="251"/>
      <c r="L25" s="251"/>
      <c r="M25" s="251"/>
    </row>
    <row r="26" spans="3:13" ht="16.5" thickBot="1">
      <c r="C26" s="77" t="s">
        <v>221</v>
      </c>
      <c r="D26" s="78">
        <v>10</v>
      </c>
      <c r="G26" s="87" t="s">
        <v>221</v>
      </c>
      <c r="H26" s="88">
        <v>12</v>
      </c>
      <c r="J26" s="251"/>
      <c r="K26" s="251"/>
      <c r="L26" s="251"/>
      <c r="M26" s="251"/>
    </row>
    <row r="27" spans="3:13" ht="16.5" thickBot="1">
      <c r="C27" s="77" t="s">
        <v>222</v>
      </c>
      <c r="D27" s="78">
        <v>6</v>
      </c>
      <c r="G27" s="87" t="s">
        <v>222</v>
      </c>
      <c r="H27" s="88">
        <v>6</v>
      </c>
      <c r="J27" s="251"/>
      <c r="K27" s="251"/>
      <c r="L27" s="251"/>
      <c r="M27" s="251"/>
    </row>
    <row r="28" spans="3:13" ht="16.5" thickBot="1">
      <c r="C28" s="77" t="s">
        <v>223</v>
      </c>
      <c r="D28" s="78">
        <v>4</v>
      </c>
      <c r="G28" s="87" t="s">
        <v>223</v>
      </c>
      <c r="H28" s="88">
        <v>6</v>
      </c>
      <c r="J28" s="251"/>
      <c r="K28" s="251"/>
      <c r="L28" s="251"/>
      <c r="M28" s="251"/>
    </row>
    <row r="29" spans="3:13" ht="16.5" thickBot="1">
      <c r="C29" s="77" t="s">
        <v>224</v>
      </c>
      <c r="D29" s="78">
        <v>5</v>
      </c>
      <c r="G29" s="87" t="s">
        <v>224</v>
      </c>
      <c r="H29" s="88">
        <v>1</v>
      </c>
      <c r="J29" s="251"/>
      <c r="K29" s="251"/>
      <c r="L29" s="251"/>
      <c r="M29" s="251"/>
    </row>
    <row r="30" spans="3:13" ht="30.75" thickBot="1">
      <c r="C30" s="79" t="s">
        <v>225</v>
      </c>
      <c r="D30" s="78">
        <f>D27+D29</f>
        <v>11</v>
      </c>
      <c r="G30" s="89" t="s">
        <v>225</v>
      </c>
      <c r="H30" s="88">
        <v>7</v>
      </c>
      <c r="J30" s="251"/>
      <c r="K30" s="251"/>
      <c r="L30" s="251"/>
      <c r="M30" s="251"/>
    </row>
    <row r="31" spans="3:13">
      <c r="J31" s="251"/>
      <c r="K31" s="251"/>
      <c r="L31" s="251"/>
      <c r="M31" s="251"/>
    </row>
    <row r="32" spans="3:13">
      <c r="J32" s="251"/>
      <c r="K32" s="251"/>
      <c r="L32" s="251"/>
      <c r="M32" s="251"/>
    </row>
  </sheetData>
  <mergeCells count="4">
    <mergeCell ref="J8:J14"/>
    <mergeCell ref="J20:M32"/>
    <mergeCell ref="C6:C16"/>
    <mergeCell ref="G6:G1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2"/>
  <sheetViews>
    <sheetView workbookViewId="0">
      <selection activeCell="G15" sqref="G15"/>
    </sheetView>
  </sheetViews>
  <sheetFormatPr defaultRowHeight="15"/>
  <sheetData>
    <row r="1" spans="1:53" ht="105">
      <c r="A1" s="58" t="s">
        <v>142</v>
      </c>
      <c r="B1" s="59" t="s">
        <v>143</v>
      </c>
      <c r="C1" s="58" t="s">
        <v>144</v>
      </c>
      <c r="D1" s="58" t="s">
        <v>145</v>
      </c>
      <c r="E1" s="60" t="s">
        <v>146</v>
      </c>
      <c r="F1" s="59" t="s">
        <v>147</v>
      </c>
      <c r="G1" s="59" t="s">
        <v>148</v>
      </c>
      <c r="H1" s="59" t="s">
        <v>149</v>
      </c>
      <c r="I1" s="58" t="s">
        <v>150</v>
      </c>
      <c r="J1" s="59" t="s">
        <v>151</v>
      </c>
      <c r="K1" s="58" t="s">
        <v>58</v>
      </c>
      <c r="L1" s="58" t="s">
        <v>61</v>
      </c>
      <c r="M1" s="60" t="s">
        <v>62</v>
      </c>
      <c r="N1" s="59" t="s">
        <v>152</v>
      </c>
      <c r="O1" s="58" t="s">
        <v>153</v>
      </c>
      <c r="P1" s="59" t="s">
        <v>154</v>
      </c>
      <c r="Q1" s="58" t="s">
        <v>155</v>
      </c>
      <c r="R1" s="58" t="s">
        <v>118</v>
      </c>
      <c r="S1" s="60" t="s">
        <v>156</v>
      </c>
      <c r="T1" s="59" t="s">
        <v>157</v>
      </c>
      <c r="U1" s="58" t="s">
        <v>158</v>
      </c>
      <c r="V1" s="59" t="s">
        <v>159</v>
      </c>
      <c r="W1" s="58" t="s">
        <v>160</v>
      </c>
      <c r="X1" s="58" t="s">
        <v>161</v>
      </c>
      <c r="Y1" s="60" t="s">
        <v>162</v>
      </c>
      <c r="Z1" s="59" t="s">
        <v>163</v>
      </c>
      <c r="AA1" s="58" t="s">
        <v>164</v>
      </c>
      <c r="AB1" s="59" t="s">
        <v>165</v>
      </c>
      <c r="AC1" s="58" t="s">
        <v>166</v>
      </c>
      <c r="AD1" s="58" t="s">
        <v>167</v>
      </c>
      <c r="AE1" s="60" t="s">
        <v>168</v>
      </c>
      <c r="AF1" s="59" t="s">
        <v>169</v>
      </c>
      <c r="AG1" s="58" t="s">
        <v>170</v>
      </c>
      <c r="AH1" s="59" t="s">
        <v>171</v>
      </c>
      <c r="AI1" s="58" t="s">
        <v>172</v>
      </c>
      <c r="AJ1" s="58" t="s">
        <v>173</v>
      </c>
      <c r="AK1" s="60" t="s">
        <v>174</v>
      </c>
      <c r="AL1" s="59" t="s">
        <v>117</v>
      </c>
      <c r="AM1" s="58" t="s">
        <v>175</v>
      </c>
      <c r="AN1" s="59" t="s">
        <v>176</v>
      </c>
      <c r="AO1" s="58" t="s">
        <v>177</v>
      </c>
      <c r="AP1" s="58" t="s">
        <v>178</v>
      </c>
      <c r="AQ1" s="59" t="s">
        <v>179</v>
      </c>
      <c r="AR1" s="59" t="s">
        <v>180</v>
      </c>
      <c r="AS1" s="59" t="s">
        <v>189</v>
      </c>
      <c r="AT1" s="59" t="s">
        <v>181</v>
      </c>
      <c r="AU1" s="59" t="s">
        <v>182</v>
      </c>
      <c r="AV1" s="59" t="s">
        <v>183</v>
      </c>
      <c r="AW1" s="59" t="s">
        <v>184</v>
      </c>
      <c r="AX1" s="59" t="s">
        <v>185</v>
      </c>
      <c r="AY1" s="59" t="s">
        <v>186</v>
      </c>
      <c r="AZ1" s="59" t="s">
        <v>187</v>
      </c>
      <c r="BA1" s="59" t="s">
        <v>108</v>
      </c>
    </row>
    <row r="2" spans="1:53" s="35" customFormat="1" ht="15.75">
      <c r="A2" s="61"/>
      <c r="B2" s="62"/>
      <c r="C2" s="61"/>
      <c r="D2" s="61"/>
      <c r="E2" s="63"/>
      <c r="F2" s="61" t="s">
        <v>94</v>
      </c>
      <c r="G2" s="61" t="s">
        <v>94</v>
      </c>
      <c r="H2" s="258"/>
      <c r="I2" s="259" t="s">
        <v>258</v>
      </c>
      <c r="J2" s="61"/>
      <c r="K2" s="61" t="s">
        <v>133</v>
      </c>
      <c r="L2" s="260">
        <v>0</v>
      </c>
      <c r="M2" s="260" t="s">
        <v>94</v>
      </c>
      <c r="N2" s="260">
        <v>1</v>
      </c>
      <c r="O2" s="260" t="s">
        <v>93</v>
      </c>
      <c r="P2" s="260">
        <v>2</v>
      </c>
      <c r="Q2" s="260">
        <v>0</v>
      </c>
      <c r="R2" s="260">
        <v>1</v>
      </c>
      <c r="S2" s="261" t="s">
        <v>259</v>
      </c>
      <c r="T2" s="260">
        <v>0</v>
      </c>
      <c r="U2" s="260">
        <v>0</v>
      </c>
      <c r="V2" s="260">
        <v>0</v>
      </c>
      <c r="W2" s="262" t="s">
        <v>260</v>
      </c>
      <c r="X2" s="262" t="s">
        <v>260</v>
      </c>
      <c r="Y2" s="262" t="s">
        <v>260</v>
      </c>
      <c r="Z2" s="262" t="s">
        <v>260</v>
      </c>
      <c r="AA2" s="260" t="s">
        <v>93</v>
      </c>
      <c r="AB2" s="260">
        <v>2</v>
      </c>
      <c r="AC2" s="260" t="s">
        <v>94</v>
      </c>
      <c r="AD2" s="260">
        <v>1</v>
      </c>
      <c r="AE2" s="260" t="s">
        <v>256</v>
      </c>
      <c r="AF2" s="260" t="s">
        <v>261</v>
      </c>
      <c r="AG2" s="260" t="s">
        <v>262</v>
      </c>
      <c r="AH2" s="260" t="s">
        <v>263</v>
      </c>
      <c r="AI2" s="260" t="s">
        <v>93</v>
      </c>
      <c r="AJ2" s="263" t="s">
        <v>264</v>
      </c>
      <c r="AK2" s="260"/>
      <c r="AL2" s="264"/>
      <c r="AM2" s="263"/>
      <c r="AN2" s="263"/>
      <c r="AO2" s="260"/>
      <c r="AP2" s="260"/>
      <c r="AQ2" s="260"/>
      <c r="AR2" s="260"/>
      <c r="AS2" s="260">
        <v>180</v>
      </c>
      <c r="AT2" s="260"/>
      <c r="AU2" s="260"/>
      <c r="AV2" s="261"/>
      <c r="AW2" s="261" t="s">
        <v>265</v>
      </c>
      <c r="AX2" s="265"/>
      <c r="AY2" s="260" t="s">
        <v>266</v>
      </c>
      <c r="AZ2" s="260"/>
      <c r="BA2" s="266"/>
    </row>
  </sheetData>
  <dataValidations count="7">
    <dataValidation type="whole" allowBlank="1" showInputMessage="1" showErrorMessage="1" sqref="AB2 AD2 P2:R2 T2:V2">
      <formula1>0</formula1>
      <formula2>10</formula2>
    </dataValidation>
    <dataValidation type="list" allowBlank="1" showInputMessage="1" showErrorMessage="1" sqref="AE2">
      <formula1>"AGLI"</formula1>
    </dataValidation>
    <dataValidation type="list" allowBlank="1" showInputMessage="1" showErrorMessage="1" sqref="AF2">
      <formula1>"MBV"</formula1>
    </dataValidation>
    <dataValidation type="whole" allowBlank="1" showInputMessage="1" showErrorMessage="1" sqref="AK2">
      <formula1>1</formula1>
      <formula2>8</formula2>
    </dataValidation>
    <dataValidation type="whole" allowBlank="1" showInputMessage="1" showErrorMessage="1" sqref="AO2">
      <formula1>1</formula1>
      <formula2>10</formula2>
    </dataValidation>
    <dataValidation type="whole" allowBlank="1" showInputMessage="1" showErrorMessage="1" sqref="AP2">
      <formula1>1</formula1>
      <formula2>40</formula2>
    </dataValidation>
    <dataValidation type="whole" operator="greaterThan" allowBlank="1" showInputMessage="1" showErrorMessage="1" sqref="AS2">
      <formula1>15</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14:formula1>
            <xm:f>[2]Sheet4!#REF!</xm:f>
          </x14:formula1>
          <xm:sqref>AG2:AI2 AY2 AC2 W2:AA2 O2</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BDT sheet</vt:lpstr>
      <vt:lpstr>Power Alarm</vt:lpstr>
      <vt:lpstr>Config</vt:lpstr>
      <vt:lpstr>Summary </vt:lpstr>
      <vt:lpstr>'BDT sheet'!Print_Area</vt:lpstr>
    </vt:vector>
  </TitlesOfParts>
  <Company>Orascom Mobinil</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Ahmed Hegazy</dc:creator>
  <cp:lastModifiedBy>Windows User</cp:lastModifiedBy>
  <cp:lastPrinted>2008-07-08T17:14:56Z</cp:lastPrinted>
  <dcterms:created xsi:type="dcterms:W3CDTF">2003-02-03T13:09:28Z</dcterms:created>
  <dcterms:modified xsi:type="dcterms:W3CDTF">2024-12-09T21:12:02Z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