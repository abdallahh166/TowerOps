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bm\"/>
    </mc:Choice>
  </mc:AlternateContent>
  <bookViews>
    <workbookView xWindow="0" yWindow="0" windowWidth="20490" windowHeight="7755" tabRatio="675" activeTab="2"/>
  </bookViews>
  <sheets>
    <sheet name="site's reading" sheetId="7" r:id="rId1"/>
    <sheet name="Common checklist" sheetId="1" r:id="rId2"/>
    <sheet name="Panorama" sheetId="10" r:id="rId3"/>
    <sheet name="Sheet1" sheetId="11" state="hidden" r:id="rId4"/>
    <sheet name="Sheet2" sheetId="12" state="hidden" r:id="rId5"/>
    <sheet name="Tower Panorama" sheetId="4" r:id="rId6"/>
    <sheet name="Before &amp; after" sheetId="2" r:id="rId7"/>
    <sheet name="Pending Res." sheetId="3" r:id="rId8"/>
    <sheet name="unused assets" sheetId="5" r:id="rId9"/>
    <sheet name="alarms capture" sheetId="6" r:id="rId10"/>
    <sheet name="Audit matrix SQI" sheetId="9" r:id="rId11"/>
  </sheets>
  <definedNames>
    <definedName name="_xlnm._FilterDatabase" localSheetId="10" hidden="1">'Audit matrix SQI'!$C$27:$DH$120</definedName>
    <definedName name="_xlnm._FilterDatabase" localSheetId="1" hidden="1">'Common checklist'!$A$8:$G$293</definedName>
    <definedName name="_xlnm.Print_Area" localSheetId="1">'Common checklist'!$A$2:$G$293</definedName>
    <definedName name="_xlnm.Print_Titles" localSheetId="1">'Common checklist'!$8:$8</definedName>
  </definedNames>
  <calcPr calcId="152511"/>
</workbook>
</file>

<file path=xl/calcChain.xml><?xml version="1.0" encoding="utf-8"?>
<calcChain xmlns="http://schemas.openxmlformats.org/spreadsheetml/2006/main">
  <c r="DU117" i="9" l="1"/>
  <c r="DT117" i="9"/>
  <c r="DS117" i="9"/>
  <c r="DR117" i="9"/>
  <c r="DW117" i="9" s="1"/>
  <c r="DJ117" i="9"/>
  <c r="DI117" i="9"/>
  <c r="DC117" i="9"/>
  <c r="DB117" i="9"/>
  <c r="CV117" i="9"/>
  <c r="CU117" i="9"/>
  <c r="CO117" i="9"/>
  <c r="CN117" i="9"/>
  <c r="CH117" i="9"/>
  <c r="CG117" i="9"/>
  <c r="CA117" i="9"/>
  <c r="BZ117" i="9"/>
  <c r="BT117" i="9"/>
  <c r="BS117" i="9"/>
  <c r="BM117" i="9"/>
  <c r="BL117" i="9"/>
  <c r="BF117" i="9"/>
  <c r="BE117" i="9"/>
  <c r="AY117" i="9"/>
  <c r="AX117" i="9"/>
  <c r="AR117" i="9"/>
  <c r="AQ117" i="9"/>
  <c r="AK117" i="9"/>
  <c r="AJ117" i="9"/>
  <c r="AD117" i="9"/>
  <c r="AC117" i="9"/>
  <c r="W117" i="9"/>
  <c r="V117" i="9"/>
  <c r="P117" i="9"/>
  <c r="O117" i="9"/>
  <c r="I117" i="9"/>
  <c r="H117" i="9"/>
  <c r="DU116" i="9"/>
  <c r="DT116" i="9"/>
  <c r="DS116" i="9"/>
  <c r="DR116" i="9"/>
  <c r="DW116" i="9" s="1"/>
  <c r="DJ116" i="9"/>
  <c r="DI116" i="9"/>
  <c r="DC116" i="9"/>
  <c r="DB116" i="9"/>
  <c r="CV116" i="9"/>
  <c r="CU116" i="9"/>
  <c r="CO116" i="9"/>
  <c r="CN116" i="9"/>
  <c r="CH116" i="9"/>
  <c r="CG116" i="9"/>
  <c r="CA116" i="9"/>
  <c r="BZ116" i="9"/>
  <c r="BT116" i="9"/>
  <c r="BS116" i="9"/>
  <c r="BM116" i="9"/>
  <c r="BL116" i="9"/>
  <c r="BF116" i="9"/>
  <c r="BE116" i="9"/>
  <c r="AY116" i="9"/>
  <c r="AX116" i="9"/>
  <c r="AR116" i="9"/>
  <c r="AQ116" i="9"/>
  <c r="AK116" i="9"/>
  <c r="AJ116" i="9"/>
  <c r="AD116" i="9"/>
  <c r="AC116" i="9"/>
  <c r="W116" i="9"/>
  <c r="V116" i="9"/>
  <c r="P116" i="9"/>
  <c r="O116" i="9"/>
  <c r="I116" i="9"/>
  <c r="H116" i="9"/>
  <c r="DU115" i="9"/>
  <c r="DT115" i="9"/>
  <c r="DS115" i="9"/>
  <c r="DR115" i="9"/>
  <c r="DW115" i="9" s="1"/>
  <c r="DJ115" i="9"/>
  <c r="DI115" i="9"/>
  <c r="DC115" i="9"/>
  <c r="DB115" i="9"/>
  <c r="CV115" i="9"/>
  <c r="CU115" i="9"/>
  <c r="CO115" i="9"/>
  <c r="CN115" i="9"/>
  <c r="CH115" i="9"/>
  <c r="CG115" i="9"/>
  <c r="CA115" i="9"/>
  <c r="BZ115" i="9"/>
  <c r="BT115" i="9"/>
  <c r="BS115" i="9"/>
  <c r="BM115" i="9"/>
  <c r="BL115" i="9"/>
  <c r="BF115" i="9"/>
  <c r="BE115" i="9"/>
  <c r="AY115" i="9"/>
  <c r="AX115" i="9"/>
  <c r="AR115" i="9"/>
  <c r="AQ115" i="9"/>
  <c r="AK115" i="9"/>
  <c r="AJ115" i="9"/>
  <c r="AD115" i="9"/>
  <c r="AC115" i="9"/>
  <c r="W115" i="9"/>
  <c r="V115" i="9"/>
  <c r="P115" i="9"/>
  <c r="O115" i="9"/>
  <c r="I115" i="9"/>
  <c r="H115" i="9"/>
  <c r="DU114" i="9"/>
  <c r="DT114" i="9"/>
  <c r="DS114" i="9"/>
  <c r="DR114" i="9"/>
  <c r="DW114" i="9" s="1"/>
  <c r="DJ114" i="9"/>
  <c r="DI114" i="9"/>
  <c r="DC114" i="9"/>
  <c r="DB114" i="9"/>
  <c r="CV114" i="9"/>
  <c r="CU114" i="9"/>
  <c r="CO114" i="9"/>
  <c r="CN114" i="9"/>
  <c r="CH114" i="9"/>
  <c r="CG114" i="9"/>
  <c r="CA114" i="9"/>
  <c r="BZ114" i="9"/>
  <c r="BT114" i="9"/>
  <c r="BS114" i="9"/>
  <c r="BM114" i="9"/>
  <c r="BL114" i="9"/>
  <c r="BF114" i="9"/>
  <c r="BE114" i="9"/>
  <c r="AY114" i="9"/>
  <c r="AX114" i="9"/>
  <c r="AR114" i="9"/>
  <c r="AQ114" i="9"/>
  <c r="AK114" i="9"/>
  <c r="AJ114" i="9"/>
  <c r="AD114" i="9"/>
  <c r="AC114" i="9"/>
  <c r="W114" i="9"/>
  <c r="V114" i="9"/>
  <c r="P114" i="9"/>
  <c r="O114" i="9"/>
  <c r="I114" i="9"/>
  <c r="H114" i="9"/>
  <c r="DU113" i="9"/>
  <c r="DT113" i="9"/>
  <c r="DS113" i="9"/>
  <c r="DR113" i="9"/>
  <c r="DW113" i="9" s="1"/>
  <c r="DJ113" i="9"/>
  <c r="DI113" i="9"/>
  <c r="DC113" i="9"/>
  <c r="DB113" i="9"/>
  <c r="CV113" i="9"/>
  <c r="CU113" i="9"/>
  <c r="CO113" i="9"/>
  <c r="CN113" i="9"/>
  <c r="CH113" i="9"/>
  <c r="CG113" i="9"/>
  <c r="CA113" i="9"/>
  <c r="BZ113" i="9"/>
  <c r="BT113" i="9"/>
  <c r="BS113" i="9"/>
  <c r="BM113" i="9"/>
  <c r="BL113" i="9"/>
  <c r="BF113" i="9"/>
  <c r="BE113" i="9"/>
  <c r="AY113" i="9"/>
  <c r="AX113" i="9"/>
  <c r="AR113" i="9"/>
  <c r="AQ113" i="9"/>
  <c r="AK113" i="9"/>
  <c r="AJ113" i="9"/>
  <c r="AD113" i="9"/>
  <c r="AC113" i="9"/>
  <c r="W113" i="9"/>
  <c r="V113" i="9"/>
  <c r="P113" i="9"/>
  <c r="O113" i="9"/>
  <c r="I113" i="9"/>
  <c r="H113" i="9"/>
  <c r="DU112" i="9"/>
  <c r="DT112" i="9"/>
  <c r="DS112" i="9"/>
  <c r="DR112" i="9"/>
  <c r="DW112" i="9" s="1"/>
  <c r="DJ112" i="9"/>
  <c r="DI112" i="9"/>
  <c r="DC112" i="9"/>
  <c r="DB112" i="9"/>
  <c r="CV112" i="9"/>
  <c r="CU112" i="9"/>
  <c r="CO112" i="9"/>
  <c r="CN112" i="9"/>
  <c r="CH112" i="9"/>
  <c r="CG112" i="9"/>
  <c r="CA112" i="9"/>
  <c r="BZ112" i="9"/>
  <c r="BT112" i="9"/>
  <c r="BS112" i="9"/>
  <c r="BM112" i="9"/>
  <c r="BL112" i="9"/>
  <c r="BF112" i="9"/>
  <c r="BE112" i="9"/>
  <c r="AY112" i="9"/>
  <c r="AX112" i="9"/>
  <c r="AR112" i="9"/>
  <c r="AQ112" i="9"/>
  <c r="AK112" i="9"/>
  <c r="AJ112" i="9"/>
  <c r="AD112" i="9"/>
  <c r="AC112" i="9"/>
  <c r="W112" i="9"/>
  <c r="V112" i="9"/>
  <c r="P112" i="9"/>
  <c r="O112" i="9"/>
  <c r="I112" i="9"/>
  <c r="H112" i="9"/>
  <c r="DU111" i="9"/>
  <c r="DT111" i="9"/>
  <c r="DS111" i="9"/>
  <c r="DR111" i="9"/>
  <c r="DW111" i="9" s="1"/>
  <c r="DJ111" i="9"/>
  <c r="DI111" i="9"/>
  <c r="DC111" i="9"/>
  <c r="DB111" i="9"/>
  <c r="CV111" i="9"/>
  <c r="CU111" i="9"/>
  <c r="CO111" i="9"/>
  <c r="CN111" i="9"/>
  <c r="CH111" i="9"/>
  <c r="CG111" i="9"/>
  <c r="CA111" i="9"/>
  <c r="BZ111" i="9"/>
  <c r="BT111" i="9"/>
  <c r="BS111" i="9"/>
  <c r="BM111" i="9"/>
  <c r="BL111" i="9"/>
  <c r="BF111" i="9"/>
  <c r="BE111" i="9"/>
  <c r="AY111" i="9"/>
  <c r="AX111" i="9"/>
  <c r="AR111" i="9"/>
  <c r="AQ111" i="9"/>
  <c r="AK111" i="9"/>
  <c r="AJ111" i="9"/>
  <c r="AD111" i="9"/>
  <c r="AC111" i="9"/>
  <c r="W111" i="9"/>
  <c r="V111" i="9"/>
  <c r="P111" i="9"/>
  <c r="O111" i="9"/>
  <c r="I111" i="9"/>
  <c r="H111" i="9"/>
  <c r="DU110" i="9"/>
  <c r="DT110" i="9"/>
  <c r="DS110" i="9"/>
  <c r="DR110" i="9"/>
  <c r="DW110" i="9" s="1"/>
  <c r="DJ110" i="9"/>
  <c r="DI110" i="9"/>
  <c r="DC110" i="9"/>
  <c r="DB110" i="9"/>
  <c r="CV110" i="9"/>
  <c r="CU110" i="9"/>
  <c r="CO110" i="9"/>
  <c r="CN110" i="9"/>
  <c r="CH110" i="9"/>
  <c r="CG110" i="9"/>
  <c r="CA110" i="9"/>
  <c r="BZ110" i="9"/>
  <c r="BT110" i="9"/>
  <c r="BS110" i="9"/>
  <c r="BM110" i="9"/>
  <c r="BL110" i="9"/>
  <c r="BF110" i="9"/>
  <c r="BE110" i="9"/>
  <c r="AY110" i="9"/>
  <c r="AX110" i="9"/>
  <c r="AR110" i="9"/>
  <c r="AQ110" i="9"/>
  <c r="AK110" i="9"/>
  <c r="AJ110" i="9"/>
  <c r="AD110" i="9"/>
  <c r="AC110" i="9"/>
  <c r="W110" i="9"/>
  <c r="V110" i="9"/>
  <c r="P110" i="9"/>
  <c r="O110" i="9"/>
  <c r="I110" i="9"/>
  <c r="H110" i="9"/>
  <c r="DU109" i="9"/>
  <c r="DT109" i="9"/>
  <c r="DS109" i="9"/>
  <c r="DR109" i="9"/>
  <c r="DW109" i="9" s="1"/>
  <c r="DJ109" i="9"/>
  <c r="DI109" i="9"/>
  <c r="DC109" i="9"/>
  <c r="DB109" i="9"/>
  <c r="CV109" i="9"/>
  <c r="CU109" i="9"/>
  <c r="CO109" i="9"/>
  <c r="CN109" i="9"/>
  <c r="CH109" i="9"/>
  <c r="CG109" i="9"/>
  <c r="CA109" i="9"/>
  <c r="BZ109" i="9"/>
  <c r="BT109" i="9"/>
  <c r="BS109" i="9"/>
  <c r="BM109" i="9"/>
  <c r="BL109" i="9"/>
  <c r="BF109" i="9"/>
  <c r="BE109" i="9"/>
  <c r="AY109" i="9"/>
  <c r="AX109" i="9"/>
  <c r="AR109" i="9"/>
  <c r="AQ109" i="9"/>
  <c r="AK109" i="9"/>
  <c r="AJ109" i="9"/>
  <c r="AD109" i="9"/>
  <c r="AC109" i="9"/>
  <c r="W109" i="9"/>
  <c r="V109" i="9"/>
  <c r="P109" i="9"/>
  <c r="O109" i="9"/>
  <c r="I109" i="9"/>
  <c r="H109" i="9"/>
  <c r="DU108" i="9"/>
  <c r="DT108" i="9"/>
  <c r="DS108" i="9"/>
  <c r="DR108" i="9"/>
  <c r="DW108" i="9" s="1"/>
  <c r="DJ108" i="9"/>
  <c r="DI108" i="9"/>
  <c r="DC108" i="9"/>
  <c r="DB108" i="9"/>
  <c r="CV108" i="9"/>
  <c r="CU108" i="9"/>
  <c r="CH108" i="9"/>
  <c r="CG108" i="9"/>
  <c r="CA108" i="9"/>
  <c r="BZ108" i="9"/>
  <c r="BT108" i="9"/>
  <c r="BS108" i="9"/>
  <c r="BM108" i="9"/>
  <c r="BL108" i="9"/>
  <c r="BF108" i="9"/>
  <c r="BE108" i="9"/>
  <c r="AY108" i="9"/>
  <c r="AX108" i="9"/>
  <c r="AR108" i="9"/>
  <c r="AQ108" i="9"/>
  <c r="AK108" i="9"/>
  <c r="AJ108" i="9"/>
  <c r="AD108" i="9"/>
  <c r="AC108" i="9"/>
  <c r="W108" i="9"/>
  <c r="V108" i="9"/>
  <c r="P108" i="9"/>
  <c r="O108" i="9"/>
  <c r="I108" i="9"/>
  <c r="H108" i="9"/>
  <c r="DU107" i="9"/>
  <c r="DT107" i="9"/>
  <c r="DS107" i="9"/>
  <c r="DR107" i="9"/>
  <c r="DW107" i="9" s="1"/>
  <c r="DJ107" i="9"/>
  <c r="DI107" i="9"/>
  <c r="DC107" i="9"/>
  <c r="DB107" i="9"/>
  <c r="CV107" i="9"/>
  <c r="CU107" i="9"/>
  <c r="CH107" i="9"/>
  <c r="CG107" i="9"/>
  <c r="CA107" i="9"/>
  <c r="BZ107" i="9"/>
  <c r="BT107" i="9"/>
  <c r="BS107" i="9"/>
  <c r="BM107" i="9"/>
  <c r="BL107" i="9"/>
  <c r="BF107" i="9"/>
  <c r="BE107" i="9"/>
  <c r="AY107" i="9"/>
  <c r="AX107" i="9"/>
  <c r="AR107" i="9"/>
  <c r="AQ107" i="9"/>
  <c r="AK107" i="9"/>
  <c r="AJ107" i="9"/>
  <c r="AD107" i="9"/>
  <c r="AC107" i="9"/>
  <c r="W107" i="9"/>
  <c r="V107" i="9"/>
  <c r="P107" i="9"/>
  <c r="O107" i="9"/>
  <c r="I107" i="9"/>
  <c r="H107" i="9"/>
  <c r="DU106" i="9"/>
  <c r="DT106" i="9"/>
  <c r="DS106" i="9"/>
  <c r="DR106" i="9"/>
  <c r="DW106" i="9" s="1"/>
  <c r="DJ106" i="9"/>
  <c r="DI106" i="9"/>
  <c r="DC106" i="9"/>
  <c r="DB106" i="9"/>
  <c r="CV106" i="9"/>
  <c r="CU106" i="9"/>
  <c r="CH106" i="9"/>
  <c r="CG106" i="9"/>
  <c r="CA106" i="9"/>
  <c r="BZ106" i="9"/>
  <c r="BT106" i="9"/>
  <c r="BS106" i="9"/>
  <c r="BM106" i="9"/>
  <c r="BL106" i="9"/>
  <c r="BF106" i="9"/>
  <c r="BE106" i="9"/>
  <c r="AY106" i="9"/>
  <c r="AX106" i="9"/>
  <c r="AR106" i="9"/>
  <c r="AQ106" i="9"/>
  <c r="AK106" i="9"/>
  <c r="AJ106" i="9"/>
  <c r="AD106" i="9"/>
  <c r="AC106" i="9"/>
  <c r="W106" i="9"/>
  <c r="V106" i="9"/>
  <c r="P106" i="9"/>
  <c r="O106" i="9"/>
  <c r="I106" i="9"/>
  <c r="H106" i="9"/>
  <c r="DU105" i="9"/>
  <c r="DT105" i="9"/>
  <c r="DS105" i="9"/>
  <c r="DR105" i="9"/>
  <c r="DW105" i="9" s="1"/>
  <c r="DJ105" i="9"/>
  <c r="DI105" i="9"/>
  <c r="DC105" i="9"/>
  <c r="DB105" i="9"/>
  <c r="CV105" i="9"/>
  <c r="CU105" i="9"/>
  <c r="CH105" i="9"/>
  <c r="CG105" i="9"/>
  <c r="CA105" i="9"/>
  <c r="BZ105" i="9"/>
  <c r="BT105" i="9"/>
  <c r="BS105" i="9"/>
  <c r="BM105" i="9"/>
  <c r="BL105" i="9"/>
  <c r="BF105" i="9"/>
  <c r="BE105" i="9"/>
  <c r="AY105" i="9"/>
  <c r="AX105" i="9"/>
  <c r="AR105" i="9"/>
  <c r="AQ105" i="9"/>
  <c r="AK105" i="9"/>
  <c r="AJ105" i="9"/>
  <c r="AD105" i="9"/>
  <c r="AC105" i="9"/>
  <c r="W105" i="9"/>
  <c r="V105" i="9"/>
  <c r="P105" i="9"/>
  <c r="O105" i="9"/>
  <c r="I105" i="9"/>
  <c r="H105" i="9"/>
  <c r="DU104" i="9"/>
  <c r="DT104" i="9"/>
  <c r="DS104" i="9"/>
  <c r="DR104" i="9"/>
  <c r="DW104" i="9" s="1"/>
  <c r="DJ104" i="9"/>
  <c r="DI104" i="9"/>
  <c r="DC104" i="9"/>
  <c r="DB104" i="9"/>
  <c r="CV104" i="9"/>
  <c r="CU104" i="9"/>
  <c r="CH104" i="9"/>
  <c r="CG104" i="9"/>
  <c r="CA104" i="9"/>
  <c r="BZ104" i="9"/>
  <c r="BT104" i="9"/>
  <c r="BS104" i="9"/>
  <c r="BM104" i="9"/>
  <c r="BL104" i="9"/>
  <c r="BF104" i="9"/>
  <c r="BE104" i="9"/>
  <c r="AY104" i="9"/>
  <c r="AX104" i="9"/>
  <c r="AR104" i="9"/>
  <c r="AQ104" i="9"/>
  <c r="AK104" i="9"/>
  <c r="AJ104" i="9"/>
  <c r="AD104" i="9"/>
  <c r="AC104" i="9"/>
  <c r="W104" i="9"/>
  <c r="V104" i="9"/>
  <c r="P104" i="9"/>
  <c r="O104" i="9"/>
  <c r="I104" i="9"/>
  <c r="H104" i="9"/>
  <c r="DU103" i="9"/>
  <c r="DT103" i="9"/>
  <c r="DS103" i="9"/>
  <c r="DR103" i="9"/>
  <c r="DW103" i="9" s="1"/>
  <c r="DJ103" i="9"/>
  <c r="DI103" i="9"/>
  <c r="DC103" i="9"/>
  <c r="DB103" i="9"/>
  <c r="CV103" i="9"/>
  <c r="CU103" i="9"/>
  <c r="CH103" i="9"/>
  <c r="CG103" i="9"/>
  <c r="CA103" i="9"/>
  <c r="BZ103" i="9"/>
  <c r="BT103" i="9"/>
  <c r="BS103" i="9"/>
  <c r="BM103" i="9"/>
  <c r="BL103" i="9"/>
  <c r="BF103" i="9"/>
  <c r="BE103" i="9"/>
  <c r="AY103" i="9"/>
  <c r="AX103" i="9"/>
  <c r="AR103" i="9"/>
  <c r="AQ103" i="9"/>
  <c r="AK103" i="9"/>
  <c r="AJ103" i="9"/>
  <c r="AD103" i="9"/>
  <c r="AC103" i="9"/>
  <c r="W103" i="9"/>
  <c r="V103" i="9"/>
  <c r="P103" i="9"/>
  <c r="O103" i="9"/>
  <c r="I103" i="9"/>
  <c r="H103" i="9"/>
  <c r="DU102" i="9"/>
  <c r="DT102" i="9"/>
  <c r="DS102" i="9"/>
  <c r="DR102" i="9"/>
  <c r="DW102" i="9" s="1"/>
  <c r="DJ102" i="9"/>
  <c r="DI102" i="9"/>
  <c r="DC102" i="9"/>
  <c r="DB102" i="9"/>
  <c r="CV102" i="9"/>
  <c r="CU102" i="9"/>
  <c r="CH102" i="9"/>
  <c r="CG102" i="9"/>
  <c r="CA102" i="9"/>
  <c r="BZ102" i="9"/>
  <c r="BT102" i="9"/>
  <c r="BS102" i="9"/>
  <c r="BM102" i="9"/>
  <c r="BL102" i="9"/>
  <c r="BF102" i="9"/>
  <c r="BE102" i="9"/>
  <c r="AY102" i="9"/>
  <c r="AX102" i="9"/>
  <c r="AR102" i="9"/>
  <c r="AQ102" i="9"/>
  <c r="AK102" i="9"/>
  <c r="AJ102" i="9"/>
  <c r="AD102" i="9"/>
  <c r="AC102" i="9"/>
  <c r="W102" i="9"/>
  <c r="V102" i="9"/>
  <c r="P102" i="9"/>
  <c r="O102" i="9"/>
  <c r="I102" i="9"/>
  <c r="H102" i="9"/>
  <c r="DU101" i="9"/>
  <c r="DT101" i="9"/>
  <c r="DS101" i="9"/>
  <c r="DR101" i="9"/>
  <c r="DW101" i="9" s="1"/>
  <c r="DJ101" i="9"/>
  <c r="DI101" i="9"/>
  <c r="DC101" i="9"/>
  <c r="DB101" i="9"/>
  <c r="CV101" i="9"/>
  <c r="CU101" i="9"/>
  <c r="CH101" i="9"/>
  <c r="CG101" i="9"/>
  <c r="CA101" i="9"/>
  <c r="BZ101" i="9"/>
  <c r="BT101" i="9"/>
  <c r="BS101" i="9"/>
  <c r="BM101" i="9"/>
  <c r="BL101" i="9"/>
  <c r="BF101" i="9"/>
  <c r="BE101" i="9"/>
  <c r="AY101" i="9"/>
  <c r="AX101" i="9"/>
  <c r="AR101" i="9"/>
  <c r="AQ101" i="9"/>
  <c r="AK101" i="9"/>
  <c r="AJ101" i="9"/>
  <c r="AD101" i="9"/>
  <c r="AC101" i="9"/>
  <c r="W101" i="9"/>
  <c r="V101" i="9"/>
  <c r="P101" i="9"/>
  <c r="O101" i="9"/>
  <c r="I101" i="9"/>
  <c r="H101" i="9"/>
  <c r="DU100" i="9"/>
  <c r="DT100" i="9"/>
  <c r="DS100" i="9"/>
  <c r="DR100" i="9"/>
  <c r="DW100" i="9" s="1"/>
  <c r="DJ100" i="9"/>
  <c r="DI100" i="9"/>
  <c r="DC100" i="9"/>
  <c r="DB100" i="9"/>
  <c r="CV100" i="9"/>
  <c r="CU100" i="9"/>
  <c r="CH100" i="9"/>
  <c r="CG100" i="9"/>
  <c r="CA100" i="9"/>
  <c r="BZ100" i="9"/>
  <c r="BT100" i="9"/>
  <c r="BS100" i="9"/>
  <c r="BM100" i="9"/>
  <c r="BL100" i="9"/>
  <c r="BF100" i="9"/>
  <c r="BE100" i="9"/>
  <c r="AY100" i="9"/>
  <c r="AX100" i="9"/>
  <c r="AR100" i="9"/>
  <c r="AQ100" i="9"/>
  <c r="AK100" i="9"/>
  <c r="AJ100" i="9"/>
  <c r="AD100" i="9"/>
  <c r="AC100" i="9"/>
  <c r="W100" i="9"/>
  <c r="V100" i="9"/>
  <c r="P100" i="9"/>
  <c r="O100" i="9"/>
  <c r="I100" i="9"/>
  <c r="H100" i="9"/>
  <c r="DU99" i="9"/>
  <c r="DT99" i="9"/>
  <c r="DS99" i="9"/>
  <c r="DR99" i="9"/>
  <c r="DW99" i="9" s="1"/>
  <c r="DJ99" i="9"/>
  <c r="DI99" i="9"/>
  <c r="DC99" i="9"/>
  <c r="DB99" i="9"/>
  <c r="CV99" i="9"/>
  <c r="CU99" i="9"/>
  <c r="CH99" i="9"/>
  <c r="CG99" i="9"/>
  <c r="CA99" i="9"/>
  <c r="BZ99" i="9"/>
  <c r="BT99" i="9"/>
  <c r="BS99" i="9"/>
  <c r="BM99" i="9"/>
  <c r="BL99" i="9"/>
  <c r="BF99" i="9"/>
  <c r="BE99" i="9"/>
  <c r="AY99" i="9"/>
  <c r="AX99" i="9"/>
  <c r="AR99" i="9"/>
  <c r="AQ99" i="9"/>
  <c r="AK99" i="9"/>
  <c r="AJ99" i="9"/>
  <c r="AD99" i="9"/>
  <c r="AC99" i="9"/>
  <c r="W99" i="9"/>
  <c r="V99" i="9"/>
  <c r="P99" i="9"/>
  <c r="O99" i="9"/>
  <c r="I99" i="9"/>
  <c r="H99" i="9"/>
  <c r="DU98" i="9"/>
  <c r="DT98" i="9"/>
  <c r="DS98" i="9"/>
  <c r="DR98" i="9"/>
  <c r="DW98" i="9" s="1"/>
  <c r="DJ98" i="9"/>
  <c r="DI98" i="9"/>
  <c r="DC98" i="9"/>
  <c r="DB98" i="9"/>
  <c r="CV98" i="9"/>
  <c r="CU98" i="9"/>
  <c r="CH98" i="9"/>
  <c r="CG98" i="9"/>
  <c r="CA98" i="9"/>
  <c r="BZ98" i="9"/>
  <c r="BT98" i="9"/>
  <c r="BS98" i="9"/>
  <c r="BM98" i="9"/>
  <c r="BL98" i="9"/>
  <c r="BF98" i="9"/>
  <c r="BE98" i="9"/>
  <c r="AY98" i="9"/>
  <c r="AX98" i="9"/>
  <c r="AR98" i="9"/>
  <c r="AQ98" i="9"/>
  <c r="AK98" i="9"/>
  <c r="AJ98" i="9"/>
  <c r="AD98" i="9"/>
  <c r="AC98" i="9"/>
  <c r="W98" i="9"/>
  <c r="V98" i="9"/>
  <c r="P98" i="9"/>
  <c r="O98" i="9"/>
  <c r="I98" i="9"/>
  <c r="H98" i="9"/>
  <c r="DU97" i="9"/>
  <c r="DT97" i="9"/>
  <c r="DS97" i="9"/>
  <c r="DR97" i="9"/>
  <c r="DW97" i="9" s="1"/>
  <c r="DJ97" i="9"/>
  <c r="DI97" i="9"/>
  <c r="DC97" i="9"/>
  <c r="DB97" i="9"/>
  <c r="CV97" i="9"/>
  <c r="CU97" i="9"/>
  <c r="CH97" i="9"/>
  <c r="CG97" i="9"/>
  <c r="CA97" i="9"/>
  <c r="BZ97" i="9"/>
  <c r="BT97" i="9"/>
  <c r="BS97" i="9"/>
  <c r="BM97" i="9"/>
  <c r="BL97" i="9"/>
  <c r="BF97" i="9"/>
  <c r="BE97" i="9"/>
  <c r="AY97" i="9"/>
  <c r="AX97" i="9"/>
  <c r="AR97" i="9"/>
  <c r="AQ97" i="9"/>
  <c r="AK97" i="9"/>
  <c r="AJ97" i="9"/>
  <c r="AD97" i="9"/>
  <c r="AC97" i="9"/>
  <c r="W97" i="9"/>
  <c r="V97" i="9"/>
  <c r="P97" i="9"/>
  <c r="O97" i="9"/>
  <c r="I97" i="9"/>
  <c r="H97" i="9"/>
  <c r="DU96" i="9"/>
  <c r="DT96" i="9"/>
  <c r="DS96" i="9"/>
  <c r="DR96" i="9"/>
  <c r="DW96" i="9" s="1"/>
  <c r="DJ96" i="9"/>
  <c r="DI96" i="9"/>
  <c r="DC96" i="9"/>
  <c r="DB96" i="9"/>
  <c r="CV96" i="9"/>
  <c r="CU96" i="9"/>
  <c r="CH96" i="9"/>
  <c r="CG96" i="9"/>
  <c r="CA96" i="9"/>
  <c r="BZ96" i="9"/>
  <c r="BT96" i="9"/>
  <c r="BS96" i="9"/>
  <c r="BM96" i="9"/>
  <c r="BL96" i="9"/>
  <c r="BF96" i="9"/>
  <c r="BE96" i="9"/>
  <c r="AY96" i="9"/>
  <c r="AX96" i="9"/>
  <c r="AR96" i="9"/>
  <c r="AQ96" i="9"/>
  <c r="AK96" i="9"/>
  <c r="AJ96" i="9"/>
  <c r="AD96" i="9"/>
  <c r="AC96" i="9"/>
  <c r="W96" i="9"/>
  <c r="V96" i="9"/>
  <c r="P96" i="9"/>
  <c r="O96" i="9"/>
  <c r="I96" i="9"/>
  <c r="H96" i="9"/>
  <c r="DU95" i="9"/>
  <c r="DT95" i="9"/>
  <c r="DS95" i="9"/>
  <c r="DR95" i="9"/>
  <c r="DW95" i="9" s="1"/>
  <c r="DJ95" i="9"/>
  <c r="DI95" i="9"/>
  <c r="DC95" i="9"/>
  <c r="DB95" i="9"/>
  <c r="CV95" i="9"/>
  <c r="CU95" i="9"/>
  <c r="CH95" i="9"/>
  <c r="CG95" i="9"/>
  <c r="CA95" i="9"/>
  <c r="BZ95" i="9"/>
  <c r="BT95" i="9"/>
  <c r="BS95" i="9"/>
  <c r="BM95" i="9"/>
  <c r="BL95" i="9"/>
  <c r="BF95" i="9"/>
  <c r="BE95" i="9"/>
  <c r="AY95" i="9"/>
  <c r="AX95" i="9"/>
  <c r="AR95" i="9"/>
  <c r="AQ95" i="9"/>
  <c r="AK95" i="9"/>
  <c r="AJ95" i="9"/>
  <c r="AD95" i="9"/>
  <c r="AC95" i="9"/>
  <c r="W95" i="9"/>
  <c r="V95" i="9"/>
  <c r="P95" i="9"/>
  <c r="O95" i="9"/>
  <c r="I95" i="9"/>
  <c r="H95" i="9"/>
  <c r="DU94" i="9"/>
  <c r="DT94" i="9"/>
  <c r="DS94" i="9"/>
  <c r="DR94" i="9"/>
  <c r="DW94" i="9" s="1"/>
  <c r="DJ94" i="9"/>
  <c r="DI94" i="9"/>
  <c r="DC94" i="9"/>
  <c r="DB94" i="9"/>
  <c r="CV94" i="9"/>
  <c r="CU94" i="9"/>
  <c r="CH94" i="9"/>
  <c r="CG94" i="9"/>
  <c r="CA94" i="9"/>
  <c r="BZ94" i="9"/>
  <c r="BT94" i="9"/>
  <c r="BS94" i="9"/>
  <c r="BM94" i="9"/>
  <c r="BL94" i="9"/>
  <c r="BF94" i="9"/>
  <c r="BE94" i="9"/>
  <c r="AY94" i="9"/>
  <c r="AX94" i="9"/>
  <c r="AR94" i="9"/>
  <c r="AQ94" i="9"/>
  <c r="AK94" i="9"/>
  <c r="AJ94" i="9"/>
  <c r="AD94" i="9"/>
  <c r="AC94" i="9"/>
  <c r="W94" i="9"/>
  <c r="V94" i="9"/>
  <c r="P94" i="9"/>
  <c r="O94" i="9"/>
  <c r="I94" i="9"/>
  <c r="H94" i="9"/>
  <c r="DU93" i="9"/>
  <c r="DT93" i="9"/>
  <c r="DS93" i="9"/>
  <c r="DR93" i="9"/>
  <c r="DW93" i="9" s="1"/>
  <c r="DJ93" i="9"/>
  <c r="DI93" i="9"/>
  <c r="DC93" i="9"/>
  <c r="DB93" i="9"/>
  <c r="CV93" i="9"/>
  <c r="CU93" i="9"/>
  <c r="CH93" i="9"/>
  <c r="CG93" i="9"/>
  <c r="CA93" i="9"/>
  <c r="BZ93" i="9"/>
  <c r="BT93" i="9"/>
  <c r="BS93" i="9"/>
  <c r="BM93" i="9"/>
  <c r="BL93" i="9"/>
  <c r="BF93" i="9"/>
  <c r="BE93" i="9"/>
  <c r="AY93" i="9"/>
  <c r="AX93" i="9"/>
  <c r="AR93" i="9"/>
  <c r="AQ93" i="9"/>
  <c r="AK93" i="9"/>
  <c r="AJ93" i="9"/>
  <c r="AD93" i="9"/>
  <c r="AC93" i="9"/>
  <c r="W93" i="9"/>
  <c r="V93" i="9"/>
  <c r="P93" i="9"/>
  <c r="O93" i="9"/>
  <c r="I93" i="9"/>
  <c r="H93" i="9"/>
  <c r="DU92" i="9"/>
  <c r="DT92" i="9"/>
  <c r="DS92" i="9"/>
  <c r="DR92" i="9"/>
  <c r="DW92" i="9" s="1"/>
  <c r="DJ92" i="9"/>
  <c r="DI92" i="9"/>
  <c r="DC92" i="9"/>
  <c r="DB92" i="9"/>
  <c r="CV92" i="9"/>
  <c r="CU92" i="9"/>
  <c r="CH92" i="9"/>
  <c r="CG92" i="9"/>
  <c r="CA92" i="9"/>
  <c r="BZ92" i="9"/>
  <c r="BT92" i="9"/>
  <c r="BS92" i="9"/>
  <c r="BM92" i="9"/>
  <c r="BL92" i="9"/>
  <c r="BF92" i="9"/>
  <c r="BE92" i="9"/>
  <c r="AY92" i="9"/>
  <c r="AX92" i="9"/>
  <c r="AR92" i="9"/>
  <c r="AQ92" i="9"/>
  <c r="AK92" i="9"/>
  <c r="AJ92" i="9"/>
  <c r="AD92" i="9"/>
  <c r="AC92" i="9"/>
  <c r="W92" i="9"/>
  <c r="V92" i="9"/>
  <c r="P92" i="9"/>
  <c r="O92" i="9"/>
  <c r="I92" i="9"/>
  <c r="H92" i="9"/>
  <c r="DU91" i="9"/>
  <c r="DT91" i="9"/>
  <c r="DS91" i="9"/>
  <c r="DR91" i="9"/>
  <c r="DW91" i="9" s="1"/>
  <c r="DJ91" i="9"/>
  <c r="DI91" i="9"/>
  <c r="DC91" i="9"/>
  <c r="DB91" i="9"/>
  <c r="CV91" i="9"/>
  <c r="CU91" i="9"/>
  <c r="CH91" i="9"/>
  <c r="CG91" i="9"/>
  <c r="CA91" i="9"/>
  <c r="BZ91" i="9"/>
  <c r="BT91" i="9"/>
  <c r="BS91" i="9"/>
  <c r="BM91" i="9"/>
  <c r="BL91" i="9"/>
  <c r="BF91" i="9"/>
  <c r="BE91" i="9"/>
  <c r="AY91" i="9"/>
  <c r="AX91" i="9"/>
  <c r="AR91" i="9"/>
  <c r="AQ91" i="9"/>
  <c r="AK91" i="9"/>
  <c r="AJ91" i="9"/>
  <c r="AD91" i="9"/>
  <c r="AC91" i="9"/>
  <c r="W91" i="9"/>
  <c r="V91" i="9"/>
  <c r="P91" i="9"/>
  <c r="O91" i="9"/>
  <c r="I91" i="9"/>
  <c r="H91" i="9"/>
  <c r="DU90" i="9"/>
  <c r="DT90" i="9"/>
  <c r="DS90" i="9"/>
  <c r="DR90" i="9"/>
  <c r="DW90" i="9" s="1"/>
  <c r="DJ90" i="9"/>
  <c r="DI90" i="9"/>
  <c r="DC90" i="9"/>
  <c r="DB90" i="9"/>
  <c r="CV90" i="9"/>
  <c r="CU90" i="9"/>
  <c r="CH90" i="9"/>
  <c r="CG90" i="9"/>
  <c r="CA90" i="9"/>
  <c r="BZ90" i="9"/>
  <c r="BT90" i="9"/>
  <c r="BS90" i="9"/>
  <c r="BM90" i="9"/>
  <c r="BL90" i="9"/>
  <c r="BF90" i="9"/>
  <c r="BE90" i="9"/>
  <c r="AY90" i="9"/>
  <c r="AX90" i="9"/>
  <c r="AR90" i="9"/>
  <c r="AQ90" i="9"/>
  <c r="AK90" i="9"/>
  <c r="AJ90" i="9"/>
  <c r="AD90" i="9"/>
  <c r="AC90" i="9"/>
  <c r="W90" i="9"/>
  <c r="V90" i="9"/>
  <c r="P90" i="9"/>
  <c r="O90" i="9"/>
  <c r="I90" i="9"/>
  <c r="H90" i="9"/>
  <c r="DU89" i="9"/>
  <c r="DT89" i="9"/>
  <c r="DS89" i="9"/>
  <c r="DR89" i="9"/>
  <c r="DW89" i="9" s="1"/>
  <c r="DJ89" i="9"/>
  <c r="DI89" i="9"/>
  <c r="DC89" i="9"/>
  <c r="DB89" i="9"/>
  <c r="CV89" i="9"/>
  <c r="CU89" i="9"/>
  <c r="CH89" i="9"/>
  <c r="CG89" i="9"/>
  <c r="CA89" i="9"/>
  <c r="BZ89" i="9"/>
  <c r="BT89" i="9"/>
  <c r="BS89" i="9"/>
  <c r="BM89" i="9"/>
  <c r="BL89" i="9"/>
  <c r="BF89" i="9"/>
  <c r="BE89" i="9"/>
  <c r="AY89" i="9"/>
  <c r="AX89" i="9"/>
  <c r="AR89" i="9"/>
  <c r="AQ89" i="9"/>
  <c r="AK89" i="9"/>
  <c r="AJ89" i="9"/>
  <c r="AD89" i="9"/>
  <c r="AC89" i="9"/>
  <c r="W89" i="9"/>
  <c r="V89" i="9"/>
  <c r="P89" i="9"/>
  <c r="O89" i="9"/>
  <c r="I89" i="9"/>
  <c r="H89" i="9"/>
  <c r="DU88" i="9"/>
  <c r="DT88" i="9"/>
  <c r="DS88" i="9"/>
  <c r="DR88" i="9"/>
  <c r="DW88" i="9" s="1"/>
  <c r="DJ88" i="9"/>
  <c r="DI88" i="9"/>
  <c r="DC88" i="9"/>
  <c r="DB88" i="9"/>
  <c r="CV88" i="9"/>
  <c r="CU88" i="9"/>
  <c r="CH88" i="9"/>
  <c r="CG88" i="9"/>
  <c r="CA88" i="9"/>
  <c r="BZ88" i="9"/>
  <c r="BT88" i="9"/>
  <c r="BS88" i="9"/>
  <c r="BM88" i="9"/>
  <c r="BL88" i="9"/>
  <c r="BF88" i="9"/>
  <c r="BE88" i="9"/>
  <c r="AY88" i="9"/>
  <c r="AX88" i="9"/>
  <c r="AR88" i="9"/>
  <c r="AQ88" i="9"/>
  <c r="AK88" i="9"/>
  <c r="AJ88" i="9"/>
  <c r="AD88" i="9"/>
  <c r="AC88" i="9"/>
  <c r="W88" i="9"/>
  <c r="V88" i="9"/>
  <c r="P88" i="9"/>
  <c r="O88" i="9"/>
  <c r="I88" i="9"/>
  <c r="H88" i="9"/>
  <c r="DU87" i="9"/>
  <c r="DT87" i="9"/>
  <c r="DS87" i="9"/>
  <c r="DR87" i="9"/>
  <c r="DW87" i="9" s="1"/>
  <c r="DJ87" i="9"/>
  <c r="DI87" i="9"/>
  <c r="DC87" i="9"/>
  <c r="DB87" i="9"/>
  <c r="CV87" i="9"/>
  <c r="CU87" i="9"/>
  <c r="CH87" i="9"/>
  <c r="CG87" i="9"/>
  <c r="CA87" i="9"/>
  <c r="BZ87" i="9"/>
  <c r="BT87" i="9"/>
  <c r="BS87" i="9"/>
  <c r="BM87" i="9"/>
  <c r="BL87" i="9"/>
  <c r="BF87" i="9"/>
  <c r="BE87" i="9"/>
  <c r="AY87" i="9"/>
  <c r="AX87" i="9"/>
  <c r="AR87" i="9"/>
  <c r="AQ87" i="9"/>
  <c r="AK87" i="9"/>
  <c r="AJ87" i="9"/>
  <c r="AD87" i="9"/>
  <c r="AC87" i="9"/>
  <c r="W87" i="9"/>
  <c r="V87" i="9"/>
  <c r="P87" i="9"/>
  <c r="O87" i="9"/>
  <c r="I87" i="9"/>
  <c r="H87" i="9"/>
  <c r="DU86" i="9"/>
  <c r="DT86" i="9"/>
  <c r="DS86" i="9"/>
  <c r="DR86" i="9"/>
  <c r="DW86" i="9" s="1"/>
  <c r="DJ86" i="9"/>
  <c r="DI86" i="9"/>
  <c r="DC86" i="9"/>
  <c r="DB86" i="9"/>
  <c r="CV86" i="9"/>
  <c r="CU86" i="9"/>
  <c r="CH86" i="9"/>
  <c r="CG86" i="9"/>
  <c r="CA86" i="9"/>
  <c r="BZ86" i="9"/>
  <c r="BT86" i="9"/>
  <c r="BS86" i="9"/>
  <c r="BM86" i="9"/>
  <c r="BL86" i="9"/>
  <c r="BF86" i="9"/>
  <c r="BE86" i="9"/>
  <c r="AY86" i="9"/>
  <c r="AX86" i="9"/>
  <c r="AR86" i="9"/>
  <c r="AQ86" i="9"/>
  <c r="AK86" i="9"/>
  <c r="AJ86" i="9"/>
  <c r="AD86" i="9"/>
  <c r="AC86" i="9"/>
  <c r="W86" i="9"/>
  <c r="V86" i="9"/>
  <c r="P86" i="9"/>
  <c r="O86" i="9"/>
  <c r="I86" i="9"/>
  <c r="H86" i="9"/>
  <c r="DU85" i="9"/>
  <c r="DT85" i="9"/>
  <c r="DS85" i="9"/>
  <c r="DR85" i="9"/>
  <c r="DW85" i="9" s="1"/>
  <c r="DJ85" i="9"/>
  <c r="DI85" i="9"/>
  <c r="DC85" i="9"/>
  <c r="DB85" i="9"/>
  <c r="CV85" i="9"/>
  <c r="CU85" i="9"/>
  <c r="CO85" i="9"/>
  <c r="CN85" i="9"/>
  <c r="CH85" i="9"/>
  <c r="CG85" i="9"/>
  <c r="CA85" i="9"/>
  <c r="BZ85" i="9"/>
  <c r="BT85" i="9"/>
  <c r="BS85" i="9"/>
  <c r="BM85" i="9"/>
  <c r="BL85" i="9"/>
  <c r="BF85" i="9"/>
  <c r="BE85" i="9"/>
  <c r="AY85" i="9"/>
  <c r="AX85" i="9"/>
  <c r="AR85" i="9"/>
  <c r="AQ85" i="9"/>
  <c r="AK85" i="9"/>
  <c r="AJ85" i="9"/>
  <c r="AD85" i="9"/>
  <c r="AC85" i="9"/>
  <c r="W85" i="9"/>
  <c r="V85" i="9"/>
  <c r="P85" i="9"/>
  <c r="O85" i="9"/>
  <c r="I85" i="9"/>
  <c r="H85" i="9"/>
  <c r="DU84" i="9"/>
  <c r="DT84" i="9"/>
  <c r="DS84" i="9"/>
  <c r="DR84" i="9"/>
  <c r="DW84" i="9" s="1"/>
  <c r="DJ84" i="9"/>
  <c r="DI84" i="9"/>
  <c r="DC84" i="9"/>
  <c r="DB84" i="9"/>
  <c r="CV84" i="9"/>
  <c r="CU84" i="9"/>
  <c r="CO84" i="9"/>
  <c r="CN84" i="9"/>
  <c r="CH84" i="9"/>
  <c r="CG84" i="9"/>
  <c r="CA84" i="9"/>
  <c r="BZ84" i="9"/>
  <c r="BT84" i="9"/>
  <c r="BS84" i="9"/>
  <c r="BM84" i="9"/>
  <c r="BL84" i="9"/>
  <c r="BF84" i="9"/>
  <c r="BE84" i="9"/>
  <c r="AY84" i="9"/>
  <c r="AX84" i="9"/>
  <c r="AR84" i="9"/>
  <c r="AQ84" i="9"/>
  <c r="AK84" i="9"/>
  <c r="AJ84" i="9"/>
  <c r="AD84" i="9"/>
  <c r="AC84" i="9"/>
  <c r="W84" i="9"/>
  <c r="V84" i="9"/>
  <c r="P84" i="9"/>
  <c r="O84" i="9"/>
  <c r="I84" i="9"/>
  <c r="H84" i="9"/>
  <c r="DU83" i="9"/>
  <c r="DT83" i="9"/>
  <c r="DS83" i="9"/>
  <c r="DR83" i="9"/>
  <c r="DW83" i="9" s="1"/>
  <c r="DJ83" i="9"/>
  <c r="DI83" i="9"/>
  <c r="DC83" i="9"/>
  <c r="DB83" i="9"/>
  <c r="CV83" i="9"/>
  <c r="CU83" i="9"/>
  <c r="CO83" i="9"/>
  <c r="CN83" i="9"/>
  <c r="CH83" i="9"/>
  <c r="CG83" i="9"/>
  <c r="CA83" i="9"/>
  <c r="BZ83" i="9"/>
  <c r="BT83" i="9"/>
  <c r="BS83" i="9"/>
  <c r="BM83" i="9"/>
  <c r="BL83" i="9"/>
  <c r="BF83" i="9"/>
  <c r="BE83" i="9"/>
  <c r="AY83" i="9"/>
  <c r="AX83" i="9"/>
  <c r="AR83" i="9"/>
  <c r="AQ83" i="9"/>
  <c r="AK83" i="9"/>
  <c r="AJ83" i="9"/>
  <c r="AD83" i="9"/>
  <c r="AC83" i="9"/>
  <c r="W83" i="9"/>
  <c r="V83" i="9"/>
  <c r="P83" i="9"/>
  <c r="O83" i="9"/>
  <c r="I83" i="9"/>
  <c r="H83" i="9"/>
  <c r="DU82" i="9"/>
  <c r="DT82" i="9"/>
  <c r="DS82" i="9"/>
  <c r="DR82" i="9"/>
  <c r="DW82" i="9" s="1"/>
  <c r="DJ82" i="9"/>
  <c r="DI82" i="9"/>
  <c r="DC82" i="9"/>
  <c r="DB82" i="9"/>
  <c r="CV82" i="9"/>
  <c r="CU82" i="9"/>
  <c r="CO82" i="9"/>
  <c r="CN82" i="9"/>
  <c r="CH82" i="9"/>
  <c r="CG82" i="9"/>
  <c r="CA82" i="9"/>
  <c r="BZ82" i="9"/>
  <c r="BT82" i="9"/>
  <c r="BS82" i="9"/>
  <c r="BM82" i="9"/>
  <c r="BL82" i="9"/>
  <c r="BF82" i="9"/>
  <c r="BE82" i="9"/>
  <c r="AY82" i="9"/>
  <c r="AX82" i="9"/>
  <c r="AR82" i="9"/>
  <c r="AQ82" i="9"/>
  <c r="AK82" i="9"/>
  <c r="AJ82" i="9"/>
  <c r="AD82" i="9"/>
  <c r="AC82" i="9"/>
  <c r="W82" i="9"/>
  <c r="V82" i="9"/>
  <c r="P82" i="9"/>
  <c r="O82" i="9"/>
  <c r="I82" i="9"/>
  <c r="H82" i="9"/>
  <c r="DU81" i="9"/>
  <c r="DT81" i="9"/>
  <c r="DS81" i="9"/>
  <c r="DR81" i="9"/>
  <c r="DW81" i="9" s="1"/>
  <c r="DJ81" i="9"/>
  <c r="DI81" i="9"/>
  <c r="DC81" i="9"/>
  <c r="DB81" i="9"/>
  <c r="CV81" i="9"/>
  <c r="CU81" i="9"/>
  <c r="CO81" i="9"/>
  <c r="CN81" i="9"/>
  <c r="CH81" i="9"/>
  <c r="CG81" i="9"/>
  <c r="CA81" i="9"/>
  <c r="BZ81" i="9"/>
  <c r="BT81" i="9"/>
  <c r="BS81" i="9"/>
  <c r="BM81" i="9"/>
  <c r="BL81" i="9"/>
  <c r="BF81" i="9"/>
  <c r="BE81" i="9"/>
  <c r="AY81" i="9"/>
  <c r="AX81" i="9"/>
  <c r="AR81" i="9"/>
  <c r="AQ81" i="9"/>
  <c r="AK81" i="9"/>
  <c r="AJ81" i="9"/>
  <c r="AD81" i="9"/>
  <c r="AC81" i="9"/>
  <c r="W81" i="9"/>
  <c r="V81" i="9"/>
  <c r="P81" i="9"/>
  <c r="O81" i="9"/>
  <c r="I81" i="9"/>
  <c r="H81" i="9"/>
  <c r="DU80" i="9"/>
  <c r="DT80" i="9"/>
  <c r="DS80" i="9"/>
  <c r="DR80" i="9"/>
  <c r="DW80" i="9" s="1"/>
  <c r="DJ80" i="9"/>
  <c r="DI80" i="9"/>
  <c r="DC80" i="9"/>
  <c r="DB80" i="9"/>
  <c r="CV80" i="9"/>
  <c r="CU80" i="9"/>
  <c r="CO80" i="9"/>
  <c r="CN80" i="9"/>
  <c r="CH80" i="9"/>
  <c r="CG80" i="9"/>
  <c r="CA80" i="9"/>
  <c r="BZ80" i="9"/>
  <c r="BT80" i="9"/>
  <c r="BS80" i="9"/>
  <c r="BM80" i="9"/>
  <c r="BL80" i="9"/>
  <c r="BF80" i="9"/>
  <c r="BE80" i="9"/>
  <c r="AY80" i="9"/>
  <c r="AX80" i="9"/>
  <c r="AR80" i="9"/>
  <c r="AQ80" i="9"/>
  <c r="AK80" i="9"/>
  <c r="AJ80" i="9"/>
  <c r="AD80" i="9"/>
  <c r="AC80" i="9"/>
  <c r="W80" i="9"/>
  <c r="V80" i="9"/>
  <c r="P80" i="9"/>
  <c r="O80" i="9"/>
  <c r="I80" i="9"/>
  <c r="H80" i="9"/>
  <c r="DU79" i="9"/>
  <c r="DT79" i="9"/>
  <c r="DS79" i="9"/>
  <c r="DR79" i="9"/>
  <c r="DW79" i="9" s="1"/>
  <c r="DJ79" i="9"/>
  <c r="DI79" i="9"/>
  <c r="DC79" i="9"/>
  <c r="DB79" i="9"/>
  <c r="CV79" i="9"/>
  <c r="CU79" i="9"/>
  <c r="CO79" i="9"/>
  <c r="CN79" i="9"/>
  <c r="CH79" i="9"/>
  <c r="CG79" i="9"/>
  <c r="CA79" i="9"/>
  <c r="BZ79" i="9"/>
  <c r="BT79" i="9"/>
  <c r="BS79" i="9"/>
  <c r="BM79" i="9"/>
  <c r="BL79" i="9"/>
  <c r="BF79" i="9"/>
  <c r="BE79" i="9"/>
  <c r="AY79" i="9"/>
  <c r="AX79" i="9"/>
  <c r="AR79" i="9"/>
  <c r="AQ79" i="9"/>
  <c r="AK79" i="9"/>
  <c r="AJ79" i="9"/>
  <c r="AD79" i="9"/>
  <c r="AC79" i="9"/>
  <c r="W79" i="9"/>
  <c r="V79" i="9"/>
  <c r="P79" i="9"/>
  <c r="O79" i="9"/>
  <c r="I79" i="9"/>
  <c r="H79" i="9"/>
  <c r="DU78" i="9"/>
  <c r="DT78" i="9"/>
  <c r="DS78" i="9"/>
  <c r="DR78" i="9"/>
  <c r="DW78" i="9" s="1"/>
  <c r="DJ78" i="9"/>
  <c r="DI78" i="9"/>
  <c r="DC78" i="9"/>
  <c r="DB78" i="9"/>
  <c r="CV78" i="9"/>
  <c r="CU78" i="9"/>
  <c r="CO78" i="9"/>
  <c r="CN78" i="9"/>
  <c r="CH78" i="9"/>
  <c r="CG78" i="9"/>
  <c r="CA78" i="9"/>
  <c r="BZ78" i="9"/>
  <c r="BT78" i="9"/>
  <c r="BS78" i="9"/>
  <c r="BM78" i="9"/>
  <c r="BL78" i="9"/>
  <c r="BF78" i="9"/>
  <c r="BE78" i="9"/>
  <c r="AY78" i="9"/>
  <c r="AX78" i="9"/>
  <c r="AR78" i="9"/>
  <c r="AQ78" i="9"/>
  <c r="AK78" i="9"/>
  <c r="AJ78" i="9"/>
  <c r="AD78" i="9"/>
  <c r="AC78" i="9"/>
  <c r="W78" i="9"/>
  <c r="V78" i="9"/>
  <c r="P78" i="9"/>
  <c r="O78" i="9"/>
  <c r="I78" i="9"/>
  <c r="H78" i="9"/>
  <c r="DU77" i="9"/>
  <c r="DT77" i="9"/>
  <c r="DS77" i="9"/>
  <c r="DR77" i="9"/>
  <c r="DW77" i="9" s="1"/>
  <c r="DJ77" i="9"/>
  <c r="DI77" i="9"/>
  <c r="DC77" i="9"/>
  <c r="DB77" i="9"/>
  <c r="CV77" i="9"/>
  <c r="CU77" i="9"/>
  <c r="CO77" i="9"/>
  <c r="CN77" i="9"/>
  <c r="CH77" i="9"/>
  <c r="CG77" i="9"/>
  <c r="CA77" i="9"/>
  <c r="BZ77" i="9"/>
  <c r="BT77" i="9"/>
  <c r="BS77" i="9"/>
  <c r="BM77" i="9"/>
  <c r="BL77" i="9"/>
  <c r="BF77" i="9"/>
  <c r="BE77" i="9"/>
  <c r="AY77" i="9"/>
  <c r="AX77" i="9"/>
  <c r="AR77" i="9"/>
  <c r="AQ77" i="9"/>
  <c r="AK77" i="9"/>
  <c r="AJ77" i="9"/>
  <c r="AD77" i="9"/>
  <c r="AC77" i="9"/>
  <c r="W77" i="9"/>
  <c r="V77" i="9"/>
  <c r="P77" i="9"/>
  <c r="O77" i="9"/>
  <c r="I77" i="9"/>
  <c r="H77" i="9"/>
  <c r="DU76" i="9"/>
  <c r="DT76" i="9"/>
  <c r="DS76" i="9"/>
  <c r="DR76" i="9"/>
  <c r="DW76" i="9" s="1"/>
  <c r="DJ76" i="9"/>
  <c r="DI76" i="9"/>
  <c r="DC76" i="9"/>
  <c r="DB76" i="9"/>
  <c r="CV76" i="9"/>
  <c r="CU76" i="9"/>
  <c r="CO76" i="9"/>
  <c r="CN76" i="9"/>
  <c r="CH76" i="9"/>
  <c r="CG76" i="9"/>
  <c r="CA76" i="9"/>
  <c r="BZ76" i="9"/>
  <c r="BT76" i="9"/>
  <c r="BS76" i="9"/>
  <c r="BM76" i="9"/>
  <c r="BL76" i="9"/>
  <c r="BF76" i="9"/>
  <c r="BE76" i="9"/>
  <c r="AY76" i="9"/>
  <c r="AX76" i="9"/>
  <c r="AR76" i="9"/>
  <c r="AQ76" i="9"/>
  <c r="AK76" i="9"/>
  <c r="AJ76" i="9"/>
  <c r="AD76" i="9"/>
  <c r="AC76" i="9"/>
  <c r="W76" i="9"/>
  <c r="V76" i="9"/>
  <c r="P76" i="9"/>
  <c r="O76" i="9"/>
  <c r="I76" i="9"/>
  <c r="H76" i="9"/>
  <c r="DU75" i="9"/>
  <c r="DT75" i="9"/>
  <c r="DS75" i="9"/>
  <c r="DR75" i="9"/>
  <c r="DW75" i="9" s="1"/>
  <c r="DJ75" i="9"/>
  <c r="DI75" i="9"/>
  <c r="DC75" i="9"/>
  <c r="DB75" i="9"/>
  <c r="CV75" i="9"/>
  <c r="CU75" i="9"/>
  <c r="CO75" i="9"/>
  <c r="CN75" i="9"/>
  <c r="CH75" i="9"/>
  <c r="CG75" i="9"/>
  <c r="CA75" i="9"/>
  <c r="BZ75" i="9"/>
  <c r="BT75" i="9"/>
  <c r="BS75" i="9"/>
  <c r="BM75" i="9"/>
  <c r="BL75" i="9"/>
  <c r="BF75" i="9"/>
  <c r="BE75" i="9"/>
  <c r="AY75" i="9"/>
  <c r="AX75" i="9"/>
  <c r="AR75" i="9"/>
  <c r="AQ75" i="9"/>
  <c r="AK75" i="9"/>
  <c r="AJ75" i="9"/>
  <c r="AD75" i="9"/>
  <c r="AC75" i="9"/>
  <c r="W75" i="9"/>
  <c r="V75" i="9"/>
  <c r="P75" i="9"/>
  <c r="O75" i="9"/>
  <c r="I75" i="9"/>
  <c r="H75" i="9"/>
  <c r="DU74" i="9"/>
  <c r="DT74" i="9"/>
  <c r="DS74" i="9"/>
  <c r="DR74" i="9"/>
  <c r="DW74" i="9" s="1"/>
  <c r="DJ74" i="9"/>
  <c r="DI74" i="9"/>
  <c r="DC74" i="9"/>
  <c r="DB74" i="9"/>
  <c r="CV74" i="9"/>
  <c r="CU74" i="9"/>
  <c r="CO74" i="9"/>
  <c r="CN74" i="9"/>
  <c r="CH74" i="9"/>
  <c r="CG74" i="9"/>
  <c r="CA74" i="9"/>
  <c r="BZ74" i="9"/>
  <c r="BT74" i="9"/>
  <c r="BS74" i="9"/>
  <c r="BM74" i="9"/>
  <c r="BL74" i="9"/>
  <c r="BF74" i="9"/>
  <c r="BE74" i="9"/>
  <c r="AY74" i="9"/>
  <c r="AX74" i="9"/>
  <c r="AR74" i="9"/>
  <c r="AQ74" i="9"/>
  <c r="AK74" i="9"/>
  <c r="AJ74" i="9"/>
  <c r="AD74" i="9"/>
  <c r="AC74" i="9"/>
  <c r="W74" i="9"/>
  <c r="V74" i="9"/>
  <c r="P74" i="9"/>
  <c r="O74" i="9"/>
  <c r="I74" i="9"/>
  <c r="H74" i="9"/>
  <c r="DU73" i="9"/>
  <c r="DT73" i="9"/>
  <c r="DS73" i="9"/>
  <c r="DR73" i="9"/>
  <c r="DW73" i="9" s="1"/>
  <c r="DJ73" i="9"/>
  <c r="DI73" i="9"/>
  <c r="DC73" i="9"/>
  <c r="DB73" i="9"/>
  <c r="CV73" i="9"/>
  <c r="CU73" i="9"/>
  <c r="CO73" i="9"/>
  <c r="CN73" i="9"/>
  <c r="CH73" i="9"/>
  <c r="CG73" i="9"/>
  <c r="CA73" i="9"/>
  <c r="BZ73" i="9"/>
  <c r="BT73" i="9"/>
  <c r="BS73" i="9"/>
  <c r="BM73" i="9"/>
  <c r="BL73" i="9"/>
  <c r="BF73" i="9"/>
  <c r="BE73" i="9"/>
  <c r="AY73" i="9"/>
  <c r="AX73" i="9"/>
  <c r="AR73" i="9"/>
  <c r="AQ73" i="9"/>
  <c r="AK73" i="9"/>
  <c r="AJ73" i="9"/>
  <c r="AD73" i="9"/>
  <c r="AC73" i="9"/>
  <c r="W73" i="9"/>
  <c r="V73" i="9"/>
  <c r="P73" i="9"/>
  <c r="O73" i="9"/>
  <c r="I73" i="9"/>
  <c r="H73" i="9"/>
  <c r="DU72" i="9"/>
  <c r="DT72" i="9"/>
  <c r="DS72" i="9"/>
  <c r="DR72" i="9"/>
  <c r="DW72" i="9" s="1"/>
  <c r="DJ72" i="9"/>
  <c r="DI72" i="9"/>
  <c r="DC72" i="9"/>
  <c r="DB72" i="9"/>
  <c r="CV72" i="9"/>
  <c r="CU72" i="9"/>
  <c r="CO72" i="9"/>
  <c r="CN72" i="9"/>
  <c r="CH72" i="9"/>
  <c r="CG72" i="9"/>
  <c r="CA72" i="9"/>
  <c r="BZ72" i="9"/>
  <c r="BT72" i="9"/>
  <c r="BS72" i="9"/>
  <c r="BM72" i="9"/>
  <c r="BL72" i="9"/>
  <c r="BF72" i="9"/>
  <c r="BE72" i="9"/>
  <c r="AY72" i="9"/>
  <c r="AX72" i="9"/>
  <c r="AR72" i="9"/>
  <c r="AQ72" i="9"/>
  <c r="AK72" i="9"/>
  <c r="AJ72" i="9"/>
  <c r="AD72" i="9"/>
  <c r="AC72" i="9"/>
  <c r="W72" i="9"/>
  <c r="V72" i="9"/>
  <c r="P72" i="9"/>
  <c r="O72" i="9"/>
  <c r="I72" i="9"/>
  <c r="H72" i="9"/>
  <c r="DU71" i="9"/>
  <c r="DT71" i="9"/>
  <c r="DS71" i="9"/>
  <c r="DR71" i="9"/>
  <c r="DW71" i="9" s="1"/>
  <c r="DJ71" i="9"/>
  <c r="DI71" i="9"/>
  <c r="DC71" i="9"/>
  <c r="DB71" i="9"/>
  <c r="CV71" i="9"/>
  <c r="CU71" i="9"/>
  <c r="CO71" i="9"/>
  <c r="CN71" i="9"/>
  <c r="CH71" i="9"/>
  <c r="CG71" i="9"/>
  <c r="CA71" i="9"/>
  <c r="BZ71" i="9"/>
  <c r="BT71" i="9"/>
  <c r="BS71" i="9"/>
  <c r="BM71" i="9"/>
  <c r="BL71" i="9"/>
  <c r="BF71" i="9"/>
  <c r="BE71" i="9"/>
  <c r="AY71" i="9"/>
  <c r="AX71" i="9"/>
  <c r="AR71" i="9"/>
  <c r="AQ71" i="9"/>
  <c r="AK71" i="9"/>
  <c r="AJ71" i="9"/>
  <c r="AD71" i="9"/>
  <c r="AC71" i="9"/>
  <c r="W71" i="9"/>
  <c r="V71" i="9"/>
  <c r="P71" i="9"/>
  <c r="O71" i="9"/>
  <c r="I71" i="9"/>
  <c r="H71" i="9"/>
  <c r="DU70" i="9"/>
  <c r="DT70" i="9"/>
  <c r="DS70" i="9"/>
  <c r="DR70" i="9"/>
  <c r="DW70" i="9" s="1"/>
  <c r="DJ70" i="9"/>
  <c r="DI70" i="9"/>
  <c r="DC70" i="9"/>
  <c r="DB70" i="9"/>
  <c r="CV70" i="9"/>
  <c r="CU70" i="9"/>
  <c r="CO70" i="9"/>
  <c r="CN70" i="9"/>
  <c r="CH70" i="9"/>
  <c r="CG70" i="9"/>
  <c r="CA70" i="9"/>
  <c r="BZ70" i="9"/>
  <c r="BT70" i="9"/>
  <c r="BS70" i="9"/>
  <c r="BM70" i="9"/>
  <c r="BL70" i="9"/>
  <c r="BF70" i="9"/>
  <c r="BE70" i="9"/>
  <c r="AY70" i="9"/>
  <c r="AX70" i="9"/>
  <c r="AR70" i="9"/>
  <c r="AQ70" i="9"/>
  <c r="AK70" i="9"/>
  <c r="AJ70" i="9"/>
  <c r="AD70" i="9"/>
  <c r="AC70" i="9"/>
  <c r="W70" i="9"/>
  <c r="V70" i="9"/>
  <c r="P70" i="9"/>
  <c r="O70" i="9"/>
  <c r="I70" i="9"/>
  <c r="H70" i="9"/>
  <c r="DU69" i="9"/>
  <c r="DT69" i="9"/>
  <c r="DS69" i="9"/>
  <c r="DR69" i="9"/>
  <c r="DW69" i="9" s="1"/>
  <c r="DJ69" i="9"/>
  <c r="DI69" i="9"/>
  <c r="DC69" i="9"/>
  <c r="DB69" i="9"/>
  <c r="CV69" i="9"/>
  <c r="CU69" i="9"/>
  <c r="CO69" i="9"/>
  <c r="CN69" i="9"/>
  <c r="CH69" i="9"/>
  <c r="CG69" i="9"/>
  <c r="CA69" i="9"/>
  <c r="BZ69" i="9"/>
  <c r="BT69" i="9"/>
  <c r="BS69" i="9"/>
  <c r="BM69" i="9"/>
  <c r="BL69" i="9"/>
  <c r="BF69" i="9"/>
  <c r="BE69" i="9"/>
  <c r="AY69" i="9"/>
  <c r="AX69" i="9"/>
  <c r="AR69" i="9"/>
  <c r="AQ69" i="9"/>
  <c r="AK69" i="9"/>
  <c r="AJ69" i="9"/>
  <c r="AD69" i="9"/>
  <c r="AC69" i="9"/>
  <c r="W69" i="9"/>
  <c r="V69" i="9"/>
  <c r="P69" i="9"/>
  <c r="O69" i="9"/>
  <c r="I69" i="9"/>
  <c r="H69" i="9"/>
  <c r="DU68" i="9"/>
  <c r="DT68" i="9"/>
  <c r="DS68" i="9"/>
  <c r="DR68" i="9"/>
  <c r="DW68" i="9" s="1"/>
  <c r="DJ68" i="9"/>
  <c r="DI68" i="9"/>
  <c r="DC68" i="9"/>
  <c r="DB68" i="9"/>
  <c r="CV68" i="9"/>
  <c r="CU68" i="9"/>
  <c r="CO68" i="9"/>
  <c r="CN68" i="9"/>
  <c r="CH68" i="9"/>
  <c r="CG68" i="9"/>
  <c r="CA68" i="9"/>
  <c r="BZ68" i="9"/>
  <c r="BT68" i="9"/>
  <c r="BS68" i="9"/>
  <c r="BM68" i="9"/>
  <c r="BL68" i="9"/>
  <c r="BF68" i="9"/>
  <c r="BE68" i="9"/>
  <c r="AY68" i="9"/>
  <c r="AX68" i="9"/>
  <c r="AR68" i="9"/>
  <c r="AQ68" i="9"/>
  <c r="AK68" i="9"/>
  <c r="AJ68" i="9"/>
  <c r="AD68" i="9"/>
  <c r="AC68" i="9"/>
  <c r="W68" i="9"/>
  <c r="V68" i="9"/>
  <c r="P68" i="9"/>
  <c r="O68" i="9"/>
  <c r="I68" i="9"/>
  <c r="H68" i="9"/>
  <c r="DU67" i="9"/>
  <c r="DT67" i="9"/>
  <c r="DS67" i="9"/>
  <c r="DR67" i="9"/>
  <c r="DW67" i="9" s="1"/>
  <c r="DJ67" i="9"/>
  <c r="DI67" i="9"/>
  <c r="DC67" i="9"/>
  <c r="DB67" i="9"/>
  <c r="CV67" i="9"/>
  <c r="CU67" i="9"/>
  <c r="CO67" i="9"/>
  <c r="CN67" i="9"/>
  <c r="CH67" i="9"/>
  <c r="CG67" i="9"/>
  <c r="CA67" i="9"/>
  <c r="BZ67" i="9"/>
  <c r="BT67" i="9"/>
  <c r="BS67" i="9"/>
  <c r="BM67" i="9"/>
  <c r="BL67" i="9"/>
  <c r="BF67" i="9"/>
  <c r="BE67" i="9"/>
  <c r="AY67" i="9"/>
  <c r="AX67" i="9"/>
  <c r="AR67" i="9"/>
  <c r="AQ67" i="9"/>
  <c r="AK67" i="9"/>
  <c r="AJ67" i="9"/>
  <c r="AD67" i="9"/>
  <c r="AC67" i="9"/>
  <c r="W67" i="9"/>
  <c r="V67" i="9"/>
  <c r="P67" i="9"/>
  <c r="O67" i="9"/>
  <c r="I67" i="9"/>
  <c r="H67" i="9"/>
  <c r="DU66" i="9"/>
  <c r="DT66" i="9"/>
  <c r="DS66" i="9"/>
  <c r="DR66" i="9"/>
  <c r="DW66" i="9" s="1"/>
  <c r="DJ66" i="9"/>
  <c r="DI66" i="9"/>
  <c r="DC66" i="9"/>
  <c r="DB66" i="9"/>
  <c r="CV66" i="9"/>
  <c r="CU66" i="9"/>
  <c r="CO66" i="9"/>
  <c r="CN66" i="9"/>
  <c r="CH66" i="9"/>
  <c r="CG66" i="9"/>
  <c r="CA66" i="9"/>
  <c r="BZ66" i="9"/>
  <c r="BT66" i="9"/>
  <c r="BS66" i="9"/>
  <c r="BM66" i="9"/>
  <c r="BL66" i="9"/>
  <c r="BF66" i="9"/>
  <c r="BE66" i="9"/>
  <c r="AY66" i="9"/>
  <c r="AX66" i="9"/>
  <c r="AR66" i="9"/>
  <c r="AQ66" i="9"/>
  <c r="AK66" i="9"/>
  <c r="AJ66" i="9"/>
  <c r="AD66" i="9"/>
  <c r="AC66" i="9"/>
  <c r="W66" i="9"/>
  <c r="V66" i="9"/>
  <c r="P66" i="9"/>
  <c r="O66" i="9"/>
  <c r="I66" i="9"/>
  <c r="H66" i="9"/>
  <c r="DU65" i="9"/>
  <c r="DT65" i="9"/>
  <c r="DS65" i="9"/>
  <c r="DR65" i="9"/>
  <c r="DW65" i="9" s="1"/>
  <c r="DJ65" i="9"/>
  <c r="DI65" i="9"/>
  <c r="DC65" i="9"/>
  <c r="DB65" i="9"/>
  <c r="CV65" i="9"/>
  <c r="CU65" i="9"/>
  <c r="CO65" i="9"/>
  <c r="CN65" i="9"/>
  <c r="CH65" i="9"/>
  <c r="CG65" i="9"/>
  <c r="CA65" i="9"/>
  <c r="BZ65" i="9"/>
  <c r="BT65" i="9"/>
  <c r="BS65" i="9"/>
  <c r="BM65" i="9"/>
  <c r="BL65" i="9"/>
  <c r="BF65" i="9"/>
  <c r="BE65" i="9"/>
  <c r="AY65" i="9"/>
  <c r="AX65" i="9"/>
  <c r="AR65" i="9"/>
  <c r="AQ65" i="9"/>
  <c r="AK65" i="9"/>
  <c r="AJ65" i="9"/>
  <c r="AD65" i="9"/>
  <c r="AC65" i="9"/>
  <c r="W65" i="9"/>
  <c r="V65" i="9"/>
  <c r="P65" i="9"/>
  <c r="O65" i="9"/>
  <c r="I65" i="9"/>
  <c r="H65" i="9"/>
  <c r="DU64" i="9"/>
  <c r="DT64" i="9"/>
  <c r="DS64" i="9"/>
  <c r="DR64" i="9"/>
  <c r="DW64" i="9" s="1"/>
  <c r="DJ64" i="9"/>
  <c r="DI64" i="9"/>
  <c r="DC64" i="9"/>
  <c r="DB64" i="9"/>
  <c r="CV64" i="9"/>
  <c r="CU64" i="9"/>
  <c r="CO64" i="9"/>
  <c r="CN64" i="9"/>
  <c r="CH64" i="9"/>
  <c r="CG64" i="9"/>
  <c r="CA64" i="9"/>
  <c r="BZ64" i="9"/>
  <c r="BT64" i="9"/>
  <c r="BS64" i="9"/>
  <c r="BM64" i="9"/>
  <c r="BL64" i="9"/>
  <c r="BF64" i="9"/>
  <c r="BE64" i="9"/>
  <c r="AY64" i="9"/>
  <c r="AX64" i="9"/>
  <c r="AR64" i="9"/>
  <c r="AQ64" i="9"/>
  <c r="AK64" i="9"/>
  <c r="AJ64" i="9"/>
  <c r="AD64" i="9"/>
  <c r="AC64" i="9"/>
  <c r="W64" i="9"/>
  <c r="V64" i="9"/>
  <c r="P64" i="9"/>
  <c r="O64" i="9"/>
  <c r="I64" i="9"/>
  <c r="H64" i="9"/>
  <c r="DU63" i="9"/>
  <c r="DT63" i="9"/>
  <c r="DS63" i="9"/>
  <c r="DR63" i="9"/>
  <c r="DW63" i="9" s="1"/>
  <c r="DJ63" i="9"/>
  <c r="DI63" i="9"/>
  <c r="DC63" i="9"/>
  <c r="DB63" i="9"/>
  <c r="CV63" i="9"/>
  <c r="CU63" i="9"/>
  <c r="CO63" i="9"/>
  <c r="CN63" i="9"/>
  <c r="CH63" i="9"/>
  <c r="CG63" i="9"/>
  <c r="CA63" i="9"/>
  <c r="BZ63" i="9"/>
  <c r="BT63" i="9"/>
  <c r="BS63" i="9"/>
  <c r="BM63" i="9"/>
  <c r="BL63" i="9"/>
  <c r="BF63" i="9"/>
  <c r="BE63" i="9"/>
  <c r="AY63" i="9"/>
  <c r="AX63" i="9"/>
  <c r="AR63" i="9"/>
  <c r="AQ63" i="9"/>
  <c r="AK63" i="9"/>
  <c r="AJ63" i="9"/>
  <c r="AD63" i="9"/>
  <c r="AC63" i="9"/>
  <c r="W63" i="9"/>
  <c r="V63" i="9"/>
  <c r="P63" i="9"/>
  <c r="O63" i="9"/>
  <c r="I63" i="9"/>
  <c r="H63" i="9"/>
  <c r="DU62" i="9"/>
  <c r="DT62" i="9"/>
  <c r="DS62" i="9"/>
  <c r="DR62" i="9"/>
  <c r="DW62" i="9" s="1"/>
  <c r="DJ62" i="9"/>
  <c r="DI62" i="9"/>
  <c r="DC62" i="9"/>
  <c r="DB62" i="9"/>
  <c r="CV62" i="9"/>
  <c r="CU62" i="9"/>
  <c r="CO62" i="9"/>
  <c r="CN62" i="9"/>
  <c r="CH62" i="9"/>
  <c r="CG62" i="9"/>
  <c r="CA62" i="9"/>
  <c r="BZ62" i="9"/>
  <c r="BT62" i="9"/>
  <c r="BS62" i="9"/>
  <c r="BM62" i="9"/>
  <c r="BL62" i="9"/>
  <c r="BF62" i="9"/>
  <c r="BE62" i="9"/>
  <c r="AY62" i="9"/>
  <c r="AX62" i="9"/>
  <c r="AR62" i="9"/>
  <c r="AQ62" i="9"/>
  <c r="AK62" i="9"/>
  <c r="AJ62" i="9"/>
  <c r="AD62" i="9"/>
  <c r="AC62" i="9"/>
  <c r="W62" i="9"/>
  <c r="V62" i="9"/>
  <c r="P62" i="9"/>
  <c r="O62" i="9"/>
  <c r="I62" i="9"/>
  <c r="H62" i="9"/>
  <c r="DU61" i="9"/>
  <c r="DT61" i="9"/>
  <c r="DS61" i="9"/>
  <c r="DR61" i="9"/>
  <c r="DW61" i="9" s="1"/>
  <c r="DJ61" i="9"/>
  <c r="DI61" i="9"/>
  <c r="DC61" i="9"/>
  <c r="DB61" i="9"/>
  <c r="CV61" i="9"/>
  <c r="CU61" i="9"/>
  <c r="CO61" i="9"/>
  <c r="CN61" i="9"/>
  <c r="CH61" i="9"/>
  <c r="CG61" i="9"/>
  <c r="CA61" i="9"/>
  <c r="BZ61" i="9"/>
  <c r="BT61" i="9"/>
  <c r="BS61" i="9"/>
  <c r="BM61" i="9"/>
  <c r="BL61" i="9"/>
  <c r="BF61" i="9"/>
  <c r="BE61" i="9"/>
  <c r="AY61" i="9"/>
  <c r="AX61" i="9"/>
  <c r="AR61" i="9"/>
  <c r="AQ61" i="9"/>
  <c r="AK61" i="9"/>
  <c r="AJ61" i="9"/>
  <c r="AD61" i="9"/>
  <c r="AC61" i="9"/>
  <c r="W61" i="9"/>
  <c r="V61" i="9"/>
  <c r="P61" i="9"/>
  <c r="O61" i="9"/>
  <c r="I61" i="9"/>
  <c r="H61" i="9"/>
  <c r="DU60" i="9"/>
  <c r="DT60" i="9"/>
  <c r="DS60" i="9"/>
  <c r="DR60" i="9"/>
  <c r="DW60" i="9" s="1"/>
  <c r="DJ60" i="9"/>
  <c r="DI60" i="9"/>
  <c r="DC60" i="9"/>
  <c r="DB60" i="9"/>
  <c r="CV60" i="9"/>
  <c r="CU60" i="9"/>
  <c r="CO60" i="9"/>
  <c r="CN60" i="9"/>
  <c r="CH60" i="9"/>
  <c r="CG60" i="9"/>
  <c r="CA60" i="9"/>
  <c r="BZ60" i="9"/>
  <c r="BT60" i="9"/>
  <c r="BS60" i="9"/>
  <c r="BM60" i="9"/>
  <c r="BL60" i="9"/>
  <c r="BF60" i="9"/>
  <c r="BE60" i="9"/>
  <c r="AY60" i="9"/>
  <c r="AX60" i="9"/>
  <c r="AR60" i="9"/>
  <c r="AQ60" i="9"/>
  <c r="AK60" i="9"/>
  <c r="AJ60" i="9"/>
  <c r="AD60" i="9"/>
  <c r="AC60" i="9"/>
  <c r="W60" i="9"/>
  <c r="V60" i="9"/>
  <c r="P60" i="9"/>
  <c r="O60" i="9"/>
  <c r="I60" i="9"/>
  <c r="H60" i="9"/>
  <c r="DU59" i="9"/>
  <c r="DT59" i="9"/>
  <c r="DS59" i="9"/>
  <c r="DR59" i="9"/>
  <c r="DW59" i="9" s="1"/>
  <c r="DJ59" i="9"/>
  <c r="DI59" i="9"/>
  <c r="DC59" i="9"/>
  <c r="DB59" i="9"/>
  <c r="CV59" i="9"/>
  <c r="CU59" i="9"/>
  <c r="CO59" i="9"/>
  <c r="CN59" i="9"/>
  <c r="CH59" i="9"/>
  <c r="CG59" i="9"/>
  <c r="CA59" i="9"/>
  <c r="BZ59" i="9"/>
  <c r="BT59" i="9"/>
  <c r="BS59" i="9"/>
  <c r="BM59" i="9"/>
  <c r="BL59" i="9"/>
  <c r="BF59" i="9"/>
  <c r="BE59" i="9"/>
  <c r="AY59" i="9"/>
  <c r="AX59" i="9"/>
  <c r="AR59" i="9"/>
  <c r="AQ59" i="9"/>
  <c r="AK59" i="9"/>
  <c r="AJ59" i="9"/>
  <c r="AD59" i="9"/>
  <c r="AC59" i="9"/>
  <c r="W59" i="9"/>
  <c r="V59" i="9"/>
  <c r="P59" i="9"/>
  <c r="O59" i="9"/>
  <c r="I59" i="9"/>
  <c r="H59" i="9"/>
  <c r="DU58" i="9"/>
  <c r="DT58" i="9"/>
  <c r="DS58" i="9"/>
  <c r="DR58" i="9"/>
  <c r="DW58" i="9" s="1"/>
  <c r="DJ58" i="9"/>
  <c r="DI58" i="9"/>
  <c r="DC58" i="9"/>
  <c r="DB58" i="9"/>
  <c r="CV58" i="9"/>
  <c r="CU58" i="9"/>
  <c r="CO58" i="9"/>
  <c r="CN58" i="9"/>
  <c r="CH58" i="9"/>
  <c r="CG58" i="9"/>
  <c r="CA58" i="9"/>
  <c r="BZ58" i="9"/>
  <c r="BT58" i="9"/>
  <c r="BS58" i="9"/>
  <c r="BM58" i="9"/>
  <c r="BL58" i="9"/>
  <c r="BF58" i="9"/>
  <c r="BE58" i="9"/>
  <c r="AY58" i="9"/>
  <c r="AX58" i="9"/>
  <c r="AR58" i="9"/>
  <c r="AQ58" i="9"/>
  <c r="AK58" i="9"/>
  <c r="AJ58" i="9"/>
  <c r="AD58" i="9"/>
  <c r="AC58" i="9"/>
  <c r="W58" i="9"/>
  <c r="V58" i="9"/>
  <c r="P58" i="9"/>
  <c r="O58" i="9"/>
  <c r="I58" i="9"/>
  <c r="H58" i="9"/>
  <c r="DU57" i="9"/>
  <c r="DT57" i="9"/>
  <c r="DS57" i="9"/>
  <c r="DR57" i="9"/>
  <c r="DW57" i="9" s="1"/>
  <c r="DJ57" i="9"/>
  <c r="DI57" i="9"/>
  <c r="DC57" i="9"/>
  <c r="DB57" i="9"/>
  <c r="CV57" i="9"/>
  <c r="CU57" i="9"/>
  <c r="CO57" i="9"/>
  <c r="CN57" i="9"/>
  <c r="CH57" i="9"/>
  <c r="CG57" i="9"/>
  <c r="CA57" i="9"/>
  <c r="BZ57" i="9"/>
  <c r="BT57" i="9"/>
  <c r="BS57" i="9"/>
  <c r="BM57" i="9"/>
  <c r="BL57" i="9"/>
  <c r="BF57" i="9"/>
  <c r="BE57" i="9"/>
  <c r="AY57" i="9"/>
  <c r="AX57" i="9"/>
  <c r="AR57" i="9"/>
  <c r="AQ57" i="9"/>
  <c r="AK57" i="9"/>
  <c r="AJ57" i="9"/>
  <c r="AD57" i="9"/>
  <c r="AC57" i="9"/>
  <c r="W57" i="9"/>
  <c r="V57" i="9"/>
  <c r="P57" i="9"/>
  <c r="O57" i="9"/>
  <c r="I57" i="9"/>
  <c r="H57" i="9"/>
  <c r="DU56" i="9"/>
  <c r="DT56" i="9"/>
  <c r="DS56" i="9"/>
  <c r="DR56" i="9"/>
  <c r="DW56" i="9" s="1"/>
  <c r="DJ56" i="9"/>
  <c r="DI56" i="9"/>
  <c r="DC56" i="9"/>
  <c r="DB56" i="9"/>
  <c r="CV56" i="9"/>
  <c r="CU56" i="9"/>
  <c r="CO56" i="9"/>
  <c r="CN56" i="9"/>
  <c r="CH56" i="9"/>
  <c r="CG56" i="9"/>
  <c r="CA56" i="9"/>
  <c r="BZ56" i="9"/>
  <c r="BT56" i="9"/>
  <c r="BS56" i="9"/>
  <c r="BM56" i="9"/>
  <c r="BL56" i="9"/>
  <c r="BF56" i="9"/>
  <c r="BE56" i="9"/>
  <c r="AY56" i="9"/>
  <c r="AX56" i="9"/>
  <c r="AR56" i="9"/>
  <c r="AQ56" i="9"/>
  <c r="AK56" i="9"/>
  <c r="AJ56" i="9"/>
  <c r="AD56" i="9"/>
  <c r="AC56" i="9"/>
  <c r="W56" i="9"/>
  <c r="V56" i="9"/>
  <c r="P56" i="9"/>
  <c r="O56" i="9"/>
  <c r="I56" i="9"/>
  <c r="H56" i="9"/>
  <c r="DU55" i="9"/>
  <c r="DT55" i="9"/>
  <c r="DS55" i="9"/>
  <c r="DR55" i="9"/>
  <c r="DW55" i="9" s="1"/>
  <c r="DJ55" i="9"/>
  <c r="DI55" i="9"/>
  <c r="DC55" i="9"/>
  <c r="DB55" i="9"/>
  <c r="CV55" i="9"/>
  <c r="CU55" i="9"/>
  <c r="CO55" i="9"/>
  <c r="CN55" i="9"/>
  <c r="CH55" i="9"/>
  <c r="CG55" i="9"/>
  <c r="CA55" i="9"/>
  <c r="BZ55" i="9"/>
  <c r="BT55" i="9"/>
  <c r="BS55" i="9"/>
  <c r="BM55" i="9"/>
  <c r="BL55" i="9"/>
  <c r="BF55" i="9"/>
  <c r="BE55" i="9"/>
  <c r="AY55" i="9"/>
  <c r="AX55" i="9"/>
  <c r="AR55" i="9"/>
  <c r="AQ55" i="9"/>
  <c r="AK55" i="9"/>
  <c r="AJ55" i="9"/>
  <c r="AD55" i="9"/>
  <c r="AC55" i="9"/>
  <c r="W55" i="9"/>
  <c r="V55" i="9"/>
  <c r="P55" i="9"/>
  <c r="O55" i="9"/>
  <c r="I55" i="9"/>
  <c r="H55" i="9"/>
  <c r="DU54" i="9"/>
  <c r="DT54" i="9"/>
  <c r="DS54" i="9"/>
  <c r="DR54" i="9"/>
  <c r="DW54" i="9" s="1"/>
  <c r="DJ54" i="9"/>
  <c r="DI54" i="9"/>
  <c r="DC54" i="9"/>
  <c r="DB54" i="9"/>
  <c r="CV54" i="9"/>
  <c r="CU54" i="9"/>
  <c r="CO54" i="9"/>
  <c r="CN54" i="9"/>
  <c r="CH54" i="9"/>
  <c r="CG54" i="9"/>
  <c r="CA54" i="9"/>
  <c r="BZ54" i="9"/>
  <c r="BT54" i="9"/>
  <c r="BS54" i="9"/>
  <c r="BM54" i="9"/>
  <c r="BL54" i="9"/>
  <c r="BF54" i="9"/>
  <c r="BE54" i="9"/>
  <c r="AY54" i="9"/>
  <c r="AX54" i="9"/>
  <c r="AR54" i="9"/>
  <c r="AQ54" i="9"/>
  <c r="AK54" i="9"/>
  <c r="AJ54" i="9"/>
  <c r="AD54" i="9"/>
  <c r="AC54" i="9"/>
  <c r="W54" i="9"/>
  <c r="V54" i="9"/>
  <c r="P54" i="9"/>
  <c r="O54" i="9"/>
  <c r="I54" i="9"/>
  <c r="H54" i="9"/>
  <c r="DU53" i="9"/>
  <c r="DT53" i="9"/>
  <c r="DS53" i="9"/>
  <c r="DR53" i="9"/>
  <c r="DW53" i="9" s="1"/>
  <c r="DJ53" i="9"/>
  <c r="DI53" i="9"/>
  <c r="DC53" i="9"/>
  <c r="DB53" i="9"/>
  <c r="CV53" i="9"/>
  <c r="CU53" i="9"/>
  <c r="CO53" i="9"/>
  <c r="CN53" i="9"/>
  <c r="CH53" i="9"/>
  <c r="CG53" i="9"/>
  <c r="CA53" i="9"/>
  <c r="BZ53" i="9"/>
  <c r="BT53" i="9"/>
  <c r="BS53" i="9"/>
  <c r="BM53" i="9"/>
  <c r="BL53" i="9"/>
  <c r="BF53" i="9"/>
  <c r="BE53" i="9"/>
  <c r="AY53" i="9"/>
  <c r="AX53" i="9"/>
  <c r="AR53" i="9"/>
  <c r="AQ53" i="9"/>
  <c r="AK53" i="9"/>
  <c r="AJ53" i="9"/>
  <c r="AD53" i="9"/>
  <c r="AC53" i="9"/>
  <c r="W53" i="9"/>
  <c r="V53" i="9"/>
  <c r="P53" i="9"/>
  <c r="O53" i="9"/>
  <c r="I53" i="9"/>
  <c r="H53" i="9"/>
  <c r="DU52" i="9"/>
  <c r="DT52" i="9"/>
  <c r="DS52" i="9"/>
  <c r="DR52" i="9"/>
  <c r="DW52" i="9" s="1"/>
  <c r="DJ52" i="9"/>
  <c r="DI52" i="9"/>
  <c r="DC52" i="9"/>
  <c r="DB52" i="9"/>
  <c r="CV52" i="9"/>
  <c r="CU52" i="9"/>
  <c r="CO52" i="9"/>
  <c r="CN52" i="9"/>
  <c r="CH52" i="9"/>
  <c r="CG52" i="9"/>
  <c r="CA52" i="9"/>
  <c r="BZ52" i="9"/>
  <c r="BT52" i="9"/>
  <c r="BS52" i="9"/>
  <c r="BM52" i="9"/>
  <c r="BL52" i="9"/>
  <c r="BF52" i="9"/>
  <c r="BE52" i="9"/>
  <c r="AY52" i="9"/>
  <c r="AX52" i="9"/>
  <c r="AR52" i="9"/>
  <c r="AQ52" i="9"/>
  <c r="AK52" i="9"/>
  <c r="AJ52" i="9"/>
  <c r="AD52" i="9"/>
  <c r="AC52" i="9"/>
  <c r="W52" i="9"/>
  <c r="V52" i="9"/>
  <c r="P52" i="9"/>
  <c r="O52" i="9"/>
  <c r="I52" i="9"/>
  <c r="H52" i="9"/>
  <c r="DU51" i="9"/>
  <c r="DT51" i="9"/>
  <c r="DS51" i="9"/>
  <c r="DR51" i="9"/>
  <c r="DW51" i="9" s="1"/>
  <c r="DJ51" i="9"/>
  <c r="DI51" i="9"/>
  <c r="DC51" i="9"/>
  <c r="DB51" i="9"/>
  <c r="CV51" i="9"/>
  <c r="CU51" i="9"/>
  <c r="CO51" i="9"/>
  <c r="CN51" i="9"/>
  <c r="CH51" i="9"/>
  <c r="CG51" i="9"/>
  <c r="CA51" i="9"/>
  <c r="BZ51" i="9"/>
  <c r="BT51" i="9"/>
  <c r="BS51" i="9"/>
  <c r="BM51" i="9"/>
  <c r="BL51" i="9"/>
  <c r="BF51" i="9"/>
  <c r="BE51" i="9"/>
  <c r="AY51" i="9"/>
  <c r="AX51" i="9"/>
  <c r="AR51" i="9"/>
  <c r="AQ51" i="9"/>
  <c r="AK51" i="9"/>
  <c r="AJ51" i="9"/>
  <c r="AD51" i="9"/>
  <c r="AC51" i="9"/>
  <c r="W51" i="9"/>
  <c r="V51" i="9"/>
  <c r="P51" i="9"/>
  <c r="O51" i="9"/>
  <c r="I51" i="9"/>
  <c r="H51" i="9"/>
  <c r="DU50" i="9"/>
  <c r="DT50" i="9"/>
  <c r="DS50" i="9"/>
  <c r="DR50" i="9"/>
  <c r="DW50" i="9" s="1"/>
  <c r="DJ50" i="9"/>
  <c r="DI50" i="9"/>
  <c r="DC50" i="9"/>
  <c r="DB50" i="9"/>
  <c r="CV50" i="9"/>
  <c r="CU50" i="9"/>
  <c r="CO50" i="9"/>
  <c r="CN50" i="9"/>
  <c r="CH50" i="9"/>
  <c r="CG50" i="9"/>
  <c r="CA50" i="9"/>
  <c r="BZ50" i="9"/>
  <c r="BT50" i="9"/>
  <c r="BS50" i="9"/>
  <c r="BM50" i="9"/>
  <c r="BL50" i="9"/>
  <c r="BF50" i="9"/>
  <c r="BE50" i="9"/>
  <c r="AY50" i="9"/>
  <c r="AX50" i="9"/>
  <c r="AR50" i="9"/>
  <c r="AQ50" i="9"/>
  <c r="AK50" i="9"/>
  <c r="AJ50" i="9"/>
  <c r="AD50" i="9"/>
  <c r="AC50" i="9"/>
  <c r="W50" i="9"/>
  <c r="V50" i="9"/>
  <c r="P50" i="9"/>
  <c r="O50" i="9"/>
  <c r="I50" i="9"/>
  <c r="H50" i="9"/>
  <c r="DU49" i="9"/>
  <c r="DT49" i="9"/>
  <c r="DS49" i="9"/>
  <c r="DR49" i="9"/>
  <c r="DW49" i="9" s="1"/>
  <c r="DJ49" i="9"/>
  <c r="DI49" i="9"/>
  <c r="DC49" i="9"/>
  <c r="DB49" i="9"/>
  <c r="CV49" i="9"/>
  <c r="CU49" i="9"/>
  <c r="CO49" i="9"/>
  <c r="CN49" i="9"/>
  <c r="CH49" i="9"/>
  <c r="CG49" i="9"/>
  <c r="CA49" i="9"/>
  <c r="BZ49" i="9"/>
  <c r="BT49" i="9"/>
  <c r="BS49" i="9"/>
  <c r="BM49" i="9"/>
  <c r="BL49" i="9"/>
  <c r="BF49" i="9"/>
  <c r="BE49" i="9"/>
  <c r="AY49" i="9"/>
  <c r="AX49" i="9"/>
  <c r="AR49" i="9"/>
  <c r="AQ49" i="9"/>
  <c r="AK49" i="9"/>
  <c r="AJ49" i="9"/>
  <c r="AD49" i="9"/>
  <c r="AC49" i="9"/>
  <c r="W49" i="9"/>
  <c r="V49" i="9"/>
  <c r="P49" i="9"/>
  <c r="O49" i="9"/>
  <c r="I49" i="9"/>
  <c r="H49" i="9"/>
  <c r="DU48" i="9"/>
  <c r="DT48" i="9"/>
  <c r="DS48" i="9"/>
  <c r="DR48" i="9"/>
  <c r="DW48" i="9" s="1"/>
  <c r="DJ48" i="9"/>
  <c r="DI48" i="9"/>
  <c r="DC48" i="9"/>
  <c r="DB48" i="9"/>
  <c r="CV48" i="9"/>
  <c r="CU48" i="9"/>
  <c r="CO48" i="9"/>
  <c r="CN48" i="9"/>
  <c r="CH48" i="9"/>
  <c r="CG48" i="9"/>
  <c r="CA48" i="9"/>
  <c r="BZ48" i="9"/>
  <c r="BT48" i="9"/>
  <c r="BS48" i="9"/>
  <c r="BM48" i="9"/>
  <c r="BL48" i="9"/>
  <c r="BF48" i="9"/>
  <c r="BE48" i="9"/>
  <c r="AY48" i="9"/>
  <c r="AX48" i="9"/>
  <c r="AR48" i="9"/>
  <c r="AQ48" i="9"/>
  <c r="AK48" i="9"/>
  <c r="AJ48" i="9"/>
  <c r="AD48" i="9"/>
  <c r="AC48" i="9"/>
  <c r="W48" i="9"/>
  <c r="V48" i="9"/>
  <c r="P48" i="9"/>
  <c r="O48" i="9"/>
  <c r="I48" i="9"/>
  <c r="H48" i="9"/>
  <c r="DU47" i="9"/>
  <c r="DT47" i="9"/>
  <c r="DS47" i="9"/>
  <c r="DR47" i="9"/>
  <c r="DW47" i="9" s="1"/>
  <c r="DJ47" i="9"/>
  <c r="DI47" i="9"/>
  <c r="DC47" i="9"/>
  <c r="DB47" i="9"/>
  <c r="CV47" i="9"/>
  <c r="CU47" i="9"/>
  <c r="CO47" i="9"/>
  <c r="CN47" i="9"/>
  <c r="CH47" i="9"/>
  <c r="CG47" i="9"/>
  <c r="CA47" i="9"/>
  <c r="BZ47" i="9"/>
  <c r="BT47" i="9"/>
  <c r="BS47" i="9"/>
  <c r="BM47" i="9"/>
  <c r="BL47" i="9"/>
  <c r="BF47" i="9"/>
  <c r="BE47" i="9"/>
  <c r="AY47" i="9"/>
  <c r="AX47" i="9"/>
  <c r="AR47" i="9"/>
  <c r="AQ47" i="9"/>
  <c r="AK47" i="9"/>
  <c r="AJ47" i="9"/>
  <c r="AD47" i="9"/>
  <c r="AC47" i="9"/>
  <c r="W47" i="9"/>
  <c r="V47" i="9"/>
  <c r="P47" i="9"/>
  <c r="O47" i="9"/>
  <c r="I47" i="9"/>
  <c r="H47" i="9"/>
  <c r="DU46" i="9"/>
  <c r="DT46" i="9"/>
  <c r="DS46" i="9"/>
  <c r="DR46" i="9"/>
  <c r="DW46" i="9" s="1"/>
  <c r="DJ46" i="9"/>
  <c r="DI46" i="9"/>
  <c r="DC46" i="9"/>
  <c r="DB46" i="9"/>
  <c r="CV46" i="9"/>
  <c r="CU46" i="9"/>
  <c r="CO46" i="9"/>
  <c r="CN46" i="9"/>
  <c r="CH46" i="9"/>
  <c r="CG46" i="9"/>
  <c r="CA46" i="9"/>
  <c r="BZ46" i="9"/>
  <c r="BT46" i="9"/>
  <c r="BS46" i="9"/>
  <c r="BM46" i="9"/>
  <c r="BL46" i="9"/>
  <c r="BF46" i="9"/>
  <c r="BE46" i="9"/>
  <c r="AY46" i="9"/>
  <c r="AX46" i="9"/>
  <c r="AR46" i="9"/>
  <c r="AQ46" i="9"/>
  <c r="AK46" i="9"/>
  <c r="AJ46" i="9"/>
  <c r="AD46" i="9"/>
  <c r="AC46" i="9"/>
  <c r="W46" i="9"/>
  <c r="V46" i="9"/>
  <c r="P46" i="9"/>
  <c r="O46" i="9"/>
  <c r="I46" i="9"/>
  <c r="H46" i="9"/>
  <c r="DU45" i="9"/>
  <c r="DT45" i="9"/>
  <c r="DS45" i="9"/>
  <c r="DR45" i="9"/>
  <c r="DW45" i="9" s="1"/>
  <c r="DJ45" i="9"/>
  <c r="DI45" i="9"/>
  <c r="DC45" i="9"/>
  <c r="DB45" i="9"/>
  <c r="CV45" i="9"/>
  <c r="CU45" i="9"/>
  <c r="CO45" i="9"/>
  <c r="CN45" i="9"/>
  <c r="CH45" i="9"/>
  <c r="CG45" i="9"/>
  <c r="CA45" i="9"/>
  <c r="BZ45" i="9"/>
  <c r="BT45" i="9"/>
  <c r="BS45" i="9"/>
  <c r="BM45" i="9"/>
  <c r="BL45" i="9"/>
  <c r="BF45" i="9"/>
  <c r="BE45" i="9"/>
  <c r="AY45" i="9"/>
  <c r="AX45" i="9"/>
  <c r="AR45" i="9"/>
  <c r="AQ45" i="9"/>
  <c r="AK45" i="9"/>
  <c r="AJ45" i="9"/>
  <c r="AD45" i="9"/>
  <c r="AC45" i="9"/>
  <c r="W45" i="9"/>
  <c r="V45" i="9"/>
  <c r="P45" i="9"/>
  <c r="O45" i="9"/>
  <c r="I45" i="9"/>
  <c r="H45" i="9"/>
  <c r="DU44" i="9"/>
  <c r="DT44" i="9"/>
  <c r="DS44" i="9"/>
  <c r="DR44" i="9"/>
  <c r="DW44" i="9" s="1"/>
  <c r="DJ44" i="9"/>
  <c r="DI44" i="9"/>
  <c r="DC44" i="9"/>
  <c r="DB44" i="9"/>
  <c r="CV44" i="9"/>
  <c r="CU44" i="9"/>
  <c r="CO44" i="9"/>
  <c r="CN44" i="9"/>
  <c r="CH44" i="9"/>
  <c r="CG44" i="9"/>
  <c r="CA44" i="9"/>
  <c r="BZ44" i="9"/>
  <c r="BT44" i="9"/>
  <c r="BS44" i="9"/>
  <c r="BM44" i="9"/>
  <c r="BL44" i="9"/>
  <c r="BF44" i="9"/>
  <c r="BE44" i="9"/>
  <c r="AY44" i="9"/>
  <c r="AX44" i="9"/>
  <c r="AR44" i="9"/>
  <c r="AQ44" i="9"/>
  <c r="AK44" i="9"/>
  <c r="AJ44" i="9"/>
  <c r="AD44" i="9"/>
  <c r="AC44" i="9"/>
  <c r="W44" i="9"/>
  <c r="V44" i="9"/>
  <c r="P44" i="9"/>
  <c r="O44" i="9"/>
  <c r="I44" i="9"/>
  <c r="H44" i="9"/>
  <c r="DU43" i="9"/>
  <c r="DT43" i="9"/>
  <c r="DS43" i="9"/>
  <c r="DR43" i="9"/>
  <c r="DW43" i="9" s="1"/>
  <c r="DJ43" i="9"/>
  <c r="DI43" i="9"/>
  <c r="DC43" i="9"/>
  <c r="DB43" i="9"/>
  <c r="CV43" i="9"/>
  <c r="CU43" i="9"/>
  <c r="CO43" i="9"/>
  <c r="CN43" i="9"/>
  <c r="CH43" i="9"/>
  <c r="CG43" i="9"/>
  <c r="CA43" i="9"/>
  <c r="BZ43" i="9"/>
  <c r="BT43" i="9"/>
  <c r="BS43" i="9"/>
  <c r="BM43" i="9"/>
  <c r="BL43" i="9"/>
  <c r="BF43" i="9"/>
  <c r="BE43" i="9"/>
  <c r="AY43" i="9"/>
  <c r="AX43" i="9"/>
  <c r="AR43" i="9"/>
  <c r="AQ43" i="9"/>
  <c r="AK43" i="9"/>
  <c r="AJ43" i="9"/>
  <c r="AD43" i="9"/>
  <c r="AC43" i="9"/>
  <c r="W43" i="9"/>
  <c r="V43" i="9"/>
  <c r="P43" i="9"/>
  <c r="O43" i="9"/>
  <c r="I43" i="9"/>
  <c r="H43" i="9"/>
  <c r="DU42" i="9"/>
  <c r="DT42" i="9"/>
  <c r="DS42" i="9"/>
  <c r="DR42" i="9"/>
  <c r="DJ42" i="9"/>
  <c r="DI42" i="9"/>
  <c r="DC42" i="9"/>
  <c r="DB42" i="9"/>
  <c r="CV42" i="9"/>
  <c r="CU42" i="9"/>
  <c r="CO42" i="9"/>
  <c r="CN42" i="9"/>
  <c r="CH42" i="9"/>
  <c r="CG42" i="9"/>
  <c r="CA42" i="9"/>
  <c r="BZ42" i="9"/>
  <c r="BT42" i="9"/>
  <c r="BS42" i="9"/>
  <c r="BM42" i="9"/>
  <c r="BL42" i="9"/>
  <c r="BF42" i="9"/>
  <c r="BE42" i="9"/>
  <c r="AY42" i="9"/>
  <c r="AX42" i="9"/>
  <c r="AQ42" i="9"/>
  <c r="AK42" i="9"/>
  <c r="AJ42" i="9"/>
  <c r="AD42" i="9"/>
  <c r="AC42" i="9"/>
  <c r="W42" i="9"/>
  <c r="V42" i="9"/>
  <c r="P42" i="9"/>
  <c r="O42" i="9"/>
  <c r="I42" i="9"/>
  <c r="H42" i="9"/>
  <c r="DU41" i="9"/>
  <c r="DT41" i="9"/>
  <c r="DS41" i="9"/>
  <c r="DR41" i="9"/>
  <c r="DW41" i="9" s="1"/>
  <c r="DJ41" i="9"/>
  <c r="DI41" i="9"/>
  <c r="DC41" i="9"/>
  <c r="DB41" i="9"/>
  <c r="CV41" i="9"/>
  <c r="CU41" i="9"/>
  <c r="CO41" i="9"/>
  <c r="CN41" i="9"/>
  <c r="CH41" i="9"/>
  <c r="CG41" i="9"/>
  <c r="CA41" i="9"/>
  <c r="BZ41" i="9"/>
  <c r="BT41" i="9"/>
  <c r="BS41" i="9"/>
  <c r="BM41" i="9"/>
  <c r="BL41" i="9"/>
  <c r="BF41" i="9"/>
  <c r="BE41" i="9"/>
  <c r="AY41" i="9"/>
  <c r="AX41" i="9"/>
  <c r="AR41" i="9"/>
  <c r="AQ41" i="9"/>
  <c r="AK41" i="9"/>
  <c r="AJ41" i="9"/>
  <c r="AD41" i="9"/>
  <c r="AC41" i="9"/>
  <c r="W41" i="9"/>
  <c r="V41" i="9"/>
  <c r="P41" i="9"/>
  <c r="O41" i="9"/>
  <c r="I41" i="9"/>
  <c r="H41" i="9"/>
  <c r="DU40" i="9"/>
  <c r="DT40" i="9"/>
  <c r="DS40" i="9"/>
  <c r="DR40" i="9"/>
  <c r="DW40" i="9" s="1"/>
  <c r="DJ40" i="9"/>
  <c r="DI40" i="9"/>
  <c r="DC40" i="9"/>
  <c r="DB40" i="9"/>
  <c r="CV40" i="9"/>
  <c r="CU40" i="9"/>
  <c r="CO40" i="9"/>
  <c r="CN40" i="9"/>
  <c r="CH40" i="9"/>
  <c r="CG40" i="9"/>
  <c r="CA40" i="9"/>
  <c r="BZ40" i="9"/>
  <c r="BT40" i="9"/>
  <c r="BS40" i="9"/>
  <c r="BM40" i="9"/>
  <c r="BL40" i="9"/>
  <c r="BF40" i="9"/>
  <c r="BE40" i="9"/>
  <c r="AY40" i="9"/>
  <c r="AX40" i="9"/>
  <c r="AR40" i="9"/>
  <c r="AQ40" i="9"/>
  <c r="AK40" i="9"/>
  <c r="AJ40" i="9"/>
  <c r="AD40" i="9"/>
  <c r="AC40" i="9"/>
  <c r="W40" i="9"/>
  <c r="V40" i="9"/>
  <c r="P40" i="9"/>
  <c r="O40" i="9"/>
  <c r="I40" i="9"/>
  <c r="H40" i="9"/>
  <c r="DU39" i="9"/>
  <c r="DT39" i="9"/>
  <c r="DS39" i="9"/>
  <c r="DR39" i="9"/>
  <c r="DW39" i="9" s="1"/>
  <c r="DJ39" i="9"/>
  <c r="DI39" i="9"/>
  <c r="DC39" i="9"/>
  <c r="DB39" i="9"/>
  <c r="CV39" i="9"/>
  <c r="CU39" i="9"/>
  <c r="CO39" i="9"/>
  <c r="CN39" i="9"/>
  <c r="CH39" i="9"/>
  <c r="CG39" i="9"/>
  <c r="CA39" i="9"/>
  <c r="BZ39" i="9"/>
  <c r="BT39" i="9"/>
  <c r="BS39" i="9"/>
  <c r="BM39" i="9"/>
  <c r="BL39" i="9"/>
  <c r="BF39" i="9"/>
  <c r="BE39" i="9"/>
  <c r="AY39" i="9"/>
  <c r="AX39" i="9"/>
  <c r="AR39" i="9"/>
  <c r="AQ39" i="9"/>
  <c r="AK39" i="9"/>
  <c r="AJ39" i="9"/>
  <c r="AD39" i="9"/>
  <c r="AC39" i="9"/>
  <c r="W39" i="9"/>
  <c r="V39" i="9"/>
  <c r="P39" i="9"/>
  <c r="O39" i="9"/>
  <c r="I39" i="9"/>
  <c r="H39" i="9"/>
  <c r="DU38" i="9"/>
  <c r="DT38" i="9"/>
  <c r="DS38" i="9"/>
  <c r="DR38" i="9"/>
  <c r="DW38" i="9" s="1"/>
  <c r="DJ38" i="9"/>
  <c r="DI38" i="9"/>
  <c r="DC38" i="9"/>
  <c r="DB38" i="9"/>
  <c r="CV38" i="9"/>
  <c r="CU38" i="9"/>
  <c r="CO38" i="9"/>
  <c r="CN38" i="9"/>
  <c r="CH38" i="9"/>
  <c r="CG38" i="9"/>
  <c r="CA38" i="9"/>
  <c r="BZ38" i="9"/>
  <c r="BT38" i="9"/>
  <c r="BS38" i="9"/>
  <c r="BM38" i="9"/>
  <c r="BL38" i="9"/>
  <c r="BF38" i="9"/>
  <c r="BE38" i="9"/>
  <c r="AY38" i="9"/>
  <c r="AX38" i="9"/>
  <c r="AR38" i="9"/>
  <c r="AQ38" i="9"/>
  <c r="AK38" i="9"/>
  <c r="AJ38" i="9"/>
  <c r="AD38" i="9"/>
  <c r="AC38" i="9"/>
  <c r="W38" i="9"/>
  <c r="V38" i="9"/>
  <c r="P38" i="9"/>
  <c r="O38" i="9"/>
  <c r="I38" i="9"/>
  <c r="H38" i="9"/>
  <c r="DU37" i="9"/>
  <c r="DT37" i="9"/>
  <c r="DS37" i="9"/>
  <c r="DR37" i="9"/>
  <c r="DW37" i="9" s="1"/>
  <c r="DJ37" i="9"/>
  <c r="DI37" i="9"/>
  <c r="DC37" i="9"/>
  <c r="DB37" i="9"/>
  <c r="CV37" i="9"/>
  <c r="CU37" i="9"/>
  <c r="CO37" i="9"/>
  <c r="CN37" i="9"/>
  <c r="CH37" i="9"/>
  <c r="CG37" i="9"/>
  <c r="CA37" i="9"/>
  <c r="BZ37" i="9"/>
  <c r="BT37" i="9"/>
  <c r="BS37" i="9"/>
  <c r="BM37" i="9"/>
  <c r="BL37" i="9"/>
  <c r="BF37" i="9"/>
  <c r="BE37" i="9"/>
  <c r="AY37" i="9"/>
  <c r="AX37" i="9"/>
  <c r="AR37" i="9"/>
  <c r="AQ37" i="9"/>
  <c r="AK37" i="9"/>
  <c r="AJ37" i="9"/>
  <c r="AD37" i="9"/>
  <c r="AC37" i="9"/>
  <c r="W37" i="9"/>
  <c r="V37" i="9"/>
  <c r="P37" i="9"/>
  <c r="O37" i="9"/>
  <c r="I37" i="9"/>
  <c r="H37" i="9"/>
  <c r="DU36" i="9"/>
  <c r="DT36" i="9"/>
  <c r="DS36" i="9"/>
  <c r="DR36" i="9"/>
  <c r="DW36" i="9" s="1"/>
  <c r="DJ36" i="9"/>
  <c r="DI36" i="9"/>
  <c r="DC36" i="9"/>
  <c r="DB36" i="9"/>
  <c r="CV36" i="9"/>
  <c r="CU36" i="9"/>
  <c r="CO36" i="9"/>
  <c r="CN36" i="9"/>
  <c r="CH36" i="9"/>
  <c r="CG36" i="9"/>
  <c r="CA36" i="9"/>
  <c r="BZ36" i="9"/>
  <c r="BT36" i="9"/>
  <c r="BS36" i="9"/>
  <c r="BM36" i="9"/>
  <c r="BL36" i="9"/>
  <c r="BF36" i="9"/>
  <c r="BE36" i="9"/>
  <c r="AY36" i="9"/>
  <c r="AX36" i="9"/>
  <c r="AR36" i="9"/>
  <c r="AQ36" i="9"/>
  <c r="AK36" i="9"/>
  <c r="AJ36" i="9"/>
  <c r="AD36" i="9"/>
  <c r="AC36" i="9"/>
  <c r="W36" i="9"/>
  <c r="V36" i="9"/>
  <c r="P36" i="9"/>
  <c r="O36" i="9"/>
  <c r="I36" i="9"/>
  <c r="H36" i="9"/>
  <c r="DU35" i="9"/>
  <c r="DT35" i="9"/>
  <c r="DS35" i="9"/>
  <c r="DR35" i="9"/>
  <c r="DW35" i="9" s="1"/>
  <c r="DJ35" i="9"/>
  <c r="DI35" i="9"/>
  <c r="DC35" i="9"/>
  <c r="DB35" i="9"/>
  <c r="CV35" i="9"/>
  <c r="CU35" i="9"/>
  <c r="CO35" i="9"/>
  <c r="CN35" i="9"/>
  <c r="CH35" i="9"/>
  <c r="CG35" i="9"/>
  <c r="CA35" i="9"/>
  <c r="BZ35" i="9"/>
  <c r="BT35" i="9"/>
  <c r="BS35" i="9"/>
  <c r="BM35" i="9"/>
  <c r="BL35" i="9"/>
  <c r="BF35" i="9"/>
  <c r="BE35" i="9"/>
  <c r="AY35" i="9"/>
  <c r="AX35" i="9"/>
  <c r="AR35" i="9"/>
  <c r="AQ35" i="9"/>
  <c r="AK35" i="9"/>
  <c r="AJ35" i="9"/>
  <c r="AD35" i="9"/>
  <c r="AC35" i="9"/>
  <c r="W35" i="9"/>
  <c r="V35" i="9"/>
  <c r="P35" i="9"/>
  <c r="O35" i="9"/>
  <c r="I35" i="9"/>
  <c r="H35" i="9"/>
  <c r="DU34" i="9"/>
  <c r="DT34" i="9"/>
  <c r="DS34" i="9"/>
  <c r="DR34" i="9"/>
  <c r="DW34" i="9" s="1"/>
  <c r="DJ34" i="9"/>
  <c r="DI34" i="9"/>
  <c r="DC34" i="9"/>
  <c r="DB34" i="9"/>
  <c r="CV34" i="9"/>
  <c r="CU34" i="9"/>
  <c r="CO34" i="9"/>
  <c r="CN34" i="9"/>
  <c r="CH34" i="9"/>
  <c r="CG34" i="9"/>
  <c r="CA34" i="9"/>
  <c r="BZ34" i="9"/>
  <c r="BT34" i="9"/>
  <c r="BS34" i="9"/>
  <c r="BM34" i="9"/>
  <c r="BL34" i="9"/>
  <c r="BF34" i="9"/>
  <c r="BE34" i="9"/>
  <c r="AY34" i="9"/>
  <c r="AX34" i="9"/>
  <c r="AR34" i="9"/>
  <c r="AQ34" i="9"/>
  <c r="AK34" i="9"/>
  <c r="AJ34" i="9"/>
  <c r="AD34" i="9"/>
  <c r="AC34" i="9"/>
  <c r="W34" i="9"/>
  <c r="V34" i="9"/>
  <c r="P34" i="9"/>
  <c r="O34" i="9"/>
  <c r="I34" i="9"/>
  <c r="H34" i="9"/>
  <c r="DU33" i="9"/>
  <c r="DT33" i="9"/>
  <c r="DS33" i="9"/>
  <c r="DR33" i="9"/>
  <c r="DW33" i="9" s="1"/>
  <c r="DJ33" i="9"/>
  <c r="DI33" i="9"/>
  <c r="DC33" i="9"/>
  <c r="DB33" i="9"/>
  <c r="CV33" i="9"/>
  <c r="CU33" i="9"/>
  <c r="CO33" i="9"/>
  <c r="CN33" i="9"/>
  <c r="CH33" i="9"/>
  <c r="CG33" i="9"/>
  <c r="CA33" i="9"/>
  <c r="BZ33" i="9"/>
  <c r="BT33" i="9"/>
  <c r="BS33" i="9"/>
  <c r="BM33" i="9"/>
  <c r="BL33" i="9"/>
  <c r="BF33" i="9"/>
  <c r="BE33" i="9"/>
  <c r="AY33" i="9"/>
  <c r="AX33" i="9"/>
  <c r="AR33" i="9"/>
  <c r="AQ33" i="9"/>
  <c r="AK33" i="9"/>
  <c r="AJ33" i="9"/>
  <c r="AD33" i="9"/>
  <c r="AC33" i="9"/>
  <c r="W33" i="9"/>
  <c r="V33" i="9"/>
  <c r="P33" i="9"/>
  <c r="O33" i="9"/>
  <c r="I33" i="9"/>
  <c r="H33" i="9"/>
  <c r="DU32" i="9"/>
  <c r="DT32" i="9"/>
  <c r="DS32" i="9"/>
  <c r="DR32" i="9"/>
  <c r="DW32" i="9" s="1"/>
  <c r="DJ32" i="9"/>
  <c r="DI32" i="9"/>
  <c r="DC32" i="9"/>
  <c r="DB32" i="9"/>
  <c r="CV32" i="9"/>
  <c r="CU32" i="9"/>
  <c r="CO32" i="9"/>
  <c r="CN32" i="9"/>
  <c r="CH32" i="9"/>
  <c r="CG32" i="9"/>
  <c r="CA32" i="9"/>
  <c r="BZ32" i="9"/>
  <c r="BT32" i="9"/>
  <c r="BS32" i="9"/>
  <c r="BM32" i="9"/>
  <c r="BL32" i="9"/>
  <c r="BF32" i="9"/>
  <c r="BE32" i="9"/>
  <c r="AY32" i="9"/>
  <c r="AX32" i="9"/>
  <c r="AR32" i="9"/>
  <c r="AQ32" i="9"/>
  <c r="AK32" i="9"/>
  <c r="AJ32" i="9"/>
  <c r="AD32" i="9"/>
  <c r="AC32" i="9"/>
  <c r="W32" i="9"/>
  <c r="V32" i="9"/>
  <c r="P32" i="9"/>
  <c r="O32" i="9"/>
  <c r="I32" i="9"/>
  <c r="H32" i="9"/>
  <c r="DU31" i="9"/>
  <c r="DT31" i="9"/>
  <c r="DS31" i="9"/>
  <c r="DR31" i="9"/>
  <c r="DW31" i="9" s="1"/>
  <c r="DJ31" i="9"/>
  <c r="DI31" i="9"/>
  <c r="DC31" i="9"/>
  <c r="DB31" i="9"/>
  <c r="CV31" i="9"/>
  <c r="CU31" i="9"/>
  <c r="CO31" i="9"/>
  <c r="CN31" i="9"/>
  <c r="CH31" i="9"/>
  <c r="CG31" i="9"/>
  <c r="CA31" i="9"/>
  <c r="BZ31" i="9"/>
  <c r="BT31" i="9"/>
  <c r="BS31" i="9"/>
  <c r="BM31" i="9"/>
  <c r="BL31" i="9"/>
  <c r="BF31" i="9"/>
  <c r="BE31" i="9"/>
  <c r="AY31" i="9"/>
  <c r="AX31" i="9"/>
  <c r="AR31" i="9"/>
  <c r="AQ31" i="9"/>
  <c r="AK31" i="9"/>
  <c r="AJ31" i="9"/>
  <c r="AD31" i="9"/>
  <c r="AC31" i="9"/>
  <c r="W31" i="9"/>
  <c r="V31" i="9"/>
  <c r="P31" i="9"/>
  <c r="O31" i="9"/>
  <c r="I31" i="9"/>
  <c r="H31" i="9"/>
  <c r="DU30" i="9"/>
  <c r="DT30" i="9"/>
  <c r="DS30" i="9"/>
  <c r="DR30" i="9"/>
  <c r="DW30" i="9" s="1"/>
  <c r="DJ30" i="9"/>
  <c r="DI30" i="9"/>
  <c r="DC30" i="9"/>
  <c r="DB30" i="9"/>
  <c r="CV30" i="9"/>
  <c r="CU30" i="9"/>
  <c r="CO30" i="9"/>
  <c r="CN30" i="9"/>
  <c r="CH30" i="9"/>
  <c r="CG30" i="9"/>
  <c r="CA30" i="9"/>
  <c r="BZ30" i="9"/>
  <c r="BT30" i="9"/>
  <c r="BS30" i="9"/>
  <c r="BM30" i="9"/>
  <c r="BL30" i="9"/>
  <c r="BF30" i="9"/>
  <c r="BE30" i="9"/>
  <c r="AY30" i="9"/>
  <c r="AX30" i="9"/>
  <c r="AR30" i="9"/>
  <c r="AQ30" i="9"/>
  <c r="AK30" i="9"/>
  <c r="AJ30" i="9"/>
  <c r="AD30" i="9"/>
  <c r="AC30" i="9"/>
  <c r="W30" i="9"/>
  <c r="V30" i="9"/>
  <c r="P30" i="9"/>
  <c r="O30" i="9"/>
  <c r="I30" i="9"/>
  <c r="H30" i="9"/>
  <c r="DU29" i="9"/>
  <c r="DT29" i="9"/>
  <c r="DS29" i="9"/>
  <c r="DR29" i="9"/>
  <c r="DW29" i="9" s="1"/>
  <c r="DJ29" i="9"/>
  <c r="DI29" i="9"/>
  <c r="DC29" i="9"/>
  <c r="DB29" i="9"/>
  <c r="CV29" i="9"/>
  <c r="CU29" i="9"/>
  <c r="CO29" i="9"/>
  <c r="CN29" i="9"/>
  <c r="CH29" i="9"/>
  <c r="CG29" i="9"/>
  <c r="CA29" i="9"/>
  <c r="BZ29" i="9"/>
  <c r="BT29" i="9"/>
  <c r="BS29" i="9"/>
  <c r="BM29" i="9"/>
  <c r="BL29" i="9"/>
  <c r="BF29" i="9"/>
  <c r="BE29" i="9"/>
  <c r="AY29" i="9"/>
  <c r="AX29" i="9"/>
  <c r="AR29" i="9"/>
  <c r="AQ29" i="9"/>
  <c r="AK29" i="9"/>
  <c r="AJ29" i="9"/>
  <c r="AD29" i="9"/>
  <c r="AC29" i="9"/>
  <c r="W29" i="9"/>
  <c r="V29" i="9"/>
  <c r="P29" i="9"/>
  <c r="O29" i="9"/>
  <c r="I29" i="9"/>
  <c r="H29" i="9"/>
  <c r="DU28" i="9"/>
  <c r="DT28" i="9"/>
  <c r="DS28" i="9"/>
  <c r="DR28" i="9"/>
  <c r="DW28" i="9" s="1"/>
  <c r="DJ28" i="9"/>
  <c r="DI28" i="9"/>
  <c r="DC28" i="9"/>
  <c r="DB28" i="9"/>
  <c r="CV28" i="9"/>
  <c r="CU28" i="9"/>
  <c r="CO28" i="9"/>
  <c r="CN28" i="9"/>
  <c r="CH28" i="9"/>
  <c r="CG28" i="9"/>
  <c r="CA28" i="9"/>
  <c r="BZ28" i="9"/>
  <c r="BT28" i="9"/>
  <c r="BS28" i="9"/>
  <c r="BM28" i="9"/>
  <c r="BL28" i="9"/>
  <c r="BF28" i="9"/>
  <c r="BE28" i="9"/>
  <c r="AY28" i="9"/>
  <c r="AX28" i="9"/>
  <c r="AR28" i="9"/>
  <c r="AQ28" i="9"/>
  <c r="AK28" i="9"/>
  <c r="AJ28" i="9"/>
  <c r="AD28" i="9"/>
  <c r="AC28" i="9"/>
  <c r="W28" i="9"/>
  <c r="V28" i="9"/>
  <c r="P28" i="9"/>
  <c r="O28" i="9"/>
  <c r="I28" i="9"/>
  <c r="H28" i="9"/>
  <c r="DV73" i="9" l="1"/>
  <c r="DV57" i="9"/>
  <c r="DV95" i="9"/>
  <c r="DV99" i="9"/>
  <c r="DV41" i="9"/>
  <c r="DV106" i="9"/>
  <c r="DV101" i="9"/>
  <c r="DV90" i="9"/>
  <c r="DV31" i="9"/>
  <c r="DV33" i="9"/>
  <c r="DV47" i="9"/>
  <c r="DV49" i="9"/>
  <c r="DV52" i="9"/>
  <c r="DV86" i="9"/>
  <c r="DV88" i="9"/>
  <c r="DV98" i="9"/>
  <c r="DV61" i="9"/>
  <c r="DV63" i="9"/>
  <c r="DV65" i="9"/>
  <c r="DV67" i="9"/>
  <c r="DV68" i="9"/>
  <c r="DV92" i="9"/>
  <c r="DV94" i="9"/>
  <c r="DV102" i="9"/>
  <c r="DV110" i="9"/>
  <c r="DV36" i="9"/>
  <c r="W119" i="9"/>
  <c r="AY118" i="9"/>
  <c r="AY119" i="9"/>
  <c r="DV77" i="9"/>
  <c r="DV79" i="9"/>
  <c r="DV81" i="9"/>
  <c r="DV83" i="9"/>
  <c r="DV84" i="9"/>
  <c r="DV108" i="9"/>
  <c r="DV114" i="9"/>
  <c r="DW42" i="9"/>
  <c r="AR42" i="9" s="1"/>
  <c r="AR119" i="9" s="1"/>
  <c r="W118" i="9"/>
  <c r="W120" i="9" s="1"/>
  <c r="CA119" i="9"/>
  <c r="DV37" i="9"/>
  <c r="DV43" i="9"/>
  <c r="DV53" i="9"/>
  <c r="DV59" i="9"/>
  <c r="DV69" i="9"/>
  <c r="DV75" i="9"/>
  <c r="DV85" i="9"/>
  <c r="DV87" i="9"/>
  <c r="DV89" i="9"/>
  <c r="DV96" i="9"/>
  <c r="DV103" i="9"/>
  <c r="DV105" i="9"/>
  <c r="DV115" i="9"/>
  <c r="DV39" i="9"/>
  <c r="DV44" i="9"/>
  <c r="DV55" i="9"/>
  <c r="DV60" i="9"/>
  <c r="DV71" i="9"/>
  <c r="DV76" i="9"/>
  <c r="DV91" i="9"/>
  <c r="DV93" i="9"/>
  <c r="DV100" i="9"/>
  <c r="DV107" i="9"/>
  <c r="DV111" i="9"/>
  <c r="DV116" i="9"/>
  <c r="AD119" i="9"/>
  <c r="BF119" i="9"/>
  <c r="CH119" i="9"/>
  <c r="DJ119" i="9"/>
  <c r="DV28" i="9"/>
  <c r="DV29" i="9"/>
  <c r="DV35" i="9"/>
  <c r="DV45" i="9"/>
  <c r="DV51" i="9"/>
  <c r="DV97" i="9"/>
  <c r="DV104" i="9"/>
  <c r="DV112" i="9"/>
  <c r="AR118" i="9"/>
  <c r="DV50" i="9"/>
  <c r="DV58" i="9"/>
  <c r="DV66" i="9"/>
  <c r="DV82" i="9"/>
  <c r="CA118" i="9"/>
  <c r="CO119" i="9"/>
  <c r="CO118" i="9"/>
  <c r="DV32" i="9"/>
  <c r="DV30" i="9"/>
  <c r="DV38" i="9"/>
  <c r="DV46" i="9"/>
  <c r="DV54" i="9"/>
  <c r="DV62" i="9"/>
  <c r="DV70" i="9"/>
  <c r="DV78" i="9"/>
  <c r="P118" i="9"/>
  <c r="P119" i="9"/>
  <c r="BT118" i="9"/>
  <c r="BT119" i="9"/>
  <c r="CV118" i="9"/>
  <c r="CV119" i="9"/>
  <c r="BF118" i="9"/>
  <c r="DV34" i="9"/>
  <c r="DV42" i="9"/>
  <c r="DV74" i="9"/>
  <c r="CH118" i="9"/>
  <c r="CH120" i="9" s="1"/>
  <c r="I119" i="9"/>
  <c r="I118" i="9"/>
  <c r="AK119" i="9"/>
  <c r="AK118" i="9"/>
  <c r="BM119" i="9"/>
  <c r="BM118" i="9"/>
  <c r="DC118" i="9"/>
  <c r="DV40" i="9"/>
  <c r="DV48" i="9"/>
  <c r="DV56" i="9"/>
  <c r="DV64" i="9"/>
  <c r="DV72" i="9"/>
  <c r="DV80" i="9"/>
  <c r="DV109" i="9"/>
  <c r="DV113" i="9"/>
  <c r="DV117" i="9"/>
  <c r="AD118" i="9"/>
  <c r="DJ118" i="9"/>
  <c r="DC119" i="9"/>
  <c r="AD120" i="9" l="1"/>
  <c r="AY120" i="9"/>
  <c r="CO120" i="9"/>
  <c r="CA120" i="9"/>
  <c r="BF120" i="9"/>
  <c r="DJ120" i="9"/>
  <c r="BM120" i="9"/>
  <c r="I120" i="9"/>
  <c r="B118" i="9"/>
  <c r="P120" i="9"/>
  <c r="B119" i="9"/>
  <c r="AR120" i="9"/>
  <c r="DC120" i="9"/>
  <c r="CV120" i="9"/>
  <c r="AK120" i="9"/>
  <c r="BT120" i="9"/>
  <c r="B120" i="9" l="1"/>
</calcChain>
</file>

<file path=xl/comments1.xml><?xml version="1.0" encoding="utf-8"?>
<comments xmlns="http://schemas.openxmlformats.org/spreadsheetml/2006/main">
  <authors>
    <author>User</author>
  </authors>
  <commentList>
    <comment ref="CE51" authorId="0" shapeId="0">
      <text>
        <r>
          <rPr>
            <b/>
            <sz val="9"/>
            <color indexed="81"/>
            <rFont val="Tahoma"/>
            <family val="2"/>
          </rPr>
          <t>Suggested modification: Critical</t>
        </r>
      </text>
    </comment>
  </commentList>
</comments>
</file>

<file path=xl/sharedStrings.xml><?xml version="1.0" encoding="utf-8"?>
<sst xmlns="http://schemas.openxmlformats.org/spreadsheetml/2006/main" count="2540" uniqueCount="1151">
  <si>
    <t>Main item</t>
  </si>
  <si>
    <t>Sub, Item</t>
  </si>
  <si>
    <t>Severity</t>
  </si>
  <si>
    <t>Ok/Not</t>
  </si>
  <si>
    <t>Main PWR cable</t>
  </si>
  <si>
    <t>Critical</t>
  </si>
  <si>
    <t>Teams</t>
  </si>
  <si>
    <t>Description &amp; Action</t>
  </si>
  <si>
    <t>Minor</t>
  </si>
  <si>
    <t>PM</t>
  </si>
  <si>
    <t>2</t>
  </si>
  <si>
    <t>PWR Meter Panel</t>
  </si>
  <si>
    <t>Panel Label , Door frame , lock</t>
  </si>
  <si>
    <t>GEDP</t>
  </si>
  <si>
    <t>Sharing Panel</t>
  </si>
  <si>
    <t xml:space="preserve">Connection tightness by using Terminals </t>
  </si>
  <si>
    <t>Surge Panel</t>
  </si>
  <si>
    <t>CB rating (20A /25KA)</t>
  </si>
  <si>
    <t>Major</t>
  </si>
  <si>
    <t>Cooling Sys.</t>
  </si>
  <si>
    <t xml:space="preserve"> PM</t>
  </si>
  <si>
    <t>water evacuation drain / water leakage</t>
  </si>
  <si>
    <t>alarms , reporting to OMC</t>
  </si>
  <si>
    <t xml:space="preserve">Terminals for all connections / </t>
  </si>
  <si>
    <t>Rectifier</t>
  </si>
  <si>
    <t>Batteries</t>
  </si>
  <si>
    <t>Fire System</t>
  </si>
  <si>
    <t>cover for DDF , Cover for KRONE</t>
  </si>
  <si>
    <t>Civil Work</t>
  </si>
  <si>
    <t xml:space="preserve">Fence &amp; guard room status  </t>
  </si>
  <si>
    <t xml:space="preserve">Fence gate &amp;  lock status </t>
  </si>
  <si>
    <t>Safety wire status</t>
  </si>
  <si>
    <t>DC night beacon on top of each tower (towers over 45m another beacon will be installed in the middle of tower)</t>
  </si>
  <si>
    <t>Connectors isolation from both ends</t>
  </si>
  <si>
    <t>Labels of feeders from both sides</t>
  </si>
  <si>
    <t>Maximum bending radius for feeders &amp; jumpers</t>
  </si>
  <si>
    <t>Side arms status, earth &amp; fixation</t>
  </si>
  <si>
    <t>Fence gate sensors and its connection / Tested with OMC</t>
  </si>
  <si>
    <t xml:space="preserve">Grillage fixation, earth &amp; grease for screws </t>
  </si>
  <si>
    <t xml:space="preserve">Equipment slab status and isolation </t>
  </si>
  <si>
    <t>Palm tree trunk section camouflage (scratch/damage)</t>
  </si>
  <si>
    <t>Palm tree fronds (broken/fallen)</t>
  </si>
  <si>
    <t>Feeders carrying wire inside the palm tree (condition/tension )</t>
  </si>
  <si>
    <t>Palm tree base grouting not exist</t>
  </si>
  <si>
    <t>Critical/Minor</t>
  </si>
  <si>
    <t>Door/frame fixation that affects door from open easily or close firmly</t>
  </si>
  <si>
    <t>Door lock/handle that affects door from open easily or close firmly</t>
  </si>
  <si>
    <t>Liquid penetration/leakage (e.g. rain, aggregated water, major diesel, major oil, etc…)</t>
  </si>
  <si>
    <t>Critical if rusty and not fixed well</t>
  </si>
  <si>
    <t>Fence</t>
  </si>
  <si>
    <t>Antenna support</t>
  </si>
  <si>
    <t>Shelter</t>
  </si>
  <si>
    <t>101</t>
  </si>
  <si>
    <t>102</t>
  </si>
  <si>
    <t>201</t>
  </si>
  <si>
    <t>202</t>
  </si>
  <si>
    <t>203</t>
  </si>
  <si>
    <t>204</t>
  </si>
  <si>
    <t>205</t>
  </si>
  <si>
    <t>206</t>
  </si>
  <si>
    <t>301</t>
  </si>
  <si>
    <t>302</t>
  </si>
  <si>
    <t>303</t>
  </si>
  <si>
    <t>304</t>
  </si>
  <si>
    <t>305</t>
  </si>
  <si>
    <t>306</t>
  </si>
  <si>
    <t>307</t>
  </si>
  <si>
    <t>401</t>
  </si>
  <si>
    <t>402</t>
  </si>
  <si>
    <t>403</t>
  </si>
  <si>
    <t>404</t>
  </si>
  <si>
    <t>405</t>
  </si>
  <si>
    <t>406</t>
  </si>
  <si>
    <t>501</t>
  </si>
  <si>
    <t>502</t>
  </si>
  <si>
    <t>503</t>
  </si>
  <si>
    <t>504</t>
  </si>
  <si>
    <t>505</t>
  </si>
  <si>
    <t>601</t>
  </si>
  <si>
    <t>602</t>
  </si>
  <si>
    <t>603</t>
  </si>
  <si>
    <t>604</t>
  </si>
  <si>
    <t>605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</si>
  <si>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</si>
  <si>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</si>
  <si>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</si>
  <si>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</si>
  <si>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</si>
  <si>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</si>
  <si>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</si>
  <si>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</si>
  <si>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</si>
  <si>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</si>
  <si>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</si>
  <si>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801</t>
  </si>
  <si>
    <t>802</t>
  </si>
  <si>
    <t>803</t>
  </si>
  <si>
    <t>804</t>
  </si>
  <si>
    <t>805</t>
  </si>
  <si>
    <t>806</t>
  </si>
  <si>
    <t>807</t>
  </si>
  <si>
    <t>901</t>
  </si>
  <si>
    <t>902</t>
  </si>
  <si>
    <t>903</t>
  </si>
  <si>
    <t>904</t>
  </si>
  <si>
    <t>905</t>
  </si>
  <si>
    <t>1001</t>
  </si>
  <si>
    <t>1002</t>
  </si>
  <si>
    <t>1003</t>
  </si>
  <si>
    <t>1005</t>
  </si>
  <si>
    <t>1006</t>
  </si>
  <si>
    <t>1007</t>
  </si>
  <si>
    <t>1101</t>
  </si>
  <si>
    <t>1102</t>
  </si>
  <si>
    <t>1103</t>
  </si>
  <si>
    <t>1104</t>
  </si>
  <si>
    <t>1201</t>
  </si>
  <si>
    <t>1202</t>
  </si>
  <si>
    <t>1203</t>
  </si>
  <si>
    <t>1204</t>
  </si>
  <si>
    <t>1206</t>
  </si>
  <si>
    <t>1207</t>
  </si>
  <si>
    <t>1208</t>
  </si>
  <si>
    <t>1209</t>
  </si>
  <si>
    <t>Earth Sys</t>
  </si>
  <si>
    <t>Site earth system according to specifications</t>
  </si>
  <si>
    <t>All connections secured properly</t>
  </si>
  <si>
    <t>Earthing measurement value less than 5 ohms</t>
  </si>
  <si>
    <t>1301</t>
  </si>
  <si>
    <t>1302</t>
  </si>
  <si>
    <t>1303</t>
  </si>
  <si>
    <t>1304</t>
  </si>
  <si>
    <t>1305</t>
  </si>
  <si>
    <t>1306</t>
  </si>
  <si>
    <t>1307</t>
  </si>
  <si>
    <t>1401</t>
  </si>
  <si>
    <t>1402</t>
  </si>
  <si>
    <t>1403</t>
  </si>
  <si>
    <t>1404</t>
  </si>
  <si>
    <t>1405</t>
  </si>
  <si>
    <t>Existence of cage for GF site &amp; not secured sites</t>
  </si>
  <si>
    <t>lock with area number existence &amp; its condition</t>
  </si>
  <si>
    <t>1501</t>
  </si>
  <si>
    <t>1502</t>
  </si>
  <si>
    <t>1503</t>
  </si>
  <si>
    <t>1504</t>
  </si>
  <si>
    <t>Door &amp; HT alarms operation</t>
  </si>
  <si>
    <t>Fans proper operation</t>
  </si>
  <si>
    <t>labels for sensors &amp; sensors cables</t>
  </si>
  <si>
    <t>1601</t>
  </si>
  <si>
    <t>1602</t>
  </si>
  <si>
    <t>1603</t>
  </si>
  <si>
    <t>1604</t>
  </si>
  <si>
    <t>1605</t>
  </si>
  <si>
    <t>MW Link installations</t>
  </si>
  <si>
    <t>ID unit fixation, earth &amp; label</t>
  </si>
  <si>
    <t>Cables arrangement &amp; labels</t>
  </si>
  <si>
    <t>1701</t>
  </si>
  <si>
    <t>1702</t>
  </si>
  <si>
    <t>1703</t>
  </si>
  <si>
    <t>1801</t>
  </si>
  <si>
    <t>1802</t>
  </si>
  <si>
    <t>1901</t>
  </si>
  <si>
    <t>Radio Eq , Fiber inst.</t>
  </si>
  <si>
    <t>Fiber cable labels</t>
  </si>
  <si>
    <t>Fiber cable fixation on tower with clamps</t>
  </si>
  <si>
    <t xml:space="preserve">Fiber cable arrangement inside cable tray </t>
  </si>
  <si>
    <t>1902</t>
  </si>
  <si>
    <t>1903</t>
  </si>
  <si>
    <t>1904</t>
  </si>
  <si>
    <t>1905</t>
  </si>
  <si>
    <t>Unused Materials</t>
  </si>
  <si>
    <t>2001</t>
  </si>
  <si>
    <t>2002</t>
  </si>
  <si>
    <t>Miscellaneous</t>
  </si>
  <si>
    <t>Field Eng. Can add any other items not covered and its severity as well</t>
  </si>
  <si>
    <t>Cleaning</t>
  </si>
  <si>
    <t>207</t>
  </si>
  <si>
    <t>208</t>
  </si>
  <si>
    <t>Door frame ,lock</t>
  </si>
  <si>
    <t xml:space="preserve">Cleaning </t>
  </si>
  <si>
    <t>Detectors / sensors for HI temp and smoke - reporting to OMC</t>
  </si>
  <si>
    <t>cleaning</t>
  </si>
  <si>
    <t>407</t>
  </si>
  <si>
    <t>606</t>
  </si>
  <si>
    <t>607</t>
  </si>
  <si>
    <t>Connection tightness by using Terminals &amp; lugs</t>
  </si>
  <si>
    <t>protection &amp;Cable arrangement</t>
  </si>
  <si>
    <t>506</t>
  </si>
  <si>
    <t>507</t>
  </si>
  <si>
    <t>508</t>
  </si>
  <si>
    <t>509</t>
  </si>
  <si>
    <t>510</t>
  </si>
  <si>
    <t>608</t>
  </si>
  <si>
    <t xml:space="preserve">All units must be " fixed , earthed , </t>
  </si>
  <si>
    <t>Cleaning for all units  /</t>
  </si>
  <si>
    <t xml:space="preserve">HI vibration </t>
  </si>
  <si>
    <t>Rect, readings (0) ,+ve must be connected with earth</t>
  </si>
  <si>
    <t>Batteries charging current unlimited per the manufacturer specs</t>
  </si>
  <si>
    <t>808</t>
  </si>
  <si>
    <t>809</t>
  </si>
  <si>
    <t>906</t>
  </si>
  <si>
    <t>907</t>
  </si>
  <si>
    <t>908</t>
  </si>
  <si>
    <t>909</t>
  </si>
  <si>
    <t>critical</t>
  </si>
  <si>
    <t>1008</t>
  </si>
  <si>
    <t>1009</t>
  </si>
  <si>
    <t>1010</t>
  </si>
  <si>
    <t>1012</t>
  </si>
  <si>
    <t>DDF + Eqs</t>
  </si>
  <si>
    <t>all devices are labeled</t>
  </si>
  <si>
    <t>Cables termination/lugs (AC side), lugs (DC side)</t>
  </si>
  <si>
    <t>1105</t>
  </si>
  <si>
    <t>1106</t>
  </si>
  <si>
    <t>1107</t>
  </si>
  <si>
    <t>1108</t>
  </si>
  <si>
    <t>1109</t>
  </si>
  <si>
    <t>1110</t>
  </si>
  <si>
    <t>1111</t>
  </si>
  <si>
    <t>1112</t>
  </si>
  <si>
    <t>PWR SYS / Staplizer /UPS</t>
  </si>
  <si>
    <t>Label unit/components</t>
  </si>
  <si>
    <t>Unit must be fixed , earthed , sealed</t>
  </si>
  <si>
    <t xml:space="preserve">Clean (not normal dust) </t>
  </si>
  <si>
    <t>Alarms on equipment (excluding ADM) /reporting to the OMC</t>
  </si>
  <si>
    <t>Cables termination/lugs (AC side), lugs (DC side), tightness</t>
  </si>
  <si>
    <t>Solar Cells (PV) System</t>
  </si>
  <si>
    <t>Alarms on equipment  /reporting to the OMC</t>
  </si>
  <si>
    <t>1308</t>
  </si>
  <si>
    <t>1309</t>
  </si>
  <si>
    <t>1310</t>
  </si>
  <si>
    <t>1311</t>
  </si>
  <si>
    <t>1312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</si>
  <si>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</si>
  <si>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</si>
  <si>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</si>
  <si>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</si>
  <si>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</si>
  <si>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</si>
  <si>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</si>
  <si>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</si>
  <si>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</si>
  <si>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</si>
  <si>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1505</t>
  </si>
  <si>
    <t>1506</t>
  </si>
  <si>
    <t>1507</t>
  </si>
  <si>
    <t>1803</t>
  </si>
  <si>
    <t>2101</t>
  </si>
  <si>
    <t>2102</t>
  </si>
  <si>
    <t>2201</t>
  </si>
  <si>
    <t>2202</t>
  </si>
  <si>
    <t>2301</t>
  </si>
  <si>
    <t>2302</t>
  </si>
  <si>
    <t>strings , rack earthed</t>
  </si>
  <si>
    <t xml:space="preserve">Tower &amp; mast fixation (members, screws ,washers &amp; nuts) corrosion status </t>
  </si>
  <si>
    <t>liquid penetration/leakage (e.g. rain, aggregated water, ……</t>
  </si>
  <si>
    <t>Barbed wires &amp; support  status</t>
  </si>
  <si>
    <t xml:space="preserve">Fence cracks </t>
  </si>
  <si>
    <t>Generator</t>
  </si>
  <si>
    <t>Civil cracks</t>
  </si>
  <si>
    <t>Measurements out of range (V/I/Freq./WT/OP/RPM)</t>
  </si>
  <si>
    <t>Exhaust pipes insulation/fixation/kit</t>
  </si>
  <si>
    <t>Air breather vapor status</t>
  </si>
  <si>
    <t>Filters condition oil/fuel/air</t>
  </si>
  <si>
    <t>Oil level &amp; quality</t>
  </si>
  <si>
    <t>Door lock/handle / frame fixation that affects door from open easily or close firmly</t>
  </si>
  <si>
    <t>Alarms on equipment (excluding ADM) , reporting to OMC</t>
  </si>
  <si>
    <t>Cables protection (e.g. floating/[sharp edges in trays/ducts/conduits]) , Connections tightness by terminals or lugs</t>
  </si>
  <si>
    <t>408</t>
  </si>
  <si>
    <t>511</t>
  </si>
  <si>
    <t>512</t>
  </si>
  <si>
    <t>514</t>
  </si>
  <si>
    <t>515</t>
  </si>
  <si>
    <t>516</t>
  </si>
  <si>
    <t>517</t>
  </si>
  <si>
    <t>518</t>
  </si>
  <si>
    <t>519</t>
  </si>
  <si>
    <t>520</t>
  </si>
  <si>
    <t>910</t>
  </si>
  <si>
    <t>1013</t>
  </si>
  <si>
    <t>1113</t>
  </si>
  <si>
    <t>1114</t>
  </si>
  <si>
    <t>1115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</si>
  <si>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</si>
  <si>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</si>
  <si>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</si>
  <si>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</si>
  <si>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</si>
  <si>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</si>
  <si>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</si>
  <si>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</si>
  <si>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</si>
  <si>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</si>
  <si>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</si>
  <si>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</si>
  <si>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</si>
  <si>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</si>
  <si>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</si>
  <si>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</si>
  <si>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</si>
  <si>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</si>
  <si>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</si>
  <si>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</si>
  <si>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</si>
  <si>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</si>
  <si>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</si>
  <si>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</si>
  <si>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</si>
  <si>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</si>
  <si>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</si>
  <si>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</si>
  <si>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</si>
  <si>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</si>
  <si>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</si>
  <si>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</si>
  <si>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</si>
  <si>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</si>
  <si>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</si>
  <si>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</si>
  <si>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</si>
  <si>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</si>
  <si>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</si>
  <si>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</si>
  <si>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</si>
  <si>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2003</t>
  </si>
  <si>
    <t>2004</t>
  </si>
  <si>
    <t>2005</t>
  </si>
  <si>
    <t xml:space="preserve"> NO "wrong , illegal , bypass " Connections</t>
  </si>
  <si>
    <t xml:space="preserve">NO Missing Parts </t>
  </si>
  <si>
    <t xml:space="preserve"> NO wrong Connections or Faulty components </t>
  </si>
  <si>
    <t>Panel status " rust &amp; Corrosion"</t>
  </si>
  <si>
    <t>NO "Components faulty /Components below rate/Wrong connection"</t>
  </si>
  <si>
    <t>Cables organization /NO wrong penetration</t>
  </si>
  <si>
    <t>Clean (not normal dust) , labels (unit &amp; components) ,Earth plates "cleaning &amp; waxed"</t>
  </si>
  <si>
    <t>NO Components faulty &amp; below rate</t>
  </si>
  <si>
    <t>Unit corrosion Status (else trays)</t>
  </si>
  <si>
    <t>status of sound proof / High vibration/noise level (e.g. faulty rubber bases)</t>
  </si>
  <si>
    <t>NO Missing Parts / stolen</t>
  </si>
  <si>
    <t>Fire extinguisher status (missing/empty/expired/(safety seal)</t>
  </si>
  <si>
    <t>Fire extinguisher fixation</t>
  </si>
  <si>
    <t>PM intervals " schedule"</t>
  </si>
  <si>
    <t>NO Components faulty /Components below rate/Wrong connection</t>
  </si>
  <si>
    <t>NO "Components faulty /Components below rate " CBs"/Wrong connection"</t>
  </si>
  <si>
    <t>Cleaning , Door frame , lock , panel's label</t>
  </si>
  <si>
    <t>O/D Status " rust /Corrosion" &amp; must be  earthed</t>
  </si>
  <si>
    <t>cleaning &amp; no rusty parts</t>
  </si>
  <si>
    <t>no missing parts</t>
  </si>
  <si>
    <t>no wrong connection</t>
  </si>
  <si>
    <t>Modules must be sufficient according to calculations &amp; measurements</t>
  </si>
  <si>
    <t>Saft/Lorain modules must be balanced (LED display/thermal emission)</t>
  </si>
  <si>
    <t>Module operational status</t>
  </si>
  <si>
    <t>Float voltage should be adjusted per the batteries manufacturer specs</t>
  </si>
  <si>
    <t xml:space="preserve"> Batteries status (Carry the site when PWR is OFF)</t>
  </si>
  <si>
    <t>no Missing parts</t>
  </si>
  <si>
    <t>Panel fixation</t>
  </si>
  <si>
    <t>no missing parts (sensors , …….)</t>
  </si>
  <si>
    <t>no wrong penetration</t>
  </si>
  <si>
    <t>Fire alarm operational status "must stop A/Cs and/or generator"</t>
  </si>
  <si>
    <t xml:space="preserve"> panel status (in case metal ) " rust &amp;corrosion "</t>
  </si>
  <si>
    <t>no wrong connections</t>
  </si>
  <si>
    <t>Cables/Jumpers/Coaxial/FO/PCM  penetration</t>
  </si>
  <si>
    <t>Unit must be fixed/ installed well</t>
  </si>
  <si>
    <t>Double roof fixation / status</t>
  </si>
  <si>
    <t>Panel location (outside the shelter or far away from any  Panels)</t>
  </si>
  <si>
    <t>NO  faulty Components / below rating /operation / Missing parts /wrong connections</t>
  </si>
  <si>
    <t>"Panel &amp; CB" Labels , Door frame , lock , Ducts with cover</t>
  </si>
  <si>
    <t xml:space="preserve">CBs Rate (BTS , MW , …… ) </t>
  </si>
  <si>
    <t>Minor / Major</t>
  </si>
  <si>
    <t>Grout under grillage chairs</t>
  </si>
  <si>
    <t xml:space="preserve">No wrong penetration </t>
  </si>
  <si>
    <t>Shelter steps status ( not rusty , fixed , earthed )</t>
  </si>
  <si>
    <t>No Missing Parts (ladder ,…….</t>
  </si>
  <si>
    <t>All earth bars &amp; rods are greased &amp; covered with foil / cleaned plates</t>
  </si>
  <si>
    <t>Lock of cabinet status</t>
  </si>
  <si>
    <t>Critical in case unfixed</t>
  </si>
  <si>
    <t xml:space="preserve">Standard rating for CB </t>
  </si>
  <si>
    <t>2103</t>
  </si>
  <si>
    <t>2104</t>
  </si>
  <si>
    <t>2105</t>
  </si>
  <si>
    <t>2303</t>
  </si>
  <si>
    <t>2304</t>
  </si>
  <si>
    <t>2305</t>
  </si>
  <si>
    <t>no faulty components ( CB , cards ,…..)</t>
  </si>
  <si>
    <t>1116</t>
  </si>
  <si>
    <t>no faulty modules</t>
  </si>
  <si>
    <t>209</t>
  </si>
  <si>
    <t>voltage diff. between N&amp; E &lt; 7V</t>
  </si>
  <si>
    <t>210</t>
  </si>
  <si>
    <t>Rectifier alarms tested with OMC / no alarms in panel</t>
  </si>
  <si>
    <t xml:space="preserve">no wrong connection / secured cable path </t>
  </si>
  <si>
    <t>Temp. sensor location (bet. batteries)</t>
  </si>
  <si>
    <t>battery Rack  rust /corrosion , strings labels</t>
  </si>
  <si>
    <t xml:space="preserve"> labels / organized cables  / waxing  for plates</t>
  </si>
  <si>
    <t>Fire extinguisher status "fixation/missing/empty/expired/safety seal"</t>
  </si>
  <si>
    <t>Cage status ( broken items , lock , corrosion )</t>
  </si>
  <si>
    <t>Shelter floor is earthed , waxing the earth plates , no sharp edges</t>
  </si>
  <si>
    <t xml:space="preserve">no wrong electric connections </t>
  </si>
  <si>
    <t>1549</t>
  </si>
  <si>
    <t>No Extra material inside &amp; outside</t>
  </si>
  <si>
    <t>No Unused assets</t>
  </si>
  <si>
    <t>2203</t>
  </si>
  <si>
    <t>No Flammable junk /trash inside/outside (e.g. plastics, papers, cartoon boxes, etc…)</t>
  </si>
  <si>
    <t>Bolts &amp; nuts of the base (missing/loose/rusty) / NO rust on the TWR units</t>
  </si>
  <si>
    <t>308</t>
  </si>
  <si>
    <t>Unit and its panel  must be fixed , earthed , sealed</t>
  </si>
  <si>
    <t xml:space="preserve">No fetal panel corrosion </t>
  </si>
  <si>
    <t xml:space="preserve">Connection tightness by using Terminals , Penetration through Glands </t>
  </si>
  <si>
    <t>Connection tightness by using Terminals , penetration through Glands , no sharp edges , cables are protected</t>
  </si>
  <si>
    <t>Unit fixation , earthed , sealed (to avoid  rain, aggregated water, major diesel, major oil, etc…) , without sharp edges</t>
  </si>
  <si>
    <t>Cables organization &amp; penetration</t>
  </si>
  <si>
    <t>Panel Status "rust &amp; Corrosion"</t>
  </si>
  <si>
    <t>Ducts with cover &amp; not congested</t>
  </si>
  <si>
    <t>no Missing Parts &amp; Cable penetration through glands</t>
  </si>
  <si>
    <t>reporting to OMC</t>
  </si>
  <si>
    <t>All Penetrations sealed &amp; Through Glands</t>
  </si>
  <si>
    <t xml:space="preserve">no Missing Operational parts </t>
  </si>
  <si>
    <t xml:space="preserve"> Sensor 27 operation ,Alarms , reporting to OMC</t>
  </si>
  <si>
    <t>not congested Ducts  / Tape ACs Hoses</t>
  </si>
  <si>
    <t>Connection tightness by using Terminals , cables are organized protected from sharp edges</t>
  </si>
  <si>
    <t>Connection tightness by using Terminals , cables are organized and protected</t>
  </si>
  <si>
    <t xml:space="preserve">Detectors (heat/smoke) status (fixation/damaged/malfunction) </t>
  </si>
  <si>
    <t xml:space="preserve"> Components operational status </t>
  </si>
  <si>
    <t xml:space="preserve">Terminals for all connections / Tightness </t>
  </si>
  <si>
    <t>cleaning / labels / earthed panel if it is metal</t>
  </si>
  <si>
    <t>All site alarms test with OMC (door alarm / Fire / HI Temp /operation ) "/ alarms on the equipment " some of them tested in the previous steps"</t>
  </si>
  <si>
    <t xml:space="preserve">Arrangement and labeling for alarm cables </t>
  </si>
  <si>
    <t>equipment must be fixed , earthed</t>
  </si>
  <si>
    <t>Camera SYS installed and working without blocking (if existing)</t>
  </si>
  <si>
    <t>all connections with terminals / tightness</t>
  </si>
  <si>
    <t xml:space="preserve">Earth kit status &amp; isolation </t>
  </si>
  <si>
    <t>Feeders must be" fixed with metal clamps/organized on the vertical path"</t>
  </si>
  <si>
    <t xml:space="preserve">Connections with all antennas , MW,……. Must be tightened  </t>
  </si>
  <si>
    <t>No Faulty  Components  " members , support ,…….</t>
  </si>
  <si>
    <t>No Missing labels " Shelter or equipment , …….</t>
  </si>
  <si>
    <t>No Faulty Components   " Panels ,</t>
  </si>
  <si>
    <t>Lighting , Emergency light , switches , sockets</t>
  </si>
  <si>
    <t>Cable / feeders penetration transit system ( Roxtec) is sealed / Arrangement</t>
  </si>
  <si>
    <t xml:space="preserve">Using of bi-metal lug when connected aluminum cable on Cupper rod </t>
  </si>
  <si>
    <t xml:space="preserve">Using pre-fabricated elbows </t>
  </si>
  <si>
    <t xml:space="preserve">Labels for CB </t>
  </si>
  <si>
    <t>Radio Equipment (RRU, MHA &amp; RRH,MBO, CBO…..etc.) fixation , labels, connector isolation &amp; earth</t>
  </si>
  <si>
    <t>Existence of fiber box for extra length of fiber cables</t>
  </si>
  <si>
    <t xml:space="preserve">Fixed , earthed  </t>
  </si>
  <si>
    <t xml:space="preserve">Fence light </t>
  </si>
  <si>
    <t xml:space="preserve">lightening rod 1.5m at least on top of tower  </t>
  </si>
  <si>
    <t>Antennas fixation , earthed</t>
  </si>
  <si>
    <t xml:space="preserve">Use of 3 phases cupper bar and its isolation from both ends </t>
  </si>
  <si>
    <t xml:space="preserve">Surge Arrestor should be Connected with earth directly </t>
  </si>
  <si>
    <t xml:space="preserve">NO "faulty Components  /Wrong connection </t>
  </si>
  <si>
    <t>Cable trays (not congested , fixed, earthed , with fixed  covers by metal clamps (OD) , not  rusty or corroded , without sharp edges)</t>
  </si>
  <si>
    <t>Cables Protection by Cable trays &amp;Ducts &amp; Conduits " Inside / Outside "</t>
  </si>
  <si>
    <t>Ducts , Conduits (not congested , fixed, with fixed  covers   , without sharp edges)</t>
  </si>
  <si>
    <t xml:space="preserve">No Rusty panels </t>
  </si>
  <si>
    <t>Protection (Fixed PVC ,Cable tray ,Conduit )</t>
  </si>
  <si>
    <t>3 phases "availability &amp; accuracy "</t>
  </si>
  <si>
    <t>No Missing parts</t>
  </si>
  <si>
    <t>513</t>
  </si>
  <si>
    <t>Panel Status if metal "rust &amp; Corrosion"</t>
  </si>
  <si>
    <t>Battery rack Fixation</t>
  </si>
  <si>
    <t xml:space="preserve">No missing parts </t>
  </si>
  <si>
    <t xml:space="preserve">No wrong connections </t>
  </si>
  <si>
    <t>No rust or corrosion on the existing equipment</t>
  </si>
  <si>
    <t>in case / Metal Fence " must be fixed  , not rusty OR Corroded</t>
  </si>
  <si>
    <t>No missing Parts</t>
  </si>
  <si>
    <t>DC Box "Indoor sites"</t>
  </si>
  <si>
    <t>TX Panel&amp; cabinet</t>
  </si>
  <si>
    <t>Important Tips</t>
  </si>
  <si>
    <t xml:space="preserve"> All Metal panels must be IP 65 or 66 Schneider or ETA or IDA or INKOL , Otherwise "Orange approval must be taken before using"</t>
  </si>
  <si>
    <t>Critical/Major</t>
  </si>
  <si>
    <t>Labeled panel, Door frame , lock</t>
  </si>
  <si>
    <t>1704</t>
  </si>
  <si>
    <t>all cables are protected by covered cable tray or ducts (not floating )</t>
  </si>
  <si>
    <t>cables are organized</t>
  </si>
  <si>
    <t>Compliance with cage design, galvanization status</t>
  </si>
  <si>
    <t xml:space="preserve">Safety Cage &amp; AC cage &amp; Batteries </t>
  </si>
  <si>
    <t>Minor in case the broken DRAIN sys</t>
  </si>
  <si>
    <t>AC adjustment according to the type of site / ventilation fan must be cleaned " if applicable"</t>
  </si>
  <si>
    <t>Log Book's holder with site's data / PM previous status (date , action)</t>
  </si>
  <si>
    <t>Anticlimbing door for tower ladder , waring sign &amp; lock , no missing steps</t>
  </si>
  <si>
    <t>Critical in case unfixed , not earthed</t>
  </si>
  <si>
    <t>DDF Fixation , well organized (&lt; 10 krones is major)</t>
  </si>
  <si>
    <t>Critical/major</t>
  </si>
  <si>
    <t>labeling , Fixed and not Congested  Ducts with cover , Cables Arrangements</t>
  </si>
  <si>
    <t>Panel Labeled, Door frame , lock , Cable arrangement&amp; Duct with cover</t>
  </si>
  <si>
    <t>All CBs must be Schneider or Merlin Gerin, Otherwise  "Orange approval must be taken before using"</t>
  </si>
  <si>
    <t>1004</t>
  </si>
  <si>
    <t>1011</t>
  </si>
  <si>
    <t>1117</t>
  </si>
  <si>
    <t>1416</t>
  </si>
  <si>
    <t>1804</t>
  </si>
  <si>
    <t xml:space="preserve"> No.</t>
  </si>
  <si>
    <t>For the fatal corrosion " item 201 will cover it.</t>
  </si>
  <si>
    <t>For the fatal corrosion " item 301 will cover it.</t>
  </si>
  <si>
    <t>For the fatal corrosion " item 701  will cover it.</t>
  </si>
  <si>
    <t>For the fatal corrosion " item 801  will cover it.</t>
  </si>
  <si>
    <t>For the fatal corrosion " item 905  will cover it.</t>
  </si>
  <si>
    <t xml:space="preserve"> major in case of the fatal corrosion</t>
  </si>
  <si>
    <t>NS + PM</t>
  </si>
  <si>
    <t xml:space="preserve">NS </t>
  </si>
  <si>
    <t>NS</t>
  </si>
  <si>
    <t>Fixed , Sealed , earthed  , Secured location</t>
  </si>
  <si>
    <r>
      <t xml:space="preserve">Secured Route , without Junction , </t>
    </r>
    <r>
      <rPr>
        <b/>
        <sz val="22"/>
        <rFont val="Calibri"/>
        <family val="2"/>
        <scheme val="minor"/>
      </rPr>
      <t>Cross section (4X25mm cupper, 4x35mm AL ) , approved brand ( Sweedy , SLICO PLUST )</t>
    </r>
  </si>
  <si>
    <r>
      <t>Fixed , Sealed , ,</t>
    </r>
    <r>
      <rPr>
        <b/>
        <sz val="22"/>
        <rFont val="Calibri"/>
        <family val="2"/>
        <scheme val="minor"/>
      </rPr>
      <t xml:space="preserve"> Approved brand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, Secured location,earthed </t>
    </r>
  </si>
  <si>
    <r>
      <t xml:space="preserve">PWR meter &amp; </t>
    </r>
    <r>
      <rPr>
        <b/>
        <sz val="22"/>
        <rFont val="Calibri"/>
        <family val="2"/>
        <scheme val="minor"/>
      </rPr>
      <t>Main CB /63A ,approved Brand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  , status , Rating</t>
    </r>
  </si>
  <si>
    <r>
      <t xml:space="preserve">Fixed , Sealed , </t>
    </r>
    <r>
      <rPr>
        <b/>
        <sz val="22"/>
        <rFont val="Calibri"/>
        <family val="2"/>
        <scheme val="minor"/>
      </rPr>
      <t>Approved brand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 , Secured location , earthed</t>
    </r>
  </si>
  <si>
    <r>
      <t xml:space="preserve">Main CB /63A , approved </t>
    </r>
    <r>
      <rPr>
        <b/>
        <sz val="22"/>
        <rFont val="Calibri"/>
        <family val="2"/>
        <scheme val="minor"/>
      </rPr>
      <t>Brand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 , rating</t>
    </r>
  </si>
  <si>
    <r>
      <t>Fixed , Sealed , earthed ,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Approved brand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 , Secured location</t>
    </r>
  </si>
  <si>
    <r>
      <t>Connection tightness by using Terminals , penetration through Glands , no sharp edges , cable size,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 no junctions</t>
    </r>
  </si>
  <si>
    <r>
      <t xml:space="preserve">All Components according to " </t>
    </r>
    <r>
      <rPr>
        <b/>
        <sz val="22"/>
        <rFont val="Calibri"/>
        <family val="2"/>
        <scheme val="minor"/>
      </rPr>
      <t>brands</t>
    </r>
    <r>
      <rPr>
        <b/>
        <sz val="22"/>
        <color theme="1"/>
        <rFont val="Calibri"/>
        <family val="2"/>
        <scheme val="minor"/>
      </rPr>
      <t xml:space="preserve"> , CB Rates , Status "</t>
    </r>
  </si>
  <si>
    <r>
      <rPr>
        <b/>
        <sz val="22"/>
        <rFont val="Calibri"/>
        <family val="2"/>
        <scheme val="minor"/>
      </rPr>
      <t>Metal panel</t>
    </r>
    <r>
      <rPr>
        <b/>
        <sz val="22"/>
        <color theme="1"/>
        <rFont val="Calibri"/>
        <family val="2"/>
        <scheme val="minor"/>
      </rPr>
      <t xml:space="preserve"> ,Fixed , Sealed , earthed , </t>
    </r>
    <r>
      <rPr>
        <b/>
        <sz val="22"/>
        <rFont val="Calibri"/>
        <family val="2"/>
        <scheme val="minor"/>
      </rPr>
      <t xml:space="preserve">Approved brand </t>
    </r>
    <r>
      <rPr>
        <b/>
        <sz val="22"/>
        <color theme="1"/>
        <rFont val="Calibri"/>
        <family val="2"/>
        <scheme val="minor"/>
      </rPr>
      <t xml:space="preserve"> , Secured </t>
    </r>
  </si>
  <si>
    <r>
      <rPr>
        <b/>
        <sz val="22"/>
        <color rgb="FFFF0000"/>
        <rFont val="Calibri"/>
        <family val="2"/>
        <scheme val="minor"/>
      </rPr>
      <t>Critical</t>
    </r>
    <r>
      <rPr>
        <b/>
        <sz val="22"/>
        <color theme="1"/>
        <rFont val="Calibri"/>
        <family val="2"/>
        <scheme val="minor"/>
      </rPr>
      <t>/Minor</t>
    </r>
  </si>
  <si>
    <r>
      <t xml:space="preserve">Fixed , Sealed , earthed , </t>
    </r>
    <r>
      <rPr>
        <b/>
        <sz val="22"/>
        <rFont val="Calibri"/>
        <family val="2"/>
        <scheme val="minor"/>
      </rPr>
      <t>Approved brand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 xml:space="preserve"> , Secured </t>
    </r>
  </si>
  <si>
    <r>
      <t xml:space="preserve">OD unit fixation , </t>
    </r>
    <r>
      <rPr>
        <b/>
        <sz val="22"/>
        <color rgb="FFFF0000"/>
        <rFont val="Times New Roman"/>
        <family val="1"/>
      </rPr>
      <t>earth</t>
    </r>
    <r>
      <rPr>
        <b/>
        <sz val="22"/>
        <color theme="1"/>
        <rFont val="Times New Roman"/>
        <family val="1"/>
      </rPr>
      <t xml:space="preserve"> , label &amp; connector isolation</t>
    </r>
  </si>
  <si>
    <t>Shelter panorama</t>
  </si>
  <si>
    <t>Inside shelter ( Side 1 )</t>
  </si>
  <si>
    <t>Inside shelter ( Side 2 )</t>
  </si>
  <si>
    <t>Inside shelter ( Side 3 )</t>
  </si>
  <si>
    <t>Inside shelter ( Side 4 )</t>
  </si>
  <si>
    <t>Outside shelter ( Side 1 )</t>
  </si>
  <si>
    <t>Outside shelter ( Side 2 )</t>
  </si>
  <si>
    <t>Outside shelter ( Side 3 )</t>
  </si>
  <si>
    <t>Outside shelter ( Side 4 )</t>
  </si>
  <si>
    <t>Fence panorama</t>
  </si>
  <si>
    <t>( Side 1 )</t>
  </si>
  <si>
    <t>( Side 2 )</t>
  </si>
  <si>
    <t>( Side 3 )</t>
  </si>
  <si>
    <t>( Side 4 )</t>
  </si>
  <si>
    <t>Fence gate inside</t>
  </si>
  <si>
    <t>Fence gate outside</t>
  </si>
  <si>
    <t>Small fence gate sensor</t>
  </si>
  <si>
    <t>Large fence gate sensor</t>
  </si>
  <si>
    <t>Tower panorama</t>
  </si>
  <si>
    <t>Site components</t>
  </si>
  <si>
    <t>GEDP inside</t>
  </si>
  <si>
    <t>GEDP outside</t>
  </si>
  <si>
    <t>GEDP circuit diagram</t>
  </si>
  <si>
    <t>GEDP earth</t>
  </si>
  <si>
    <t>Surge arrestor</t>
  </si>
  <si>
    <t>Roxtec 1</t>
  </si>
  <si>
    <t>Roxtec 2</t>
  </si>
  <si>
    <t>Shelter floor</t>
  </si>
  <si>
    <t>Rectifier &amp; Batteries</t>
  </si>
  <si>
    <t>Inside Rectifier</t>
  </si>
  <si>
    <t>Outside Rectifier</t>
  </si>
  <si>
    <t>Rectifier modules</t>
  </si>
  <si>
    <t>Modules lables</t>
  </si>
  <si>
    <t>CBs lables</t>
  </si>
  <si>
    <t>Cables terminals</t>
  </si>
  <si>
    <t>Rectifier earth</t>
  </si>
  <si>
    <t>Batteries overview</t>
  </si>
  <si>
    <t>Batteries cleaning</t>
  </si>
  <si>
    <t>Batteries rack earth</t>
  </si>
  <si>
    <t>Batteries CBs inside rectifier</t>
  </si>
  <si>
    <t>Air condition</t>
  </si>
  <si>
    <t>Boath A/C IDUs</t>
  </si>
  <si>
    <t>Boath A/C ODUs</t>
  </si>
  <si>
    <t>Timer</t>
  </si>
  <si>
    <t>27 Sensor</t>
  </si>
  <si>
    <t>A/C earth</t>
  </si>
  <si>
    <t>A/C1 IDU terminals</t>
  </si>
  <si>
    <t>A/C1 ODU terminals</t>
  </si>
  <si>
    <t>A/C1 current reading</t>
  </si>
  <si>
    <t>A/C1 pressure reading</t>
  </si>
  <si>
    <t>A/C2 IDU terminals</t>
  </si>
  <si>
    <t>A/C2 ODU terminals</t>
  </si>
  <si>
    <t>A/C2 current reading</t>
  </si>
  <si>
    <t>A/C2 pressure reading</t>
  </si>
  <si>
    <t>Radio equipment</t>
  </si>
  <si>
    <t>2G BTS cabinet overview</t>
  </si>
  <si>
    <t>3G cabinet overview</t>
  </si>
  <si>
    <t>MW Rack overview</t>
  </si>
  <si>
    <t>2G DDF inside</t>
  </si>
  <si>
    <t>3G DDF inisde</t>
  </si>
  <si>
    <t>MW DDF overview</t>
  </si>
  <si>
    <t>Power</t>
  </si>
  <si>
    <t>100A panel inside</t>
  </si>
  <si>
    <t>100A panel outside</t>
  </si>
  <si>
    <t>Power meter panel inside</t>
  </si>
  <si>
    <t>Power meter reading</t>
  </si>
  <si>
    <t>Phase 1 reading ( V )</t>
  </si>
  <si>
    <t>Phase 2 reading ( V )</t>
  </si>
  <si>
    <t>Phase 3 reading ( V )</t>
  </si>
  <si>
    <t>Fire panel inside</t>
  </si>
  <si>
    <t>Fire panel outside</t>
  </si>
  <si>
    <t>Heat zone alarm</t>
  </si>
  <si>
    <t>Smoke zone alarm</t>
  </si>
  <si>
    <t xml:space="preserve">Batteries voltage </t>
  </si>
  <si>
    <t>Fire Extinguisher</t>
  </si>
  <si>
    <t>Fire Extinguisher maintenance date</t>
  </si>
  <si>
    <t>Fire Extinguisher safety seal</t>
  </si>
  <si>
    <t>Earth</t>
  </si>
  <si>
    <t>Main earth bar</t>
  </si>
  <si>
    <t>Main earth rod</t>
  </si>
  <si>
    <t>Earth inside shelter</t>
  </si>
  <si>
    <t>Tower earth</t>
  </si>
  <si>
    <t>Cable tray</t>
  </si>
  <si>
    <t>Cable tray 1 inside shelter</t>
  </si>
  <si>
    <t>Cable tray 2 inside shelter</t>
  </si>
  <si>
    <t>Cable tray 3 inside shelter</t>
  </si>
  <si>
    <t>Cable tray 4 inside shelter</t>
  </si>
  <si>
    <t>Cable tray outside shelter ( Down view )</t>
  </si>
  <si>
    <t>Cable tray outside shelter ( Upper view )</t>
  </si>
  <si>
    <t>Inside cable tray earth</t>
  </si>
  <si>
    <t>Outside cable tray earth</t>
  </si>
  <si>
    <t>Light system</t>
  </si>
  <si>
    <t>Emergency light</t>
  </si>
  <si>
    <t>Shelter light</t>
  </si>
  <si>
    <t>Beacon light</t>
  </si>
  <si>
    <t>Halogen light</t>
  </si>
  <si>
    <t xml:space="preserve">Fence Lighting </t>
  </si>
  <si>
    <t>PM logbook</t>
  </si>
  <si>
    <t>Before</t>
  </si>
  <si>
    <t>After</t>
  </si>
  <si>
    <t>Pic #1</t>
  </si>
  <si>
    <t>(Mandatory) Item #:</t>
  </si>
  <si>
    <t>Picture #1</t>
  </si>
  <si>
    <r>
      <t>a) MS Office 2003:
Resize:</t>
    </r>
    <r>
      <rPr>
        <b/>
        <sz val="7"/>
        <color indexed="22"/>
        <rFont val="Arial"/>
        <family val="2"/>
      </rPr>
      <t xml:space="preserve">
1- Double click on picture, select size tab
2- Landscape: 320 Width x 238 Height (Pixels)
3- Portrait: 178 Width x 238 Height (Pixels)
</t>
    </r>
    <r>
      <rPr>
        <b/>
        <u/>
        <sz val="7"/>
        <color indexed="22"/>
        <rFont val="Arial"/>
        <family val="2"/>
      </rPr>
      <t>Compression:</t>
    </r>
    <r>
      <rPr>
        <b/>
        <sz val="7"/>
        <color indexed="22"/>
        <rFont val="Arial"/>
        <family val="2"/>
      </rPr>
      <t xml:space="preserve">
1- Double click on picture, press Compress
2- Select all pictures in document &amp; select Web/Screen
3- Press OK
</t>
    </r>
    <r>
      <rPr>
        <b/>
        <u/>
        <sz val="7"/>
        <color indexed="22"/>
        <rFont val="Arial"/>
        <family val="2"/>
      </rPr>
      <t>a) MS Office 2007:</t>
    </r>
    <r>
      <rPr>
        <b/>
        <sz val="7"/>
        <color indexed="22"/>
        <rFont val="Arial"/>
        <family val="2"/>
      </rPr>
      <t xml:space="preserve">
</t>
    </r>
    <r>
      <rPr>
        <b/>
        <u/>
        <sz val="7"/>
        <color indexed="22"/>
        <rFont val="Arial"/>
        <family val="2"/>
      </rPr>
      <t>Resize:</t>
    </r>
    <r>
      <rPr>
        <b/>
        <sz val="7"/>
        <color indexed="22"/>
        <rFont val="Arial"/>
        <family val="2"/>
      </rPr>
      <t xml:space="preserve">
1- Click on picture, select the format tab, on the far right side of the tools bar, change the size.
2- Landscape: 320 Width x 238 Height (Pixels)
3- Portrait: 178 Width x 238 Height (Pixels)
</t>
    </r>
    <r>
      <rPr>
        <b/>
        <u/>
        <sz val="7"/>
        <color indexed="22"/>
        <rFont val="Arial"/>
        <family val="2"/>
      </rPr>
      <t>Compression:</t>
    </r>
    <r>
      <rPr>
        <b/>
        <sz val="7"/>
        <color indexed="22"/>
        <rFont val="Arial"/>
        <family val="2"/>
      </rPr>
      <t xml:space="preserve">
1- Click on picture, select the format tab on the far left side of the tools bar.
2- Select compress, then press OK.</t>
    </r>
  </si>
  <si>
    <t>(Mandatory) Description</t>
  </si>
  <si>
    <t>Pic #2</t>
  </si>
  <si>
    <t>Picture #2</t>
  </si>
  <si>
    <t>Pic #3</t>
  </si>
  <si>
    <t>Picture #3</t>
  </si>
  <si>
    <t>Pic #4</t>
  </si>
  <si>
    <t>Picture #4</t>
  </si>
  <si>
    <t>Pic #5</t>
  </si>
  <si>
    <t>Picture #5</t>
  </si>
  <si>
    <t>Pic #6</t>
  </si>
  <si>
    <t>Picture #6</t>
  </si>
  <si>
    <t>Pic #7</t>
  </si>
  <si>
    <t>Picture #7</t>
  </si>
  <si>
    <t>Pending Reserves</t>
  </si>
  <si>
    <t>No.</t>
  </si>
  <si>
    <t>Site Name</t>
  </si>
  <si>
    <t>Site Code</t>
  </si>
  <si>
    <t>Reserve</t>
  </si>
  <si>
    <t>Date</t>
  </si>
  <si>
    <t>Reserve 1</t>
  </si>
  <si>
    <t>Reserve 2</t>
  </si>
  <si>
    <t>Reserve 3</t>
  </si>
  <si>
    <t>Reserve 4</t>
  </si>
  <si>
    <t>Reserve 5</t>
  </si>
  <si>
    <t>Reserve 6</t>
  </si>
  <si>
    <t>unused assets</t>
  </si>
  <si>
    <t>BTS capture ( Alarms )</t>
  </si>
  <si>
    <t>3G capture</t>
  </si>
  <si>
    <t>MW capture</t>
  </si>
  <si>
    <t>BTS capture ( Clear )</t>
  </si>
  <si>
    <t>`</t>
  </si>
  <si>
    <t xml:space="preserve">Site Name: </t>
  </si>
  <si>
    <t xml:space="preserve">Site Code: </t>
  </si>
  <si>
    <t xml:space="preserve">Date: </t>
  </si>
  <si>
    <t xml:space="preserve">Eng.Name: </t>
  </si>
  <si>
    <t xml:space="preserve">Tech. Name: </t>
  </si>
  <si>
    <t xml:space="preserve">Time in: </t>
  </si>
  <si>
    <t xml:space="preserve">OMC Eng: </t>
  </si>
  <si>
    <t xml:space="preserve">Time Out: </t>
  </si>
  <si>
    <t>Electrical Installation</t>
  </si>
  <si>
    <t xml:space="preserve">  Power Supply</t>
  </si>
  <si>
    <t xml:space="preserve"> </t>
  </si>
  <si>
    <t>Value</t>
  </si>
  <si>
    <t xml:space="preserve">KWH meter reading </t>
  </si>
  <si>
    <t>NA</t>
  </si>
  <si>
    <t>KVARH meter reading</t>
  </si>
  <si>
    <t>OK</t>
  </si>
  <si>
    <t>NOK</t>
  </si>
  <si>
    <t xml:space="preserve">Check all Earth of shelter </t>
  </si>
  <si>
    <t>ok</t>
  </si>
  <si>
    <t>Tighten the connection</t>
  </si>
  <si>
    <t>Check Meter Boxes' sealing, corrosion &amp; open.</t>
  </si>
  <si>
    <t>Measurements:</t>
  </si>
  <si>
    <t>Neutral / Phase 220 V</t>
  </si>
  <si>
    <t>Earth / Phase 220 V</t>
  </si>
  <si>
    <t>Phase / Phase 380 V</t>
  </si>
  <si>
    <t>Neutral / Earth</t>
  </si>
  <si>
    <t>AC current /phase</t>
  </si>
  <si>
    <t>(Amp)</t>
  </si>
  <si>
    <t>Neutral Current</t>
  </si>
  <si>
    <t>Phase failure protection circuit exist ( Surge Arrestor )</t>
  </si>
  <si>
    <t>All Surge Supressor are OK ( OK OR NOK with No of Fault )</t>
  </si>
  <si>
    <t>Yes</t>
  </si>
  <si>
    <t xml:space="preserve">Are you relocated Surge arrestor Panel </t>
  </si>
  <si>
    <t xml:space="preserve">NOK </t>
  </si>
  <si>
    <t xml:space="preserve">If No add reason </t>
  </si>
  <si>
    <t>Not exist</t>
  </si>
  <si>
    <t>Power Cabinet</t>
  </si>
  <si>
    <t>Power Cabinet # I</t>
  </si>
  <si>
    <t>Power Cabinet # II</t>
  </si>
  <si>
    <t>Cabinet</t>
  </si>
  <si>
    <t>Type</t>
  </si>
  <si>
    <t>Rectifier Type: (Saft Analog/Saft Digital/Lorain/Ascom/Other)</t>
  </si>
  <si>
    <t>The 3 input phases connected to the cabinet</t>
  </si>
  <si>
    <t>Power cabinet chasses connected to site ground</t>
  </si>
  <si>
    <t>Positive output (0 vdc) connected to site ground</t>
  </si>
  <si>
    <t xml:space="preserve">Rectifier Settings </t>
  </si>
  <si>
    <t xml:space="preserve">Ibatt </t>
  </si>
  <si>
    <t>Tcoeff</t>
  </si>
  <si>
    <t>Major alarm appeared when battery rack disconnected</t>
  </si>
  <si>
    <t>Retighten all Power &amp; DC Cables</t>
  </si>
  <si>
    <t>Check rectifier alarms cables connected to DDF</t>
  </si>
  <si>
    <t>Machine Labeling:</t>
  </si>
  <si>
    <t>Fuses / dc circuit breakers</t>
  </si>
  <si>
    <t>Alarm cable</t>
  </si>
  <si>
    <t>48 v cables</t>
  </si>
  <si>
    <t>Rectifier cabinet</t>
  </si>
  <si>
    <t>Battery strings</t>
  </si>
  <si>
    <t>Number of operating modules installed</t>
  </si>
  <si>
    <t>Minimum 3 modules connected to 3 different phases</t>
  </si>
  <si>
    <t>All modules are output balanced</t>
  </si>
  <si>
    <t>Check present alarms on rectifier module #1</t>
  </si>
  <si>
    <t>Check present alarms on rectifier module #2</t>
  </si>
  <si>
    <t>Check present alarms on rectifier module #3</t>
  </si>
  <si>
    <t>Check present alarms on rectifier module #4</t>
  </si>
  <si>
    <t>Check present alarms on rectifier module #5</t>
  </si>
  <si>
    <t>Check present alarms on rectifier module #6</t>
  </si>
  <si>
    <t>Check present alarms on rectifier module #7</t>
  </si>
  <si>
    <t>Check present alarms on rectifier module #8</t>
  </si>
  <si>
    <t>Check present alarms on the rectifier controler</t>
  </si>
  <si>
    <t>Check present alarms in the OMC-R</t>
  </si>
  <si>
    <t>Lorain rectifier on Normal or Inhibit mode?</t>
  </si>
  <si>
    <t>Ascom rectifier tmperature sensor inserted between batteries</t>
  </si>
  <si>
    <t>Rectifier tmperature sensor inserted between batteries</t>
  </si>
  <si>
    <t>All rectifier measurements from rectifier internal bus bar</t>
  </si>
  <si>
    <t>Positive dc (0 vdc) / Ground</t>
  </si>
  <si>
    <t>Negative dc (-48 vdc) / Ground</t>
  </si>
  <si>
    <t>Set the rectifier to the equalize mode then check the output</t>
  </si>
  <si>
    <t>Positive dc (0 vdc) / Negative (-48 vdc)</t>
  </si>
  <si>
    <t>Rectifier Cables</t>
  </si>
  <si>
    <t>Cables between rec. &amp; batteries are short as possible</t>
  </si>
  <si>
    <t>Cables between rec. &amp; batteries are equal in length</t>
  </si>
  <si>
    <t>Cables between rec. &amp; batteries are equal in thickness</t>
  </si>
  <si>
    <t>Cables between strings are equal in length</t>
  </si>
  <si>
    <t>Cables between strings are equal in thickness</t>
  </si>
  <si>
    <t>Rectifier Batteries</t>
  </si>
  <si>
    <t>Battery brand (Espace_RG/Powerfit/PowerSafe/EHPC/AGM/Marathon)</t>
  </si>
  <si>
    <t>Number of batteries connected to the rectifier</t>
  </si>
  <si>
    <t>Battery nominal voltage</t>
  </si>
  <si>
    <t>Battery ampere hour</t>
  </si>
  <si>
    <t>Number of strings</t>
  </si>
  <si>
    <t>Number of racks</t>
  </si>
  <si>
    <t>Battery racks are connected to site ground</t>
  </si>
  <si>
    <t>Battery racks are fixed to shelter ground</t>
  </si>
  <si>
    <t>Number of intercell covers missing</t>
  </si>
  <si>
    <t>Separate distance exist between batteries (1 cm)</t>
  </si>
  <si>
    <t>Batteries are assembled according to specs</t>
  </si>
  <si>
    <t>All batteries are well tightened</t>
  </si>
  <si>
    <t>Clean batteries surface using a small moisten texture</t>
  </si>
  <si>
    <t>All batteries are surface clean</t>
  </si>
  <si>
    <t>Clean batteries poles if a residues exist using a solid brush with a solution of baking soda and water or isopropyl alcohol</t>
  </si>
  <si>
    <t>All battery poles are clean</t>
  </si>
  <si>
    <t xml:space="preserve">Check All terminals within GEDP </t>
  </si>
  <si>
    <t xml:space="preserve">Main GEDP C.B Type </t>
  </si>
  <si>
    <t xml:space="preserve">Normal </t>
  </si>
  <si>
    <t>Normal</t>
  </si>
  <si>
    <t>RCCB</t>
  </si>
  <si>
    <t>Check All cables (commensurate  with load or no)</t>
  </si>
  <si>
    <t>Check panel fixation</t>
  </si>
  <si>
    <t>Check C.B rate commensurate  with load or no</t>
  </si>
  <si>
    <t xml:space="preserve"> Check circuit diagram correspond</t>
  </si>
  <si>
    <t>All component must be fixed at panel</t>
  </si>
  <si>
    <t>Remove any duplicated terminals connection</t>
  </si>
  <si>
    <t>Remove any welding  cables in GEDP duct</t>
  </si>
  <si>
    <t>24Hr timer adjusted every 4Hr</t>
  </si>
  <si>
    <t xml:space="preserve"> Check A/Cs control fuse</t>
  </si>
  <si>
    <t>Check all component labels</t>
  </si>
  <si>
    <t>State of General appearance of GEDP</t>
  </si>
  <si>
    <t>Air conditioning</t>
  </si>
  <si>
    <t>Number of Air conditioning units</t>
  </si>
  <si>
    <t>A/C 1</t>
  </si>
  <si>
    <t>A/C 2</t>
  </si>
  <si>
    <t>A/C 3</t>
  </si>
  <si>
    <t>Type of Air conditioning unit</t>
  </si>
  <si>
    <t>Capacity of Air conditioning unit (BTU)</t>
  </si>
  <si>
    <t>Fereon Pressure</t>
  </si>
  <si>
    <t>Compressor Model</t>
  </si>
  <si>
    <t>Compressor Type</t>
  </si>
  <si>
    <t>Compressor Horse power</t>
  </si>
  <si>
    <t>Output A/C 1 Flow Temperature</t>
  </si>
  <si>
    <t xml:space="preserve">Output A/C 2 Flow Temperature </t>
  </si>
  <si>
    <t xml:space="preserve">All  parts Within A/C are Original </t>
  </si>
  <si>
    <t xml:space="preserve">Did Main Power Source connected to ODU That supply IDU </t>
  </si>
  <si>
    <t>Cable Thichness are Suitable for Load ( 4mm for 3 HP &amp; 6 mm for 5 HP)</t>
  </si>
  <si>
    <t>Fire Panel &amp; Sensors</t>
  </si>
  <si>
    <t>Radio Shelter:</t>
  </si>
  <si>
    <t>Fire Panel Type</t>
  </si>
  <si>
    <t>No of Heat Sensors</t>
  </si>
  <si>
    <t>No of Smoke sensors</t>
  </si>
  <si>
    <t>No of Flame Sensors</t>
  </si>
  <si>
    <t xml:space="preserve">OK </t>
  </si>
  <si>
    <t xml:space="preserve">Check Fire panel Operation </t>
  </si>
  <si>
    <t xml:space="preserve">Check Batteries of F.P </t>
  </si>
  <si>
    <t>Check Terminals of F.P cable</t>
  </si>
  <si>
    <t>Fire Panel must be away from any Power source ( GEDP &amp; Rectifier )</t>
  </si>
  <si>
    <t>Are you relocated F.P  ?</t>
  </si>
  <si>
    <t>Generator Shelter:</t>
  </si>
  <si>
    <t>Fire Extinguishers</t>
  </si>
  <si>
    <t>Inside Radio shelter:</t>
  </si>
  <si>
    <r>
      <t>Fire Extinguisher Type (Powder or CO</t>
    </r>
    <r>
      <rPr>
        <b/>
        <vertAlign val="subscript"/>
        <sz val="10"/>
        <rFont val="Century Gothic"/>
        <family val="2"/>
      </rPr>
      <t>2</t>
    </r>
    <r>
      <rPr>
        <b/>
        <sz val="10"/>
        <rFont val="Century Gothic"/>
        <family val="2"/>
      </rPr>
      <t>)</t>
    </r>
  </si>
  <si>
    <t>Fire Extinguisher Brand ( Bavaria,…)</t>
  </si>
  <si>
    <t>Fire Extinguisher Capacity (Kg)</t>
  </si>
  <si>
    <t>Fire Extinguisher S/N</t>
  </si>
  <si>
    <t xml:space="preserve">Fire Extinguisher Fixed &amp; Earthed </t>
  </si>
  <si>
    <t>Inside Generator shelter:</t>
  </si>
  <si>
    <t>Number of extinguishers</t>
  </si>
  <si>
    <r>
      <t>Fire Extinguisher Type (Powder, Matic or CO</t>
    </r>
    <r>
      <rPr>
        <b/>
        <vertAlign val="subscript"/>
        <sz val="10"/>
        <rFont val="Century Gothic"/>
        <family val="2"/>
      </rPr>
      <t>2</t>
    </r>
    <r>
      <rPr>
        <b/>
        <sz val="12"/>
        <rFont val="Century Gothic"/>
        <family val="2"/>
      </rPr>
      <t>)</t>
    </r>
  </si>
  <si>
    <t>Radio Equipments (BTS , Node-B,…..etc.)</t>
  </si>
  <si>
    <t>BTS</t>
  </si>
  <si>
    <t>Number of PCM fed the site</t>
  </si>
  <si>
    <t>BTS type &amp; model</t>
  </si>
  <si>
    <t>NSN</t>
  </si>
  <si>
    <t>Number of Sectors</t>
  </si>
  <si>
    <t>Number of BTS cabinets:</t>
  </si>
  <si>
    <t>Number of antennas /sector</t>
  </si>
  <si>
    <t>BTS's Configuration in the OMC</t>
  </si>
  <si>
    <t>Number of existing Tx Rx boards</t>
  </si>
  <si>
    <t>Model of existing Tx Rx boards</t>
  </si>
  <si>
    <t>Number of existing ANYG/Combiners boards</t>
  </si>
  <si>
    <t>Model of existing Combiner boards</t>
  </si>
  <si>
    <t>Number of existing NIU boards</t>
  </si>
  <si>
    <t>Model of Clock boards</t>
  </si>
  <si>
    <t>Boards Missing</t>
  </si>
  <si>
    <t>Cables Missing</t>
  </si>
  <si>
    <t>Radio Equipment</t>
  </si>
  <si>
    <t>Internal active alarm</t>
  </si>
  <si>
    <t xml:space="preserve">VSWR        </t>
  </si>
  <si>
    <t>Sect 1</t>
  </si>
  <si>
    <t>Sect 2</t>
  </si>
  <si>
    <t>Sect 3</t>
  </si>
  <si>
    <t>Sect 4</t>
  </si>
  <si>
    <t>3G</t>
  </si>
  <si>
    <t>Nokia Siemens</t>
  </si>
  <si>
    <t xml:space="preserve">NSN Node B </t>
  </si>
  <si>
    <t>N of sectors</t>
  </si>
  <si>
    <t>System module1</t>
  </si>
  <si>
    <t xml:space="preserve">Transmission module  </t>
  </si>
  <si>
    <t>RF module 1</t>
  </si>
  <si>
    <t>RF module 2</t>
  </si>
  <si>
    <t>Huawei</t>
  </si>
  <si>
    <t>NodeB type</t>
  </si>
  <si>
    <t>No of sectors</t>
  </si>
  <si>
    <t>BBU type</t>
  </si>
  <si>
    <t>RRU type</t>
  </si>
  <si>
    <t>Transmission Equipment checklist</t>
  </si>
  <si>
    <t>link Power</t>
  </si>
  <si>
    <t>Frequancy</t>
  </si>
  <si>
    <t>Capacity</t>
  </si>
  <si>
    <t>Channel</t>
  </si>
  <si>
    <t>ADM</t>
  </si>
  <si>
    <t>Connector check and type</t>
  </si>
  <si>
    <t xml:space="preserve">NMS </t>
  </si>
  <si>
    <t>SDH</t>
  </si>
  <si>
    <t>IF  status</t>
  </si>
  <si>
    <t>Check link Budget</t>
  </si>
  <si>
    <t>Link Type(ALU,NEC,1+1 or 1+0)</t>
  </si>
  <si>
    <t>Direction To</t>
  </si>
  <si>
    <t>Dish diameter</t>
  </si>
  <si>
    <t>No of ODU</t>
  </si>
  <si>
    <t>ODU TYPE</t>
  </si>
  <si>
    <t xml:space="preserve">TX </t>
  </si>
  <si>
    <t xml:space="preserve">Rx </t>
  </si>
  <si>
    <t>TX</t>
  </si>
  <si>
    <t>RX</t>
  </si>
  <si>
    <t xml:space="preserve">IDU </t>
  </si>
  <si>
    <t>IDU</t>
  </si>
  <si>
    <t>ODU</t>
  </si>
  <si>
    <t>Cable</t>
  </si>
  <si>
    <t>Conductivity</t>
  </si>
  <si>
    <t>Transmission direction</t>
  </si>
  <si>
    <t>PCM NO</t>
  </si>
  <si>
    <t>Water Penetration</t>
  </si>
  <si>
    <t>Water Penetration result</t>
  </si>
  <si>
    <t>Leak</t>
  </si>
  <si>
    <t>No Leak</t>
  </si>
  <si>
    <t>Not Tested</t>
  </si>
  <si>
    <t>Leak Source</t>
  </si>
  <si>
    <t>Roof</t>
  </si>
  <si>
    <t>Door</t>
  </si>
  <si>
    <t>A/C enterance</t>
  </si>
  <si>
    <t>Feeders</t>
  </si>
  <si>
    <t>Walls</t>
  </si>
  <si>
    <t>PM Reports</t>
  </si>
  <si>
    <t>Cooling System</t>
  </si>
  <si>
    <t>Status</t>
  </si>
  <si>
    <t>Sys Fault</t>
  </si>
  <si>
    <t>clean A/Cs IDU and ODU</t>
  </si>
  <si>
    <t xml:space="preserve"> check 27 sensor and 4 hours timer</t>
  </si>
  <si>
    <t>Alarms system</t>
  </si>
  <si>
    <t>check all external alarm</t>
  </si>
  <si>
    <t>Enviroment</t>
  </si>
  <si>
    <t>clean earth bar</t>
  </si>
  <si>
    <t>clean site floor</t>
  </si>
  <si>
    <t>take capture for links</t>
  </si>
  <si>
    <t>Power System</t>
  </si>
  <si>
    <t>Clean rectifiers and modules</t>
  </si>
  <si>
    <t>Diesel Generator</t>
  </si>
  <si>
    <t>Generator Log Book</t>
  </si>
  <si>
    <t>G1</t>
  </si>
  <si>
    <t>G2</t>
  </si>
  <si>
    <t>Generator Unit</t>
  </si>
  <si>
    <t>Control Box Supplier</t>
  </si>
  <si>
    <t>Engine type</t>
  </si>
  <si>
    <t>Alternator type</t>
  </si>
  <si>
    <t>Voltage</t>
  </si>
  <si>
    <t>Frequency</t>
  </si>
  <si>
    <t>Hz</t>
  </si>
  <si>
    <t>Generator 1 Counter</t>
  </si>
  <si>
    <t>Hrs</t>
  </si>
  <si>
    <t>Oil Pressure Counter</t>
  </si>
  <si>
    <t>PSI</t>
  </si>
  <si>
    <t>File</t>
  </si>
  <si>
    <t>Network Audit Checklist (applicable on entire radio sites)</t>
  </si>
  <si>
    <t>File Version</t>
  </si>
  <si>
    <t>V10R00</t>
  </si>
  <si>
    <t>Department</t>
  </si>
  <si>
    <t>Technology / Access Network Support / Network Audit</t>
  </si>
  <si>
    <t>Creator Name</t>
  </si>
  <si>
    <t>Samer Zaki</t>
  </si>
  <si>
    <t>Creator Title</t>
  </si>
  <si>
    <t>Network Audit Manager</t>
  </si>
  <si>
    <t>Auditor</t>
  </si>
  <si>
    <t>Audit Date</t>
  </si>
  <si>
    <t>dd-mmm-yyyy</t>
  </si>
  <si>
    <t>Area</t>
  </si>
  <si>
    <t>Maintenance Office</t>
  </si>
  <si>
    <t>Contractor</t>
  </si>
  <si>
    <t>Contractor Area</t>
  </si>
  <si>
    <t>Contractor Office</t>
  </si>
  <si>
    <t>Score</t>
  </si>
  <si>
    <t>Power Meter Condition</t>
  </si>
  <si>
    <t>Power Meter Reading (KWH)</t>
  </si>
  <si>
    <t>Site Logbook</t>
  </si>
  <si>
    <t>Site Last PM Date</t>
  </si>
  <si>
    <t>Gen. Logbook</t>
  </si>
  <si>
    <t>Gen. Last PM Date</t>
  </si>
  <si>
    <t>Standby Gen. Hours Meter Reading</t>
  </si>
  <si>
    <t>Main System</t>
  </si>
  <si>
    <t>Equipment and DDF</t>
  </si>
  <si>
    <t>Civil</t>
  </si>
  <si>
    <t>Equipment</t>
  </si>
  <si>
    <t>Vendor</t>
  </si>
  <si>
    <t>Offender</t>
  </si>
  <si>
    <t>Assigned Team</t>
  </si>
  <si>
    <t>System</t>
  </si>
  <si>
    <t>Power Meter &amp; Main Breaker</t>
  </si>
  <si>
    <t>Calc #1</t>
  </si>
  <si>
    <t>Calc #2</t>
  </si>
  <si>
    <t>Shared Panel</t>
  </si>
  <si>
    <t>Surge Arrestor</t>
  </si>
  <si>
    <t>DC Boxes</t>
  </si>
  <si>
    <t>Rectifiers</t>
  </si>
  <si>
    <t>UPS / Stabilizer / Transformer</t>
  </si>
  <si>
    <t>A/Cs Cooling / Free Cooling / Ventilation</t>
  </si>
  <si>
    <t>Fire Alarm and Fighting System</t>
  </si>
  <si>
    <t>Shelter Body / Main Enclosure</t>
  </si>
  <si>
    <t>Antenna Support</t>
  </si>
  <si>
    <t>Fence / Roof</t>
  </si>
  <si>
    <t>ATS / Engine</t>
  </si>
  <si>
    <t>Score Ceiling</t>
  </si>
  <si>
    <t>Serial</t>
  </si>
  <si>
    <t>Items</t>
  </si>
  <si>
    <t>Recommendations</t>
  </si>
  <si>
    <t>Accountable</t>
  </si>
  <si>
    <t>Total</t>
  </si>
  <si>
    <t>Minor Exist</t>
  </si>
  <si>
    <t>Major Exist</t>
  </si>
  <si>
    <t>Critical Exist</t>
  </si>
  <si>
    <t>Higher Selection</t>
  </si>
  <si>
    <t>Clean (not normal dust)</t>
  </si>
  <si>
    <t>M</t>
  </si>
  <si>
    <t>Panel/cables secured location/route (e.g. Surge panel outside the shelter or far away from other panels)</t>
  </si>
  <si>
    <t>Approved brand (panel/cable/components)</t>
  </si>
  <si>
    <t>Less than 3 phases available (if the power source is 3 phases)</t>
  </si>
  <si>
    <t>Voltage difference between Neutral &amp; Earth &gt; 7 volts</t>
  </si>
  <si>
    <t>Unit unfixed/not installed well</t>
  </si>
  <si>
    <t>Unit sharp edges</t>
  </si>
  <si>
    <t>Unit earth</t>
  </si>
  <si>
    <t>Earth plates cleaned, waxed, covered with foil</t>
  </si>
  <si>
    <t xml:space="preserve">Bi-metal lugs used to connect Aluminum cable to Cupper rod </t>
  </si>
  <si>
    <t>Components faulty</t>
  </si>
  <si>
    <t>Components below/over rate (excluding main power feeder if not hot)</t>
  </si>
  <si>
    <t>Wrong connection</t>
  </si>
  <si>
    <t>Alarms on equipment (excluding ADM)</t>
  </si>
  <si>
    <t>Alarms reporting to the OMC</t>
  </si>
  <si>
    <t>Cables/Jumpers/Coaxial/FO/PCM protected in trays/ducts/conduits</t>
  </si>
  <si>
    <t>Cables/Jumpers/Coaxial/FO/PCM organization</t>
  </si>
  <si>
    <t>Cables/Feeders/Jumpers/Coaxial/FO/PCM connection tightness</t>
  </si>
  <si>
    <t>Camera revolved to be blocked (if applicable)</t>
  </si>
  <si>
    <t>Messy DDF (more than or equal to 10 Krone Blocks or equivalent)</t>
  </si>
  <si>
    <t>Messy DDF (less than 10 Krone Blocks or equivalent)</t>
  </si>
  <si>
    <t>Feeders unfixed/unorganized on the vertical path</t>
  </si>
  <si>
    <t>Feeders without tray on the horizontal path</t>
  </si>
  <si>
    <t>Feeders unorganized on the horizontal path</t>
  </si>
  <si>
    <t>Trays/ducts/conduits congested</t>
  </si>
  <si>
    <t>Trays/ducts/conduits unfixed</t>
  </si>
  <si>
    <t>Ducts/conduits covers missing/unfixed</t>
  </si>
  <si>
    <t>Trays covers missing/unfixed (if laid on the ground only)</t>
  </si>
  <si>
    <t>Trays untied by metal belts</t>
  </si>
  <si>
    <t>Trays/Roxtec/Plate not earthed</t>
  </si>
  <si>
    <t>Trays rust</t>
  </si>
  <si>
    <t>Trays corrosion</t>
  </si>
  <si>
    <t>Use pre-fabricated trays elbows for 90 degrees angles (not modified)</t>
  </si>
  <si>
    <t>Unit rust (else trays)</t>
  </si>
  <si>
    <t>Unit corrosion (else trays)</t>
  </si>
  <si>
    <t>Some parts are (missing / stolen)</t>
  </si>
  <si>
    <t>Grillage fixation</t>
  </si>
  <si>
    <t xml:space="preserve">Grillage grease for screws </t>
  </si>
  <si>
    <t>Wiring diagram (SLD) unavailable or mismatches the as built</t>
  </si>
  <si>
    <t>Positive output (0 vdc) not earthed</t>
  </si>
  <si>
    <t>Saft/Lorain modules unbalanced (LED display/thermal emission)</t>
  </si>
  <si>
    <t>Modules insufficient according to calculations &amp; measurements</t>
  </si>
  <si>
    <t>Module faulty</t>
  </si>
  <si>
    <t>Float voltage unadjusted per the batteries manufacturer specs</t>
  </si>
  <si>
    <t>Temperature sensor not inserted between batteries (if applicable)</t>
  </si>
  <si>
    <t>High vibration/noise level (e.g. faulty rubber bases)</t>
  </si>
  <si>
    <t>Refrigerant line isolation</t>
  </si>
  <si>
    <t>Drain pipes condition &amp; slope</t>
  </si>
  <si>
    <t>A/Cs ATS thermostat sensor (former 27 degree sensor) operation</t>
  </si>
  <si>
    <t>A/Cs unadjusted to specified degree</t>
  </si>
  <si>
    <t>Security metal cage broke/faulty lock/non-galvanized/corroded/not complied by Orange design (if applicable)</t>
  </si>
  <si>
    <t>Fire alarm don't stop A/Cs and/or generator</t>
  </si>
  <si>
    <t>Fire extinguisher missing/empty/expired/(safety seal)</t>
  </si>
  <si>
    <t>Fire extinguisher unfixed</t>
  </si>
  <si>
    <t>Lights operation</t>
  </si>
  <si>
    <t>Emergency light operation &amp; battery condition</t>
  </si>
  <si>
    <t>Light switches &amp; AC outlets (condition &amp; location)</t>
  </si>
  <si>
    <t>Unused assets</t>
  </si>
  <si>
    <t>Flammable junk/trash inside/outside (e.g. plastics, papers, cartoon boxes, etc…)</t>
  </si>
  <si>
    <t>Non-flammable junk/trash inside/outside (e.g. metals, woods, etc… )</t>
  </si>
  <si>
    <t>Logbook holder &amp; site info (Orange, Site Name, Code, Area, etc..)</t>
  </si>
  <si>
    <t>Barbed wire &amp; supports</t>
  </si>
  <si>
    <t>PM intervals out of schedule</t>
  </si>
  <si>
    <t>Double roof unfixed/broke</t>
  </si>
  <si>
    <t>Stairs/climbing ladder condition (if applicable)</t>
  </si>
  <si>
    <t>Anticlimbing door warning sign</t>
  </si>
  <si>
    <t>Ventilation fan clean and function (if applicable)</t>
  </si>
  <si>
    <t>Feeders earth kit and connectors isolation</t>
  </si>
  <si>
    <t>Beacon light function</t>
  </si>
  <si>
    <t>Climbing safety wire</t>
  </si>
  <si>
    <t>Earth connected to antennas &amp; MW ODU</t>
  </si>
  <si>
    <t>Palm tree fronds (broke/fall)</t>
  </si>
  <si>
    <t>Lightening rod 1.5m at least on top of tower (if applicable)</t>
  </si>
  <si>
    <t>Bolts &amp; nuts of the base (missing/loose)</t>
  </si>
  <si>
    <t>Faulty sound proof</t>
  </si>
  <si>
    <t>Maint</t>
  </si>
  <si>
    <t>Dep</t>
  </si>
  <si>
    <t>Gen</t>
  </si>
  <si>
    <t>Miscellaneous Reserves (not identified above and not weighed):</t>
  </si>
  <si>
    <t>Dropdown Lists</t>
  </si>
  <si>
    <t>Exist &amp; function</t>
  </si>
  <si>
    <t>Not exist &amp; site powered by gen./solar cells</t>
  </si>
  <si>
    <t>Not exist &amp; power rented from the owner</t>
  </si>
  <si>
    <t>Exist &amp; gen. running because power was normally cut during visit</t>
  </si>
  <si>
    <t>Exist &amp; gen. running because power is frequently unstable</t>
  </si>
  <si>
    <t>Exist &amp; gen. running because of power cable problem</t>
  </si>
  <si>
    <t>Exist &amp; gen. running because of wrong phases rotation</t>
  </si>
  <si>
    <t>Exist &amp; gen. running because EC cut our power</t>
  </si>
  <si>
    <t>Illegal power</t>
  </si>
  <si>
    <t>Exist &amp; not connected</t>
  </si>
  <si>
    <t>Exist &amp; faulty (OOS)</t>
  </si>
  <si>
    <t>Not reachable</t>
  </si>
  <si>
    <t>Site/Gen. Logbook</t>
  </si>
  <si>
    <t>Missing</t>
  </si>
  <si>
    <t>No PM record found according to the planned schedule</t>
  </si>
  <si>
    <t>Logbook for the last 8 months exist &amp; the last PM recorded with date</t>
  </si>
  <si>
    <t>Logbook for the last 8 months exist &amp; the last PM recorded without date</t>
  </si>
  <si>
    <t>Logbook has records less than 8 months &amp; the last PM recorded with date</t>
  </si>
  <si>
    <t>Logbook has records less than 8 months &amp; the last PM recorded without date</t>
  </si>
  <si>
    <t>BSC</t>
  </si>
  <si>
    <t>PCU</t>
  </si>
  <si>
    <t>RNC</t>
  </si>
  <si>
    <t>Cards</t>
  </si>
  <si>
    <t>Modems</t>
  </si>
  <si>
    <t>Cables</t>
  </si>
  <si>
    <t>Empty Racks</t>
  </si>
  <si>
    <t>MW IDU/ODU</t>
  </si>
  <si>
    <t>Antenna</t>
  </si>
  <si>
    <t>UPS</t>
  </si>
  <si>
    <t>Stabilizer</t>
  </si>
  <si>
    <t>HUA</t>
  </si>
  <si>
    <t>E///</t>
  </si>
  <si>
    <t>NEC</t>
  </si>
  <si>
    <t>ALU</t>
  </si>
  <si>
    <t>MOTO</t>
  </si>
  <si>
    <t>Transmission Solutions</t>
  </si>
  <si>
    <t>ZTE</t>
  </si>
  <si>
    <t>UniPower</t>
  </si>
  <si>
    <t>Production</t>
  </si>
  <si>
    <t>Pic #8</t>
  </si>
  <si>
    <t>Picture #8</t>
  </si>
  <si>
    <t>Pic #9</t>
  </si>
  <si>
    <t>Picture #9</t>
  </si>
  <si>
    <t>Pic #10</t>
  </si>
  <si>
    <t>Picture #10</t>
  </si>
  <si>
    <t>Pic #11</t>
  </si>
  <si>
    <t>Picture #11</t>
  </si>
  <si>
    <t>Pic #12</t>
  </si>
  <si>
    <t>Picture #12</t>
  </si>
  <si>
    <t>Sec 1  Antenna Isolation</t>
  </si>
  <si>
    <t>Sec 2  Antenna Isolation</t>
  </si>
  <si>
    <t>Sec 3  Antenna Isolation</t>
  </si>
  <si>
    <t>Sec 4  Antenna Isolation</t>
  </si>
  <si>
    <t>MW (1) ODUs+IF Cable Connector Isolation</t>
  </si>
  <si>
    <t>MW (2) ODUs+IF Cable Connector Isolation</t>
  </si>
  <si>
    <t>MW (3) ODUs+IF Cable Connector Isolation</t>
  </si>
  <si>
    <t>MW (4) ODUs+IF Cable Connector Isolation</t>
  </si>
  <si>
    <t>MW (5) ODUs+IF Cable Connector Isolation</t>
  </si>
  <si>
    <t>MW (6) ODUs+IF Cable Connector Isolation</t>
  </si>
  <si>
    <t>MW (7) ODUs+IF Cable Connector Isolation</t>
  </si>
  <si>
    <t>MW (8) ODUs+IF Cable Connector Isolation</t>
  </si>
  <si>
    <t>Feeders and Jumpers Systemization ( 1 )</t>
  </si>
  <si>
    <t>Feeders and Jumpers Systemization ( 2 )</t>
  </si>
  <si>
    <t>Feeders and Jumpers Systemization ( 3 )</t>
  </si>
  <si>
    <t>Feeders and Jumpers Systemization ( 4 )</t>
  </si>
  <si>
    <t xml:space="preserve">NA </t>
  </si>
  <si>
    <t xml:space="preserve">                                   NA</t>
  </si>
  <si>
    <t>tanta</t>
  </si>
  <si>
    <t>delta</t>
  </si>
  <si>
    <t>Done</t>
  </si>
  <si>
    <t>need to clean</t>
  </si>
  <si>
    <t>moharm foad</t>
  </si>
  <si>
    <t>need clean</t>
  </si>
  <si>
    <t>mohamed gabr</t>
  </si>
  <si>
    <t>ahmed saeed</t>
  </si>
  <si>
    <t xml:space="preserve">  10:00:00 AM</t>
  </si>
  <si>
    <t xml:space="preserve">need to clean </t>
  </si>
  <si>
    <t>done</t>
  </si>
  <si>
    <t>NEED CLEAN</t>
  </si>
  <si>
    <t>DONE</t>
  </si>
  <si>
    <t>need clean AND COVER</t>
  </si>
  <si>
    <t>DELTA2</t>
  </si>
  <si>
    <t>ZETA</t>
  </si>
  <si>
    <t>S</t>
  </si>
  <si>
    <t>6KG</t>
  </si>
  <si>
    <t>BAVARIA</t>
  </si>
  <si>
    <t>CO2</t>
  </si>
  <si>
    <t xml:space="preserve">cabinet all opened </t>
  </si>
  <si>
    <t xml:space="preserve">cabinet all closed </t>
  </si>
  <si>
    <t>Tower from distance</t>
  </si>
  <si>
    <t>Alarm BOX</t>
  </si>
  <si>
    <t xml:space="preserve">alarms BOX cable </t>
  </si>
  <si>
    <t xml:space="preserve">TX cabinet opened </t>
  </si>
  <si>
    <t xml:space="preserve">TX cabinet closed </t>
  </si>
  <si>
    <t xml:space="preserve">Power meter panel closed // earthed </t>
  </si>
  <si>
    <t xml:space="preserve">sharing panel show all CB and cables </t>
  </si>
  <si>
    <t xml:space="preserve">sharing panel closed </t>
  </si>
  <si>
    <t xml:space="preserve">power cables path </t>
  </si>
  <si>
    <t>Earth panroama</t>
  </si>
  <si>
    <t>Outside cable tray</t>
  </si>
  <si>
    <t xml:space="preserve">Outside cable tray  with tower </t>
  </si>
  <si>
    <t>Roxtec inside</t>
  </si>
  <si>
    <t>Roctec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</si>
</sst>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h:mm\ AM/PM;@"/>
    <numFmt numFmtId="165" formatCode="0.0"/>
    <numFmt numFmtId="166" formatCode="d/mmmm/yyyy"/>
    <numFmt numFmtId="167" formatCode="[$-409]d/mmm/yy;@"/>
    <numFmt numFmtId="168" formatCode="0;[Red]0"/>
    <numFmt numFmtId="169" formatCode="0.0;[Red]0.0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indexed="8"/>
      <name val="Times New Roman"/>
      <family val="1"/>
    </font>
    <font>
      <b/>
      <sz val="22"/>
      <color theme="1"/>
      <name val="Times New Roman"/>
      <family val="1"/>
    </font>
    <font>
      <b/>
      <sz val="22"/>
      <color rgb="FF000000"/>
      <name val="Times New Roman"/>
      <family val="1"/>
    </font>
    <font>
      <b/>
      <sz val="22"/>
      <color rgb="FFFF0000"/>
      <name val="Times New Roman"/>
      <family val="1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name val="Arial"/>
      <family val="2"/>
    </font>
    <font>
      <sz val="11"/>
      <color theme="1"/>
      <name val="Calibri"/>
      <family val="2"/>
    </font>
    <font>
      <b/>
      <sz val="10"/>
      <color indexed="10"/>
      <name val="Arial"/>
      <family val="2"/>
    </font>
    <font>
      <b/>
      <u/>
      <sz val="12"/>
      <color indexed="22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color indexed="13"/>
      <name val="Arial"/>
      <family val="2"/>
    </font>
    <font>
      <b/>
      <sz val="10"/>
      <name val="Arial"/>
      <family val="2"/>
    </font>
    <font>
      <b/>
      <u/>
      <sz val="7"/>
      <color indexed="22"/>
      <name val="Arial"/>
      <family val="2"/>
    </font>
    <font>
      <b/>
      <sz val="7"/>
      <color indexed="22"/>
      <name val="Arial"/>
      <family val="2"/>
    </font>
    <font>
      <b/>
      <sz val="10"/>
      <color indexed="9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indexed="23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b/>
      <sz val="10"/>
      <color rgb="FFFF0000"/>
      <name val="Century Gothic"/>
      <family val="2"/>
    </font>
    <font>
      <b/>
      <u/>
      <sz val="10"/>
      <name val="Century Gothic"/>
      <family val="2"/>
    </font>
    <font>
      <sz val="12"/>
      <color rgb="FFFF0000"/>
      <name val="Arial"/>
      <family val="2"/>
    </font>
    <font>
      <b/>
      <i/>
      <sz val="10"/>
      <name val="Century Gothic"/>
      <family val="2"/>
    </font>
    <font>
      <b/>
      <u/>
      <sz val="12"/>
      <name val="Arial"/>
      <family val="2"/>
    </font>
    <font>
      <b/>
      <sz val="12"/>
      <color rgb="FFFF0000"/>
      <name val="Arial"/>
      <family val="2"/>
    </font>
    <font>
      <b/>
      <sz val="11"/>
      <name val="Century Gothic"/>
      <family val="2"/>
    </font>
    <font>
      <b/>
      <sz val="8"/>
      <name val="Century Gothic"/>
      <family val="2"/>
    </font>
    <font>
      <b/>
      <vertAlign val="subscript"/>
      <sz val="10"/>
      <name val="Century Gothic"/>
      <family val="2"/>
    </font>
    <font>
      <b/>
      <sz val="9"/>
      <name val="Century Gothic"/>
      <family val="2"/>
    </font>
    <font>
      <b/>
      <sz val="7"/>
      <name val="Century Gothic"/>
      <family val="2"/>
    </font>
    <font>
      <b/>
      <sz val="5"/>
      <name val="Century Gothic"/>
      <family val="2"/>
    </font>
    <font>
      <b/>
      <i/>
      <sz val="12"/>
      <name val="Century Gothic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indexed="9"/>
      <name val="Times New Roman"/>
      <family val="1"/>
    </font>
    <font>
      <sz val="10"/>
      <color indexed="9"/>
      <name val="Times New Roman"/>
      <family val="1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2"/>
      <color indexed="2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8">
    <xf numFmtId="0" fontId="0" fillId="0" borderId="0"/>
    <xf numFmtId="0" fontId="2" fillId="0" borderId="0"/>
    <xf numFmtId="0" fontId="2" fillId="0" borderId="0"/>
    <xf numFmtId="0" fontId="16" fillId="0" borderId="0"/>
    <xf numFmtId="0" fontId="19" fillId="0" borderId="0"/>
    <xf numFmtId="0" fontId="2" fillId="0" borderId="0"/>
    <xf numFmtId="0" fontId="2" fillId="0" borderId="0"/>
    <xf numFmtId="0" fontId="56" fillId="0" borderId="0"/>
  </cellStyleXfs>
  <cellXfs count="540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6" borderId="1" xfId="0" applyNumberFormat="1" applyFill="1" applyBorder="1"/>
    <xf numFmtId="0" fontId="0" fillId="6" borderId="4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readingOrder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5" borderId="2" xfId="0" applyFont="1" applyFill="1" applyBorder="1" applyAlignment="1"/>
    <xf numFmtId="0" fontId="6" fillId="5" borderId="1" xfId="0" applyFont="1" applyFill="1" applyBorder="1" applyAlignment="1">
      <alignment wrapText="1"/>
    </xf>
    <xf numFmtId="0" fontId="5" fillId="0" borderId="0" xfId="0" applyFont="1"/>
    <xf numFmtId="49" fontId="5" fillId="0" borderId="0" xfId="0" applyNumberFormat="1" applyFont="1"/>
    <xf numFmtId="0" fontId="5" fillId="5" borderId="3" xfId="0" applyFont="1" applyFill="1" applyBorder="1" applyAlignment="1"/>
    <xf numFmtId="0" fontId="6" fillId="5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/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49" fontId="5" fillId="5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vertical="top"/>
    </xf>
    <xf numFmtId="0" fontId="8" fillId="5" borderId="5" xfId="1" applyFont="1" applyFill="1" applyBorder="1" applyAlignment="1" applyProtection="1">
      <alignment vertical="center" wrapText="1"/>
    </xf>
    <xf numFmtId="0" fontId="5" fillId="5" borderId="0" xfId="0" applyFont="1" applyFill="1"/>
    <xf numFmtId="0" fontId="9" fillId="5" borderId="1" xfId="0" applyFont="1" applyFill="1" applyBorder="1" applyAlignment="1">
      <alignment horizontal="center" vertical="center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vertical="center" readingOrder="1"/>
    </xf>
    <xf numFmtId="0" fontId="10" fillId="5" borderId="6" xfId="0" applyFont="1" applyFill="1" applyBorder="1" applyAlignment="1">
      <alignment horizontal="left" vertical="center" readingOrder="1"/>
    </xf>
    <xf numFmtId="0" fontId="9" fillId="5" borderId="6" xfId="0" applyFont="1" applyFill="1" applyBorder="1" applyAlignment="1">
      <alignment horizontal="center" vertical="center"/>
    </xf>
    <xf numFmtId="0" fontId="5" fillId="5" borderId="6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9" fillId="5" borderId="1" xfId="0" applyFont="1" applyFill="1" applyBorder="1"/>
    <xf numFmtId="0" fontId="10" fillId="5" borderId="4" xfId="0" applyFont="1" applyFill="1" applyBorder="1" applyAlignment="1">
      <alignment horizontal="left" vertical="center" readingOrder="1"/>
    </xf>
    <xf numFmtId="0" fontId="9" fillId="5" borderId="4" xfId="0" applyFont="1" applyFill="1" applyBorder="1" applyAlignment="1">
      <alignment horizontal="center" vertical="center"/>
    </xf>
    <xf numFmtId="0" fontId="5" fillId="5" borderId="4" xfId="0" applyFont="1" applyFill="1" applyBorder="1"/>
    <xf numFmtId="0" fontId="5" fillId="6" borderId="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readingOrder="1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49" fontId="5" fillId="6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vertical="center" readingOrder="1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/>
    <xf numFmtId="0" fontId="12" fillId="0" borderId="0" xfId="0" applyFont="1"/>
    <xf numFmtId="0" fontId="12" fillId="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49" fontId="12" fillId="5" borderId="1" xfId="0" applyNumberFormat="1" applyFont="1" applyFill="1" applyBorder="1"/>
    <xf numFmtId="49" fontId="12" fillId="0" borderId="1" xfId="0" applyNumberFormat="1" applyFont="1" applyBorder="1"/>
    <xf numFmtId="49" fontId="12" fillId="6" borderId="1" xfId="0" applyNumberFormat="1" applyFont="1" applyFill="1" applyBorder="1"/>
    <xf numFmtId="0" fontId="14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2" fillId="0" borderId="0" xfId="2"/>
    <xf numFmtId="0" fontId="16" fillId="0" borderId="0" xfId="3"/>
    <xf numFmtId="0" fontId="0" fillId="10" borderId="0" xfId="0" applyFill="1"/>
    <xf numFmtId="0" fontId="0" fillId="0" borderId="0" xfId="0" applyFill="1"/>
    <xf numFmtId="0" fontId="2" fillId="9" borderId="23" xfId="0" applyFont="1" applyFill="1" applyBorder="1" applyAlignment="1"/>
    <xf numFmtId="0" fontId="2" fillId="9" borderId="24" xfId="0" applyFont="1" applyFill="1" applyBorder="1" applyAlignment="1"/>
    <xf numFmtId="0" fontId="22" fillId="9" borderId="24" xfId="0" applyFont="1" applyFill="1" applyBorder="1" applyAlignment="1"/>
    <xf numFmtId="0" fontId="2" fillId="9" borderId="25" xfId="0" applyFont="1" applyFill="1" applyBorder="1" applyAlignment="1"/>
    <xf numFmtId="0" fontId="23" fillId="11" borderId="1" xfId="0" applyFont="1" applyFill="1" applyBorder="1" applyAlignment="1">
      <alignment horizontal="center"/>
    </xf>
    <xf numFmtId="0" fontId="2" fillId="0" borderId="0" xfId="2" applyBorder="1"/>
    <xf numFmtId="0" fontId="23" fillId="14" borderId="28" xfId="2" applyFont="1" applyFill="1" applyBorder="1" applyAlignment="1">
      <alignment horizontal="center" vertical="center" wrapText="1"/>
    </xf>
    <xf numFmtId="0" fontId="23" fillId="14" borderId="29" xfId="2" applyFont="1" applyFill="1" applyBorder="1" applyAlignment="1">
      <alignment horizontal="center" vertical="center" wrapText="1"/>
    </xf>
    <xf numFmtId="0" fontId="23" fillId="14" borderId="31" xfId="2" applyFont="1" applyFill="1" applyBorder="1" applyAlignment="1">
      <alignment horizontal="center" vertical="center" wrapText="1"/>
    </xf>
    <xf numFmtId="0" fontId="2" fillId="0" borderId="37" xfId="2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top"/>
    </xf>
    <xf numFmtId="14" fontId="27" fillId="6" borderId="1" xfId="0" applyNumberFormat="1" applyFont="1" applyFill="1" applyBorder="1" applyAlignment="1">
      <alignment horizontal="center" vertical="center" wrapText="1"/>
    </xf>
    <xf numFmtId="0" fontId="2" fillId="0" borderId="38" xfId="2" applyBorder="1" applyAlignment="1">
      <alignment horizontal="center" vertical="center" wrapText="1"/>
    </xf>
    <xf numFmtId="0" fontId="2" fillId="0" borderId="5" xfId="2" applyBorder="1" applyAlignment="1">
      <alignment horizontal="center" vertical="center" wrapText="1"/>
    </xf>
    <xf numFmtId="0" fontId="2" fillId="0" borderId="0" xfId="2" applyFill="1" applyBorder="1" applyAlignment="1"/>
    <xf numFmtId="0" fontId="2" fillId="0" borderId="0" xfId="2" applyFill="1" applyBorder="1"/>
    <xf numFmtId="0" fontId="2" fillId="0" borderId="1" xfId="2" applyBorder="1" applyAlignment="1">
      <alignment horizontal="center" vertical="center" wrapText="1"/>
    </xf>
    <xf numFmtId="0" fontId="2" fillId="0" borderId="41" xfId="2" applyBorder="1" applyAlignment="1">
      <alignment horizontal="center" vertical="center" wrapText="1"/>
    </xf>
    <xf numFmtId="0" fontId="2" fillId="0" borderId="42" xfId="2" applyBorder="1" applyAlignment="1">
      <alignment horizontal="center" vertical="center" wrapText="1"/>
    </xf>
    <xf numFmtId="0" fontId="2" fillId="0" borderId="43" xfId="2" applyBorder="1" applyAlignment="1">
      <alignment horizontal="center" vertical="center" wrapText="1"/>
    </xf>
    <xf numFmtId="0" fontId="2" fillId="0" borderId="44" xfId="2" applyBorder="1" applyAlignment="1">
      <alignment horizontal="center" vertical="center" wrapText="1"/>
    </xf>
    <xf numFmtId="0" fontId="2" fillId="0" borderId="45" xfId="2" applyBorder="1" applyAlignment="1">
      <alignment horizontal="center" vertical="center" wrapText="1"/>
    </xf>
    <xf numFmtId="0" fontId="19" fillId="0" borderId="0" xfId="4" applyBorder="1" applyAlignment="1">
      <alignment horizontal="center"/>
    </xf>
    <xf numFmtId="0" fontId="30" fillId="0" borderId="0" xfId="0" applyFont="1"/>
    <xf numFmtId="0" fontId="31" fillId="0" borderId="0" xfId="0" applyFont="1"/>
    <xf numFmtId="0" fontId="32" fillId="15" borderId="49" xfId="5" applyFont="1" applyFill="1" applyBorder="1" applyAlignment="1">
      <alignment horizontal="left"/>
    </xf>
    <xf numFmtId="0" fontId="32" fillId="15" borderId="50" xfId="5" applyFont="1" applyFill="1" applyBorder="1" applyAlignment="1">
      <alignment horizontal="left"/>
    </xf>
    <xf numFmtId="0" fontId="32" fillId="15" borderId="51" xfId="5" applyFont="1" applyFill="1" applyBorder="1" applyAlignment="1">
      <alignment horizontal="left"/>
    </xf>
    <xf numFmtId="0" fontId="30" fillId="0" borderId="0" xfId="0" applyFont="1" applyAlignment="1"/>
    <xf numFmtId="0" fontId="31" fillId="0" borderId="0" xfId="0" applyFont="1" applyAlignment="1"/>
    <xf numFmtId="0" fontId="32" fillId="15" borderId="53" xfId="5" applyFont="1" applyFill="1" applyBorder="1" applyAlignment="1">
      <alignment horizontal="left"/>
    </xf>
    <xf numFmtId="0" fontId="32" fillId="15" borderId="24" xfId="5" applyFont="1" applyFill="1" applyBorder="1" applyAlignment="1">
      <alignment horizontal="left"/>
    </xf>
    <xf numFmtId="0" fontId="32" fillId="15" borderId="56" xfId="5" applyFont="1" applyFill="1" applyBorder="1" applyAlignment="1">
      <alignment horizontal="left"/>
    </xf>
    <xf numFmtId="0" fontId="32" fillId="15" borderId="16" xfId="5" applyFont="1" applyFill="1" applyBorder="1" applyAlignment="1">
      <alignment horizontal="left"/>
    </xf>
    <xf numFmtId="0" fontId="32" fillId="15" borderId="54" xfId="5" applyFont="1" applyFill="1" applyBorder="1" applyAlignment="1">
      <alignment horizontal="center"/>
    </xf>
    <xf numFmtId="0" fontId="32" fillId="15" borderId="16" xfId="5" applyFont="1" applyFill="1" applyBorder="1" applyAlignment="1">
      <alignment horizontal="center"/>
    </xf>
    <xf numFmtId="0" fontId="32" fillId="15" borderId="54" xfId="5" applyFont="1" applyFill="1" applyBorder="1" applyAlignment="1">
      <alignment horizontal="left"/>
    </xf>
    <xf numFmtId="0" fontId="32" fillId="15" borderId="13" xfId="5" applyFont="1" applyFill="1" applyBorder="1" applyAlignment="1">
      <alignment horizontal="left"/>
    </xf>
    <xf numFmtId="0" fontId="32" fillId="15" borderId="14" xfId="5" applyFont="1" applyFill="1" applyBorder="1" applyAlignment="1">
      <alignment horizontal="left"/>
    </xf>
    <xf numFmtId="0" fontId="32" fillId="15" borderId="57" xfId="5" applyFont="1" applyFill="1" applyBorder="1" applyAlignment="1">
      <alignment horizontal="left"/>
    </xf>
    <xf numFmtId="0" fontId="32" fillId="15" borderId="58" xfId="5" applyFont="1" applyFill="1" applyBorder="1" applyAlignment="1">
      <alignment horizontal="left"/>
    </xf>
    <xf numFmtId="0" fontId="32" fillId="15" borderId="59" xfId="5" applyFont="1" applyFill="1" applyBorder="1" applyAlignment="1">
      <alignment horizontal="center"/>
    </xf>
    <xf numFmtId="0" fontId="32" fillId="15" borderId="58" xfId="5" applyFont="1" applyFill="1" applyBorder="1" applyAlignment="1">
      <alignment horizontal="center"/>
    </xf>
    <xf numFmtId="0" fontId="32" fillId="15" borderId="59" xfId="5" applyFont="1" applyFill="1" applyBorder="1" applyAlignment="1">
      <alignment horizontal="left"/>
    </xf>
    <xf numFmtId="0" fontId="32" fillId="0" borderId="61" xfId="5" applyFont="1" applyBorder="1"/>
    <xf numFmtId="0" fontId="32" fillId="0" borderId="61" xfId="5" applyFont="1" applyBorder="1" applyAlignment="1">
      <alignment horizontal="center"/>
    </xf>
    <xf numFmtId="0" fontId="32" fillId="0" borderId="0" xfId="5" applyFont="1"/>
    <xf numFmtId="0" fontId="32" fillId="0" borderId="0" xfId="5" applyFont="1" applyAlignment="1">
      <alignment horizontal="center"/>
    </xf>
    <xf numFmtId="0" fontId="32" fillId="0" borderId="0" xfId="5" applyFont="1" applyBorder="1" applyAlignment="1">
      <alignment horizontal="center"/>
    </xf>
    <xf numFmtId="0" fontId="32" fillId="0" borderId="0" xfId="5" applyFont="1" applyBorder="1"/>
    <xf numFmtId="0" fontId="32" fillId="0" borderId="1" xfId="5" applyFont="1" applyBorder="1" applyAlignment="1">
      <alignment horizontal="center"/>
    </xf>
    <xf numFmtId="0" fontId="33" fillId="0" borderId="0" xfId="5" applyFont="1"/>
    <xf numFmtId="165" fontId="32" fillId="0" borderId="0" xfId="5" applyNumberFormat="1" applyFont="1"/>
    <xf numFmtId="165" fontId="32" fillId="0" borderId="0" xfId="5" applyNumberFormat="1" applyFont="1" applyBorder="1"/>
    <xf numFmtId="0" fontId="32" fillId="0" borderId="0" xfId="5" applyFont="1" applyAlignment="1"/>
    <xf numFmtId="0" fontId="34" fillId="0" borderId="0" xfId="5" applyFont="1"/>
    <xf numFmtId="0" fontId="32" fillId="6" borderId="1" xfId="5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32" fillId="0" borderId="0" xfId="5" applyFont="1" applyFill="1" applyBorder="1" applyAlignment="1"/>
    <xf numFmtId="0" fontId="32" fillId="0" borderId="0" xfId="5" applyFont="1" applyFill="1"/>
    <xf numFmtId="0" fontId="35" fillId="0" borderId="0" xfId="5" applyFont="1"/>
    <xf numFmtId="0" fontId="32" fillId="0" borderId="0" xfId="5" applyFont="1" applyBorder="1" applyAlignment="1">
      <alignment horizontal="left"/>
    </xf>
    <xf numFmtId="0" fontId="32" fillId="0" borderId="0" xfId="5" applyFont="1" applyBorder="1" applyAlignment="1"/>
    <xf numFmtId="0" fontId="36" fillId="0" borderId="0" xfId="0" applyFont="1"/>
    <xf numFmtId="0" fontId="32" fillId="0" borderId="4" xfId="5" applyFont="1" applyBorder="1" applyAlignment="1">
      <alignment horizontal="center"/>
    </xf>
    <xf numFmtId="0" fontId="32" fillId="0" borderId="0" xfId="5" applyFont="1" applyAlignment="1">
      <alignment horizontal="left"/>
    </xf>
    <xf numFmtId="0" fontId="32" fillId="0" borderId="22" xfId="5" applyFont="1" applyBorder="1" applyAlignment="1">
      <alignment horizontal="center"/>
    </xf>
    <xf numFmtId="0" fontId="37" fillId="0" borderId="0" xfId="5" applyFont="1"/>
    <xf numFmtId="0" fontId="35" fillId="0" borderId="0" xfId="5" applyFont="1" applyAlignment="1">
      <alignment horizontal="left"/>
    </xf>
    <xf numFmtId="0" fontId="30" fillId="0" borderId="0" xfId="0" applyFont="1" applyAlignment="1">
      <alignment horizontal="center"/>
    </xf>
    <xf numFmtId="0" fontId="37" fillId="0" borderId="0" xfId="5" applyFont="1" applyAlignment="1">
      <alignment horizontal="left"/>
    </xf>
    <xf numFmtId="0" fontId="39" fillId="0" borderId="0" xfId="0" applyFont="1" applyFill="1"/>
    <xf numFmtId="0" fontId="39" fillId="0" borderId="0" xfId="0" applyFont="1"/>
    <xf numFmtId="0" fontId="0" fillId="0" borderId="0" xfId="0" applyAlignment="1"/>
    <xf numFmtId="0" fontId="32" fillId="0" borderId="0" xfId="5" applyFont="1" applyFill="1" applyBorder="1" applyAlignment="1">
      <alignment horizontal="center"/>
    </xf>
    <xf numFmtId="0" fontId="32" fillId="0" borderId="16" xfId="5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0" fontId="32" fillId="0" borderId="5" xfId="5" applyFont="1" applyBorder="1" applyAlignment="1"/>
    <xf numFmtId="0" fontId="32" fillId="0" borderId="16" xfId="5" applyFont="1" applyBorder="1" applyAlignment="1"/>
    <xf numFmtId="0" fontId="32" fillId="0" borderId="17" xfId="5" applyFont="1" applyBorder="1" applyAlignment="1">
      <alignment horizontal="center" vertical="center"/>
    </xf>
    <xf numFmtId="0" fontId="41" fillId="0" borderId="0" xfId="5" applyFont="1"/>
    <xf numFmtId="0" fontId="30" fillId="0" borderId="0" xfId="0" applyFont="1" applyFill="1" applyBorder="1"/>
    <xf numFmtId="0" fontId="31" fillId="0" borderId="0" xfId="0" applyFont="1" applyFill="1" applyBorder="1"/>
    <xf numFmtId="0" fontId="32" fillId="0" borderId="0" xfId="5" applyFont="1" applyFill="1" applyBorder="1" applyAlignment="1">
      <alignment horizontal="left"/>
    </xf>
    <xf numFmtId="0" fontId="35" fillId="0" borderId="0" xfId="5" applyFont="1" applyFill="1" applyBorder="1" applyAlignment="1">
      <alignment horizontal="left"/>
    </xf>
    <xf numFmtId="0" fontId="34" fillId="0" borderId="0" xfId="5" applyFont="1" applyFill="1" applyBorder="1" applyAlignment="1">
      <alignment horizontal="left"/>
    </xf>
    <xf numFmtId="0" fontId="30" fillId="0" borderId="0" xfId="0" applyFont="1" applyBorder="1"/>
    <xf numFmtId="0" fontId="31" fillId="0" borderId="0" xfId="0" applyFont="1" applyBorder="1"/>
    <xf numFmtId="0" fontId="34" fillId="0" borderId="0" xfId="5" applyFont="1" applyBorder="1"/>
    <xf numFmtId="0" fontId="32" fillId="0" borderId="1" xfId="5" applyFont="1" applyFill="1" applyBorder="1" applyAlignment="1">
      <alignment horizontal="center"/>
    </xf>
    <xf numFmtId="0" fontId="32" fillId="0" borderId="0" xfId="5" applyFont="1" applyAlignment="1">
      <alignment horizontal="center" vertical="center"/>
    </xf>
    <xf numFmtId="0" fontId="19" fillId="0" borderId="0" xfId="0" applyFont="1"/>
    <xf numFmtId="0" fontId="32" fillId="0" borderId="17" xfId="5" applyFont="1" applyBorder="1" applyAlignment="1"/>
    <xf numFmtId="0" fontId="32" fillId="0" borderId="5" xfId="5" applyFont="1" applyBorder="1"/>
    <xf numFmtId="0" fontId="32" fillId="0" borderId="17" xfId="5" applyFont="1" applyBorder="1"/>
    <xf numFmtId="0" fontId="32" fillId="0" borderId="1" xfId="5" applyFont="1" applyBorder="1"/>
    <xf numFmtId="0" fontId="32" fillId="0" borderId="0" xfId="5" applyFont="1" applyFill="1" applyAlignment="1">
      <alignment horizontal="center"/>
    </xf>
    <xf numFmtId="0" fontId="32" fillId="0" borderId="0" xfId="5" applyFont="1" applyFill="1" applyBorder="1"/>
    <xf numFmtId="0" fontId="38" fillId="0" borderId="0" xfId="0" applyFont="1" applyAlignment="1">
      <alignment horizontal="center"/>
    </xf>
    <xf numFmtId="0" fontId="38" fillId="0" borderId="0" xfId="0" applyFont="1"/>
    <xf numFmtId="0" fontId="41" fillId="0" borderId="5" xfId="5" applyFont="1" applyBorder="1" applyAlignment="1">
      <alignment horizontal="center" vertical="center"/>
    </xf>
    <xf numFmtId="0" fontId="41" fillId="0" borderId="1" xfId="5" applyFont="1" applyBorder="1" applyAlignment="1">
      <alignment horizontal="center" vertical="center" wrapText="1" shrinkToFit="1"/>
    </xf>
    <xf numFmtId="0" fontId="44" fillId="0" borderId="1" xfId="5" applyFont="1" applyBorder="1" applyAlignment="1">
      <alignment horizontal="center" vertical="center" wrapText="1" shrinkToFit="1"/>
    </xf>
    <xf numFmtId="0" fontId="43" fillId="0" borderId="1" xfId="5" applyFont="1" applyBorder="1" applyAlignment="1">
      <alignment horizontal="center" vertical="center" wrapText="1" shrinkToFit="1"/>
    </xf>
    <xf numFmtId="0" fontId="41" fillId="0" borderId="1" xfId="5" applyFont="1" applyBorder="1" applyAlignment="1">
      <alignment horizontal="center" vertical="center"/>
    </xf>
    <xf numFmtId="0" fontId="45" fillId="0" borderId="1" xfId="5" applyFont="1" applyBorder="1" applyAlignment="1">
      <alignment horizontal="center" vertical="center" wrapText="1" shrinkToFit="1"/>
    </xf>
    <xf numFmtId="0" fontId="44" fillId="0" borderId="1" xfId="5" applyFont="1" applyBorder="1" applyAlignment="1">
      <alignment vertical="center" wrapText="1" shrinkToFit="1"/>
    </xf>
    <xf numFmtId="0" fontId="32" fillId="0" borderId="1" xfId="5" applyFont="1" applyBorder="1" applyAlignment="1"/>
    <xf numFmtId="0" fontId="41" fillId="0" borderId="1" xfId="5" applyFont="1" applyBorder="1" applyAlignment="1">
      <alignment vertical="center"/>
    </xf>
    <xf numFmtId="0" fontId="32" fillId="0" borderId="1" xfId="5" applyFont="1" applyBorder="1" applyAlignment="1">
      <alignment vertical="center"/>
    </xf>
    <xf numFmtId="0" fontId="41" fillId="0" borderId="1" xfId="5" applyFont="1" applyBorder="1" applyAlignment="1">
      <alignment horizontal="center" shrinkToFit="1"/>
    </xf>
    <xf numFmtId="0" fontId="41" fillId="0" borderId="16" xfId="5" applyFont="1" applyBorder="1" applyAlignment="1"/>
    <xf numFmtId="0" fontId="32" fillId="0" borderId="16" xfId="5" applyFont="1" applyBorder="1"/>
    <xf numFmtId="0" fontId="32" fillId="0" borderId="16" xfId="5" applyFont="1" applyBorder="1" applyAlignment="1">
      <alignment horizontal="center"/>
    </xf>
    <xf numFmtId="0" fontId="46" fillId="0" borderId="0" xfId="5" applyFont="1" applyBorder="1"/>
    <xf numFmtId="0" fontId="46" fillId="0" borderId="0" xfId="0" applyFont="1"/>
    <xf numFmtId="0" fontId="20" fillId="0" borderId="0" xfId="5" applyFont="1" applyBorder="1"/>
    <xf numFmtId="0" fontId="20" fillId="0" borderId="0" xfId="5" applyFont="1" applyBorder="1" applyAlignment="1">
      <alignment horizontal="center"/>
    </xf>
    <xf numFmtId="0" fontId="32" fillId="0" borderId="5" xfId="5" applyFont="1" applyBorder="1" applyAlignment="1">
      <alignment horizontal="center"/>
    </xf>
    <xf numFmtId="0" fontId="47" fillId="17" borderId="1" xfId="0" applyFont="1" applyFill="1" applyBorder="1" applyAlignment="1" applyProtection="1">
      <alignment vertical="center"/>
    </xf>
    <xf numFmtId="0" fontId="48" fillId="17" borderId="1" xfId="0" applyFont="1" applyFill="1" applyBorder="1" applyAlignment="1" applyProtection="1">
      <alignment horizontal="left" vertical="top"/>
    </xf>
    <xf numFmtId="0" fontId="48" fillId="0" borderId="0" xfId="6" applyFont="1" applyProtection="1"/>
    <xf numFmtId="0" fontId="47" fillId="17" borderId="5" xfId="0" applyFont="1" applyFill="1" applyBorder="1" applyAlignment="1" applyProtection="1">
      <alignment vertical="center"/>
    </xf>
    <xf numFmtId="0" fontId="48" fillId="17" borderId="1" xfId="0" applyFont="1" applyFill="1" applyBorder="1" applyAlignment="1" applyProtection="1">
      <alignment horizontal="left" vertical="center"/>
    </xf>
    <xf numFmtId="0" fontId="48" fillId="17" borderId="1" xfId="0" applyFont="1" applyFill="1" applyBorder="1" applyAlignment="1" applyProtection="1">
      <alignment vertical="center"/>
    </xf>
    <xf numFmtId="0" fontId="47" fillId="9" borderId="1" xfId="0" applyFont="1" applyFill="1" applyBorder="1" applyAlignment="1" applyProtection="1">
      <alignment vertical="center"/>
    </xf>
    <xf numFmtId="0" fontId="48" fillId="0" borderId="1" xfId="0" applyFont="1" applyFill="1" applyBorder="1" applyAlignment="1" applyProtection="1">
      <alignment horizontal="left" vertical="center"/>
      <protection locked="0"/>
    </xf>
    <xf numFmtId="166" fontId="48" fillId="0" borderId="1" xfId="0" applyNumberFormat="1" applyFont="1" applyFill="1" applyBorder="1" applyAlignment="1" applyProtection="1">
      <alignment horizontal="left" vertical="center"/>
      <protection locked="0"/>
    </xf>
    <xf numFmtId="10" fontId="48" fillId="0" borderId="1" xfId="0" applyNumberFormat="1" applyFont="1" applyFill="1" applyBorder="1" applyAlignment="1" applyProtection="1">
      <alignment vertical="center"/>
    </xf>
    <xf numFmtId="0" fontId="49" fillId="0" borderId="1" xfId="1" applyFont="1" applyFill="1" applyBorder="1" applyAlignment="1" applyProtection="1">
      <alignment vertical="center" wrapText="1"/>
    </xf>
    <xf numFmtId="0" fontId="50" fillId="0" borderId="1" xfId="1" applyFont="1" applyFill="1" applyBorder="1" applyAlignment="1" applyProtection="1">
      <alignment horizontal="left" vertical="center"/>
      <protection locked="0"/>
    </xf>
    <xf numFmtId="0" fontId="49" fillId="0" borderId="5" xfId="1" applyFont="1" applyFill="1" applyBorder="1" applyAlignment="1" applyProtection="1">
      <alignment vertical="center" wrapText="1"/>
    </xf>
    <xf numFmtId="167" fontId="50" fillId="0" borderId="1" xfId="1" applyNumberFormat="1" applyFont="1" applyFill="1" applyBorder="1" applyAlignment="1" applyProtection="1">
      <alignment horizontal="left" vertical="center"/>
      <protection locked="0"/>
    </xf>
    <xf numFmtId="0" fontId="51" fillId="0" borderId="0" xfId="0" applyFont="1" applyAlignment="1" applyProtection="1">
      <alignment vertical="center"/>
    </xf>
    <xf numFmtId="0" fontId="47" fillId="18" borderId="47" xfId="1" applyFont="1" applyFill="1" applyBorder="1" applyAlignment="1" applyProtection="1">
      <alignment horizontal="center" vertical="center" wrapText="1"/>
    </xf>
    <xf numFmtId="0" fontId="47" fillId="18" borderId="48" xfId="1" applyFont="1" applyFill="1" applyBorder="1" applyAlignment="1" applyProtection="1">
      <alignment horizontal="center" vertical="center" wrapText="1"/>
    </xf>
    <xf numFmtId="0" fontId="52" fillId="0" borderId="0" xfId="0" applyFont="1" applyAlignment="1" applyProtection="1">
      <alignment vertical="center"/>
    </xf>
    <xf numFmtId="0" fontId="47" fillId="8" borderId="28" xfId="1" applyFont="1" applyFill="1" applyBorder="1" applyAlignment="1" applyProtection="1">
      <alignment horizontal="center" vertical="center" wrapText="1"/>
    </xf>
    <xf numFmtId="0" fontId="47" fillId="8" borderId="48" xfId="1" applyFont="1" applyFill="1" applyBorder="1" applyAlignment="1" applyProtection="1">
      <alignment horizontal="center" vertical="center" wrapText="1"/>
    </xf>
    <xf numFmtId="0" fontId="47" fillId="8" borderId="31" xfId="1" applyFont="1" applyFill="1" applyBorder="1" applyAlignment="1" applyProtection="1">
      <alignment horizontal="center" vertical="center" wrapText="1"/>
    </xf>
    <xf numFmtId="0" fontId="48" fillId="0" borderId="0" xfId="6" applyFont="1" applyBorder="1" applyAlignment="1" applyProtection="1">
      <alignment horizontal="center" vertical="center" wrapText="1"/>
    </xf>
    <xf numFmtId="0" fontId="48" fillId="0" borderId="27" xfId="6" applyFont="1" applyBorder="1" applyAlignment="1" applyProtection="1">
      <alignment horizontal="center" vertical="center" wrapText="1"/>
    </xf>
    <xf numFmtId="168" fontId="48" fillId="0" borderId="62" xfId="1" applyNumberFormat="1" applyFont="1" applyFill="1" applyBorder="1" applyAlignment="1" applyProtection="1">
      <alignment horizontal="center" vertical="center"/>
    </xf>
    <xf numFmtId="168" fontId="48" fillId="0" borderId="63" xfId="1" applyNumberFormat="1" applyFont="1" applyFill="1" applyBorder="1" applyAlignment="1" applyProtection="1">
      <alignment horizontal="center" vertical="center"/>
    </xf>
    <xf numFmtId="168" fontId="48" fillId="0" borderId="64" xfId="1" applyNumberFormat="1" applyFont="1" applyFill="1" applyBorder="1" applyAlignment="1" applyProtection="1">
      <alignment horizontal="center" vertical="center"/>
    </xf>
    <xf numFmtId="0" fontId="52" fillId="0" borderId="11" xfId="0" applyFont="1" applyBorder="1" applyAlignment="1" applyProtection="1">
      <alignment vertical="center"/>
    </xf>
    <xf numFmtId="0" fontId="52" fillId="0" borderId="12" xfId="0" applyFont="1" applyBorder="1" applyAlignment="1" applyProtection="1">
      <alignment vertical="center"/>
    </xf>
    <xf numFmtId="168" fontId="48" fillId="0" borderId="68" xfId="1" applyNumberFormat="1" applyFont="1" applyFill="1" applyBorder="1" applyAlignment="1" applyProtection="1">
      <alignment horizontal="center" vertical="center"/>
    </xf>
    <xf numFmtId="168" fontId="48" fillId="0" borderId="69" xfId="1" applyNumberFormat="1" applyFont="1" applyFill="1" applyBorder="1" applyAlignment="1" applyProtection="1">
      <alignment horizontal="center" vertical="center"/>
    </xf>
    <xf numFmtId="168" fontId="48" fillId="0" borderId="70" xfId="1" applyNumberFormat="1" applyFont="1" applyFill="1" applyBorder="1" applyAlignment="1" applyProtection="1">
      <alignment horizontal="center" vertical="center"/>
    </xf>
    <xf numFmtId="0" fontId="47" fillId="9" borderId="2" xfId="0" applyFont="1" applyFill="1" applyBorder="1" applyAlignment="1" applyProtection="1">
      <alignment horizontal="center" vertical="center" wrapText="1" readingOrder="1"/>
    </xf>
    <xf numFmtId="0" fontId="47" fillId="9" borderId="18" xfId="1" applyFont="1" applyFill="1" applyBorder="1" applyAlignment="1" applyProtection="1">
      <alignment horizontal="center" vertical="center" wrapText="1"/>
    </xf>
    <xf numFmtId="12" fontId="47" fillId="5" borderId="38" xfId="1" applyNumberFormat="1" applyFont="1" applyFill="1" applyBorder="1" applyAlignment="1" applyProtection="1">
      <alignment horizontal="center" vertical="center" textRotation="90" wrapText="1"/>
    </xf>
    <xf numFmtId="12" fontId="47" fillId="19" borderId="17" xfId="1" applyNumberFormat="1" applyFont="1" applyFill="1" applyBorder="1" applyAlignment="1" applyProtection="1">
      <alignment horizontal="center" vertical="center" textRotation="90" wrapText="1"/>
    </xf>
    <xf numFmtId="12" fontId="47" fillId="12" borderId="1" xfId="1" applyNumberFormat="1" applyFont="1" applyFill="1" applyBorder="1" applyAlignment="1" applyProtection="1">
      <alignment horizontal="center" vertical="center" textRotation="90" wrapText="1"/>
    </xf>
    <xf numFmtId="12" fontId="53" fillId="20" borderId="41" xfId="1" applyNumberFormat="1" applyFont="1" applyFill="1" applyBorder="1" applyAlignment="1" applyProtection="1">
      <alignment horizontal="center" vertical="center" textRotation="90" wrapText="1"/>
    </xf>
    <xf numFmtId="0" fontId="47" fillId="21" borderId="55" xfId="6" applyFont="1" applyFill="1" applyBorder="1" applyAlignment="1" applyProtection="1">
      <alignment horizontal="center" vertical="center" textRotation="90"/>
    </xf>
    <xf numFmtId="0" fontId="48" fillId="0" borderId="0" xfId="6" applyFont="1" applyBorder="1" applyProtection="1"/>
    <xf numFmtId="168" fontId="47" fillId="5" borderId="38" xfId="1" applyNumberFormat="1" applyFont="1" applyFill="1" applyBorder="1" applyAlignment="1" applyProtection="1">
      <alignment horizontal="center" vertical="center" textRotation="90" wrapText="1"/>
    </xf>
    <xf numFmtId="168" fontId="47" fillId="19" borderId="17" xfId="1" applyNumberFormat="1" applyFont="1" applyFill="1" applyBorder="1" applyAlignment="1" applyProtection="1">
      <alignment horizontal="center" vertical="center" textRotation="90" wrapText="1"/>
    </xf>
    <xf numFmtId="168" fontId="47" fillId="12" borderId="1" xfId="1" applyNumberFormat="1" applyFont="1" applyFill="1" applyBorder="1" applyAlignment="1" applyProtection="1">
      <alignment horizontal="center" vertical="center" textRotation="90" wrapText="1"/>
    </xf>
    <xf numFmtId="168" fontId="53" fillId="20" borderId="41" xfId="1" applyNumberFormat="1" applyFont="1" applyFill="1" applyBorder="1" applyAlignment="1" applyProtection="1">
      <alignment horizontal="center" vertical="center" textRotation="90" wrapText="1"/>
    </xf>
    <xf numFmtId="0" fontId="47" fillId="21" borderId="41" xfId="6" applyFont="1" applyFill="1" applyBorder="1" applyAlignment="1" applyProtection="1">
      <alignment horizontal="center" vertical="center" textRotation="90"/>
    </xf>
    <xf numFmtId="0" fontId="48" fillId="0" borderId="27" xfId="6" applyFont="1" applyBorder="1" applyProtection="1"/>
    <xf numFmtId="0" fontId="47" fillId="4" borderId="1" xfId="6" applyFont="1" applyFill="1" applyBorder="1" applyAlignment="1" applyProtection="1">
      <alignment horizontal="center" vertical="center"/>
    </xf>
    <xf numFmtId="0" fontId="47" fillId="4" borderId="1" xfId="6" applyFont="1" applyFill="1" applyBorder="1" applyAlignment="1" applyProtection="1">
      <alignment horizontal="center" vertical="center" wrapText="1"/>
    </xf>
    <xf numFmtId="0" fontId="48" fillId="0" borderId="1" xfId="0" applyFont="1" applyBorder="1" applyAlignment="1" applyProtection="1">
      <alignment horizontal="center" vertical="center"/>
      <protection locked="0"/>
    </xf>
    <xf numFmtId="0" fontId="50" fillId="0" borderId="5" xfId="1" applyFont="1" applyFill="1" applyBorder="1" applyAlignment="1" applyProtection="1">
      <alignment vertical="center" wrapText="1"/>
    </xf>
    <xf numFmtId="12" fontId="48" fillId="5" borderId="38" xfId="1" applyNumberFormat="1" applyFont="1" applyFill="1" applyBorder="1" applyAlignment="1" applyProtection="1">
      <alignment horizontal="center" vertical="center" wrapText="1"/>
    </xf>
    <xf numFmtId="12" fontId="48" fillId="19" borderId="17" xfId="1" applyNumberFormat="1" applyFont="1" applyFill="1" applyBorder="1" applyAlignment="1" applyProtection="1">
      <alignment horizontal="center" vertical="center" wrapText="1"/>
    </xf>
    <xf numFmtId="12" fontId="48" fillId="0" borderId="71" xfId="1" quotePrefix="1" applyNumberFormat="1" applyFont="1" applyFill="1" applyBorder="1" applyAlignment="1" applyProtection="1">
      <alignment horizontal="center" vertical="center"/>
    </xf>
    <xf numFmtId="12" fontId="48" fillId="0" borderId="69" xfId="1" applyNumberFormat="1" applyFont="1" applyFill="1" applyBorder="1" applyAlignment="1" applyProtection="1">
      <alignment horizontal="center" vertical="center"/>
    </xf>
    <xf numFmtId="0" fontId="48" fillId="0" borderId="55" xfId="6" applyFont="1" applyBorder="1" applyAlignment="1" applyProtection="1">
      <alignment horizontal="center"/>
    </xf>
    <xf numFmtId="0" fontId="48" fillId="0" borderId="0" xfId="6" applyFont="1" applyBorder="1" applyAlignment="1" applyProtection="1">
      <alignment horizontal="center"/>
    </xf>
    <xf numFmtId="169" fontId="48" fillId="0" borderId="0" xfId="6" applyNumberFormat="1" applyFont="1" applyBorder="1" applyAlignment="1" applyProtection="1">
      <alignment horizontal="center"/>
    </xf>
    <xf numFmtId="168" fontId="48" fillId="5" borderId="38" xfId="1" applyNumberFormat="1" applyFont="1" applyFill="1" applyBorder="1" applyAlignment="1" applyProtection="1">
      <alignment horizontal="center" vertical="center" wrapText="1"/>
    </xf>
    <xf numFmtId="168" fontId="48" fillId="19" borderId="1" xfId="1" applyNumberFormat="1" applyFont="1" applyFill="1" applyBorder="1" applyAlignment="1" applyProtection="1">
      <alignment horizontal="center" vertical="center" wrapText="1"/>
    </xf>
    <xf numFmtId="168" fontId="48" fillId="0" borderId="71" xfId="1" applyNumberFormat="1" applyFont="1" applyFill="1" applyBorder="1" applyAlignment="1" applyProtection="1">
      <alignment horizontal="center" vertical="center"/>
    </xf>
    <xf numFmtId="0" fontId="48" fillId="0" borderId="41" xfId="6" applyFont="1" applyBorder="1" applyAlignment="1" applyProtection="1">
      <alignment horizontal="center"/>
    </xf>
    <xf numFmtId="168" fontId="48" fillId="19" borderId="17" xfId="1" applyNumberFormat="1" applyFont="1" applyFill="1" applyBorder="1" applyAlignment="1" applyProtection="1">
      <alignment horizontal="center" vertical="center" wrapText="1"/>
    </xf>
    <xf numFmtId="168" fontId="48" fillId="12" borderId="1" xfId="1" applyNumberFormat="1" applyFont="1" applyFill="1" applyBorder="1" applyAlignment="1" applyProtection="1">
      <alignment horizontal="center" vertical="center" wrapText="1"/>
    </xf>
    <xf numFmtId="168" fontId="48" fillId="0" borderId="68" xfId="1" applyNumberFormat="1" applyFont="1" applyFill="1" applyBorder="1" applyAlignment="1" applyProtection="1">
      <alignment horizontal="center" vertical="center" wrapText="1"/>
    </xf>
    <xf numFmtId="169" fontId="48" fillId="0" borderId="27" xfId="6" applyNumberFormat="1" applyFont="1" applyBorder="1" applyAlignment="1" applyProtection="1">
      <alignment horizontal="center"/>
    </xf>
    <xf numFmtId="168" fontId="48" fillId="4" borderId="38" xfId="1" applyNumberFormat="1" applyFont="1" applyFill="1" applyBorder="1" applyAlignment="1" applyProtection="1">
      <alignment horizontal="center" vertical="center"/>
    </xf>
    <xf numFmtId="168" fontId="48" fillId="4" borderId="55" xfId="1" applyNumberFormat="1" applyFont="1" applyFill="1" applyBorder="1" applyAlignment="1" applyProtection="1">
      <alignment horizontal="center" vertical="center"/>
    </xf>
    <xf numFmtId="168" fontId="48" fillId="0" borderId="1" xfId="6" applyNumberFormat="1" applyFont="1" applyBorder="1" applyAlignment="1" applyProtection="1">
      <alignment horizontal="center"/>
    </xf>
    <xf numFmtId="0" fontId="48" fillId="0" borderId="1" xfId="6" applyFont="1" applyBorder="1" applyAlignment="1" applyProtection="1">
      <alignment horizontal="center"/>
    </xf>
    <xf numFmtId="12" fontId="48" fillId="5" borderId="72" xfId="1" applyNumberFormat="1" applyFont="1" applyFill="1" applyBorder="1" applyAlignment="1" applyProtection="1">
      <alignment horizontal="center" vertical="center" wrapText="1"/>
    </xf>
    <xf numFmtId="12" fontId="48" fillId="0" borderId="73" xfId="1" applyNumberFormat="1" applyFont="1" applyFill="1" applyBorder="1" applyAlignment="1" applyProtection="1">
      <alignment horizontal="center" vertical="center"/>
    </xf>
    <xf numFmtId="12" fontId="48" fillId="0" borderId="74" xfId="1" applyNumberFormat="1" applyFont="1" applyFill="1" applyBorder="1" applyAlignment="1" applyProtection="1">
      <alignment horizontal="center" vertical="center"/>
    </xf>
    <xf numFmtId="12" fontId="54" fillId="20" borderId="41" xfId="1" applyNumberFormat="1" applyFont="1" applyFill="1" applyBorder="1" applyAlignment="1" applyProtection="1">
      <alignment horizontal="center" vertical="center" wrapText="1"/>
    </xf>
    <xf numFmtId="168" fontId="48" fillId="5" borderId="72" xfId="1" applyNumberFormat="1" applyFont="1" applyFill="1" applyBorder="1" applyAlignment="1" applyProtection="1">
      <alignment horizontal="center" vertical="center" wrapText="1"/>
    </xf>
    <xf numFmtId="168" fontId="48" fillId="0" borderId="74" xfId="1" applyNumberFormat="1" applyFont="1" applyFill="1" applyBorder="1" applyAlignment="1" applyProtection="1">
      <alignment horizontal="center" vertical="center"/>
    </xf>
    <xf numFmtId="168" fontId="54" fillId="20" borderId="41" xfId="1" applyNumberFormat="1" applyFont="1" applyFill="1" applyBorder="1" applyAlignment="1" applyProtection="1">
      <alignment horizontal="center" vertical="center" wrapText="1"/>
    </xf>
    <xf numFmtId="168" fontId="48" fillId="0" borderId="73" xfId="1" applyNumberFormat="1" applyFont="1" applyFill="1" applyBorder="1" applyAlignment="1" applyProtection="1">
      <alignment horizontal="center" vertical="center"/>
    </xf>
    <xf numFmtId="168" fontId="48" fillId="0" borderId="75" xfId="1" applyNumberFormat="1" applyFont="1" applyFill="1" applyBorder="1" applyAlignment="1" applyProtection="1">
      <alignment horizontal="center" vertical="center" wrapText="1"/>
    </xf>
    <xf numFmtId="168" fontId="48" fillId="0" borderId="76" xfId="1" applyNumberFormat="1" applyFont="1" applyFill="1" applyBorder="1" applyAlignment="1" applyProtection="1">
      <alignment horizontal="center" vertical="center"/>
    </xf>
    <xf numFmtId="168" fontId="48" fillId="22" borderId="41" xfId="1" applyNumberFormat="1" applyFont="1" applyFill="1" applyBorder="1" applyAlignment="1" applyProtection="1">
      <alignment horizontal="center" vertical="center"/>
    </xf>
    <xf numFmtId="12" fontId="48" fillId="0" borderId="77" xfId="1" applyNumberFormat="1" applyFont="1" applyFill="1" applyBorder="1" applyAlignment="1" applyProtection="1">
      <alignment horizontal="center" vertical="center"/>
    </xf>
    <xf numFmtId="12" fontId="48" fillId="0" borderId="71" xfId="1" applyNumberFormat="1" applyFont="1" applyFill="1" applyBorder="1" applyAlignment="1" applyProtection="1">
      <alignment horizontal="center" vertical="center"/>
    </xf>
    <xf numFmtId="168" fontId="48" fillId="0" borderId="77" xfId="1" applyNumberFormat="1" applyFont="1" applyFill="1" applyBorder="1" applyAlignment="1" applyProtection="1">
      <alignment horizontal="center" vertical="center"/>
    </xf>
    <xf numFmtId="168" fontId="54" fillId="20" borderId="1" xfId="1" applyNumberFormat="1" applyFont="1" applyFill="1" applyBorder="1" applyAlignment="1" applyProtection="1">
      <alignment horizontal="center" vertical="center" wrapText="1"/>
    </xf>
    <xf numFmtId="168" fontId="48" fillId="0" borderId="71" xfId="1" quotePrefix="1" applyNumberFormat="1" applyFont="1" applyFill="1" applyBorder="1" applyAlignment="1" applyProtection="1">
      <alignment horizontal="center" vertical="center"/>
    </xf>
    <xf numFmtId="12" fontId="48" fillId="0" borderId="68" xfId="1" applyNumberFormat="1" applyFont="1" applyFill="1" applyBorder="1" applyAlignment="1" applyProtection="1">
      <alignment horizontal="center" vertical="center" wrapText="1"/>
    </xf>
    <xf numFmtId="12" fontId="48" fillId="0" borderId="76" xfId="1" applyNumberFormat="1" applyFont="1" applyFill="1" applyBorder="1" applyAlignment="1" applyProtection="1">
      <alignment horizontal="center" vertical="center"/>
    </xf>
    <xf numFmtId="0" fontId="48" fillId="0" borderId="26" xfId="6" applyFont="1" applyBorder="1" applyAlignment="1" applyProtection="1">
      <alignment horizontal="center"/>
    </xf>
    <xf numFmtId="168" fontId="53" fillId="20" borderId="41" xfId="1" applyNumberFormat="1" applyFont="1" applyFill="1" applyBorder="1" applyAlignment="1" applyProtection="1">
      <alignment horizontal="center" vertical="center" wrapText="1"/>
    </xf>
    <xf numFmtId="12" fontId="48" fillId="12" borderId="1" xfId="1" applyNumberFormat="1" applyFont="1" applyFill="1" applyBorder="1" applyAlignment="1" applyProtection="1">
      <alignment horizontal="center" vertical="center" wrapText="1"/>
    </xf>
    <xf numFmtId="168" fontId="48" fillId="0" borderId="78" xfId="1" applyNumberFormat="1" applyFont="1" applyFill="1" applyBorder="1" applyAlignment="1" applyProtection="1">
      <alignment horizontal="center" vertical="center"/>
    </xf>
    <xf numFmtId="0" fontId="50" fillId="0" borderId="1" xfId="1" applyFont="1" applyFill="1" applyBorder="1" applyAlignment="1" applyProtection="1">
      <alignment vertical="top" wrapText="1"/>
    </xf>
    <xf numFmtId="168" fontId="48" fillId="12" borderId="1" xfId="1" applyNumberFormat="1" applyFont="1" applyFill="1" applyBorder="1" applyAlignment="1" applyProtection="1">
      <alignment horizontal="center" vertical="center"/>
      <protection locked="0"/>
    </xf>
    <xf numFmtId="168" fontId="53" fillId="20" borderId="1" xfId="1" applyNumberFormat="1" applyFont="1" applyFill="1" applyBorder="1" applyAlignment="1" applyProtection="1">
      <alignment horizontal="center" vertical="center" wrapText="1"/>
    </xf>
    <xf numFmtId="0" fontId="48" fillId="4" borderId="41" xfId="6" applyFont="1" applyFill="1" applyBorder="1" applyProtection="1"/>
    <xf numFmtId="0" fontId="48" fillId="4" borderId="38" xfId="6" applyFont="1" applyFill="1" applyBorder="1" applyProtection="1"/>
    <xf numFmtId="12" fontId="47" fillId="0" borderId="79" xfId="1" applyNumberFormat="1" applyFont="1" applyFill="1" applyBorder="1" applyAlignment="1" applyProtection="1">
      <alignment horizontal="center" vertical="center" wrapText="1"/>
    </xf>
    <xf numFmtId="12" fontId="48" fillId="0" borderId="80" xfId="1" applyNumberFormat="1" applyFont="1" applyFill="1" applyBorder="1" applyAlignment="1" applyProtection="1">
      <alignment horizontal="center" vertical="center"/>
    </xf>
    <xf numFmtId="12" fontId="48" fillId="0" borderId="81" xfId="1" applyNumberFormat="1" applyFont="1" applyFill="1" applyBorder="1" applyAlignment="1" applyProtection="1">
      <alignment horizontal="center" vertical="center"/>
    </xf>
    <xf numFmtId="0" fontId="48" fillId="0" borderId="60" xfId="6" applyFont="1" applyBorder="1" applyAlignment="1" applyProtection="1">
      <alignment horizontal="center"/>
    </xf>
    <xf numFmtId="0" fontId="48" fillId="0" borderId="13" xfId="6" applyFont="1" applyBorder="1" applyAlignment="1" applyProtection="1">
      <alignment horizontal="center"/>
    </xf>
    <xf numFmtId="169" fontId="48" fillId="0" borderId="15" xfId="6" applyNumberFormat="1" applyFont="1" applyBorder="1" applyAlignment="1" applyProtection="1">
      <alignment horizontal="center"/>
    </xf>
    <xf numFmtId="168" fontId="48" fillId="0" borderId="79" xfId="1" applyNumberFormat="1" applyFont="1" applyFill="1" applyBorder="1" applyAlignment="1" applyProtection="1">
      <alignment horizontal="center" vertical="center" wrapText="1"/>
    </xf>
    <xf numFmtId="168" fontId="48" fillId="0" borderId="80" xfId="1" applyNumberFormat="1" applyFont="1" applyFill="1" applyBorder="1" applyAlignment="1" applyProtection="1">
      <alignment horizontal="center" vertical="center"/>
    </xf>
    <xf numFmtId="168" fontId="48" fillId="0" borderId="81" xfId="1" applyNumberFormat="1" applyFont="1" applyFill="1" applyBorder="1" applyAlignment="1" applyProtection="1">
      <alignment horizontal="center" vertical="center"/>
    </xf>
    <xf numFmtId="0" fontId="48" fillId="0" borderId="45" xfId="6" applyFont="1" applyBorder="1" applyAlignment="1" applyProtection="1">
      <alignment horizontal="center"/>
    </xf>
    <xf numFmtId="0" fontId="48" fillId="0" borderId="14" xfId="6" applyFont="1" applyBorder="1" applyAlignment="1" applyProtection="1">
      <alignment horizontal="center"/>
    </xf>
    <xf numFmtId="168" fontId="48" fillId="0" borderId="82" xfId="1" applyNumberFormat="1" applyFont="1" applyFill="1" applyBorder="1" applyAlignment="1" applyProtection="1">
      <alignment horizontal="center" vertical="center"/>
    </xf>
    <xf numFmtId="168" fontId="48" fillId="5" borderId="42" xfId="1" applyNumberFormat="1" applyFont="1" applyFill="1" applyBorder="1" applyAlignment="1" applyProtection="1">
      <alignment horizontal="center" vertical="center" wrapText="1"/>
    </xf>
    <xf numFmtId="168" fontId="54" fillId="20" borderId="45" xfId="1" applyNumberFormat="1" applyFont="1" applyFill="1" applyBorder="1" applyAlignment="1" applyProtection="1">
      <alignment horizontal="center" vertical="center" wrapText="1"/>
    </xf>
    <xf numFmtId="168" fontId="48" fillId="0" borderId="79" xfId="1" applyNumberFormat="1" applyFont="1" applyFill="1" applyBorder="1" applyAlignment="1" applyProtection="1">
      <alignment horizontal="center" vertical="center"/>
    </xf>
    <xf numFmtId="168" fontId="48" fillId="4" borderId="42" xfId="1" applyNumberFormat="1" applyFont="1" applyFill="1" applyBorder="1" applyAlignment="1" applyProtection="1">
      <alignment horizontal="center" vertical="center"/>
    </xf>
    <xf numFmtId="168" fontId="48" fillId="4" borderId="60" xfId="1" applyNumberFormat="1" applyFont="1" applyFill="1" applyBorder="1" applyAlignment="1" applyProtection="1">
      <alignment horizontal="center" vertical="center"/>
    </xf>
    <xf numFmtId="0" fontId="48" fillId="4" borderId="1" xfId="6" applyFont="1" applyFill="1" applyBorder="1" applyAlignment="1" applyProtection="1">
      <alignment horizontal="center"/>
    </xf>
    <xf numFmtId="0" fontId="48" fillId="0" borderId="0" xfId="6" applyFont="1" applyAlignment="1" applyProtection="1">
      <alignment horizontal="center"/>
    </xf>
    <xf numFmtId="0" fontId="48" fillId="0" borderId="0" xfId="6" applyFont="1" applyAlignment="1" applyProtection="1">
      <alignment horizontal="left" wrapText="1"/>
    </xf>
    <xf numFmtId="168" fontId="48" fillId="0" borderId="0" xfId="6" applyNumberFormat="1" applyFont="1" applyProtection="1"/>
    <xf numFmtId="0" fontId="48" fillId="0" borderId="0" xfId="0" applyFont="1" applyAlignment="1" applyProtection="1">
      <alignment horizontal="left" vertical="center"/>
    </xf>
    <xf numFmtId="0" fontId="48" fillId="0" borderId="1" xfId="6" applyFont="1" applyBorder="1" applyProtection="1"/>
    <xf numFmtId="0" fontId="51" fillId="0" borderId="0" xfId="0" applyFont="1" applyAlignment="1" applyProtection="1">
      <alignment horizontal="left" vertical="center"/>
    </xf>
    <xf numFmtId="0" fontId="52" fillId="4" borderId="1" xfId="0" applyFont="1" applyFill="1" applyBorder="1" applyAlignment="1" applyProtection="1">
      <alignment horizontal="center" vertical="center"/>
    </xf>
    <xf numFmtId="0" fontId="51" fillId="0" borderId="1" xfId="6" applyFont="1" applyFill="1" applyBorder="1" applyAlignment="1" applyProtection="1">
      <alignment vertical="top"/>
    </xf>
    <xf numFmtId="0" fontId="51" fillId="0" borderId="1" xfId="0" applyFont="1" applyBorder="1" applyAlignment="1" applyProtection="1">
      <alignment horizontal="left" vertical="center"/>
    </xf>
    <xf numFmtId="0" fontId="51" fillId="0" borderId="1" xfId="0" applyFont="1" applyBorder="1" applyAlignment="1" applyProtection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18" fillId="0" borderId="0" xfId="3" applyFont="1" applyBorder="1" applyAlignment="1">
      <alignment horizontal="left" vertical="center" wrapText="1"/>
    </xf>
    <xf numFmtId="0" fontId="18" fillId="0" borderId="18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0" fontId="18" fillId="0" borderId="0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left" vertical="center" wrapText="1"/>
    </xf>
    <xf numFmtId="0" fontId="18" fillId="0" borderId="25" xfId="3" applyFont="1" applyBorder="1" applyAlignment="1">
      <alignment horizontal="left" vertical="center" wrapText="1"/>
    </xf>
    <xf numFmtId="0" fontId="11" fillId="5" borderId="1" xfId="0" applyFont="1" applyFill="1" applyBorder="1"/>
    <xf numFmtId="0" fontId="32" fillId="0" borderId="1" xfId="5" applyFont="1" applyBorder="1" applyAlignment="1">
      <alignment horizontal="center"/>
    </xf>
    <xf numFmtId="0" fontId="32" fillId="15" borderId="54" xfId="5" applyFont="1" applyFill="1" applyBorder="1" applyAlignment="1">
      <alignment horizontal="center"/>
    </xf>
    <xf numFmtId="0" fontId="32" fillId="0" borderId="1" xfId="5" applyFont="1" applyBorder="1" applyAlignment="1"/>
    <xf numFmtId="0" fontId="32" fillId="0" borderId="17" xfId="5" applyFont="1" applyBorder="1" applyAlignment="1"/>
    <xf numFmtId="0" fontId="17" fillId="9" borderId="5" xfId="3" applyFont="1" applyFill="1" applyBorder="1" applyAlignment="1">
      <alignment horizontal="center"/>
    </xf>
    <xf numFmtId="0" fontId="35" fillId="0" borderId="0" xfId="5" applyFont="1" applyBorder="1" applyAlignment="1">
      <alignment horizontal="center" vertical="center"/>
    </xf>
    <xf numFmtId="0" fontId="32" fillId="11" borderId="1" xfId="5" applyFont="1" applyFill="1" applyBorder="1" applyAlignment="1">
      <alignment horizontal="center"/>
    </xf>
    <xf numFmtId="0" fontId="33" fillId="0" borderId="0" xfId="5" applyFont="1" applyFill="1" applyBorder="1" applyAlignment="1">
      <alignment horizontal="center"/>
    </xf>
    <xf numFmtId="0" fontId="32" fillId="0" borderId="24" xfId="5" applyFont="1" applyBorder="1" applyAlignment="1">
      <alignment horizontal="center"/>
    </xf>
    <xf numFmtId="0" fontId="32" fillId="0" borderId="5" xfId="5" applyFont="1" applyBorder="1" applyAlignment="1">
      <alignment horizontal="center"/>
    </xf>
    <xf numFmtId="0" fontId="32" fillId="0" borderId="16" xfId="5" applyFont="1" applyBorder="1" applyAlignment="1">
      <alignment horizontal="center"/>
    </xf>
    <xf numFmtId="0" fontId="32" fillId="0" borderId="17" xfId="5" applyFont="1" applyBorder="1" applyAlignment="1">
      <alignment horizontal="center"/>
    </xf>
    <xf numFmtId="0" fontId="32" fillId="15" borderId="51" xfId="5" applyFont="1" applyFill="1" applyBorder="1" applyAlignment="1">
      <alignment horizontal="center"/>
    </xf>
    <xf numFmtId="0" fontId="32" fillId="15" borderId="50" xfId="5" applyFont="1" applyFill="1" applyBorder="1" applyAlignment="1">
      <alignment horizontal="center"/>
    </xf>
    <xf numFmtId="0" fontId="32" fillId="15" borderId="52" xfId="5" applyFont="1" applyFill="1" applyBorder="1" applyAlignment="1">
      <alignment horizontal="center"/>
    </xf>
    <xf numFmtId="0" fontId="32" fillId="15" borderId="51" xfId="5" applyFont="1" applyFill="1" applyBorder="1" applyAlignment="1">
      <alignment horizontal="center" vertical="center"/>
    </xf>
    <xf numFmtId="0" fontId="32" fillId="15" borderId="50" xfId="5" applyFont="1" applyFill="1" applyBorder="1" applyAlignment="1">
      <alignment horizontal="center" vertical="center"/>
    </xf>
    <xf numFmtId="0" fontId="32" fillId="15" borderId="52" xfId="5" applyFont="1" applyFill="1" applyBorder="1" applyAlignment="1">
      <alignment horizontal="center" vertical="center"/>
    </xf>
    <xf numFmtId="14" fontId="32" fillId="15" borderId="51" xfId="5" applyNumberFormat="1" applyFont="1" applyFill="1" applyBorder="1" applyAlignment="1">
      <alignment horizontal="center" vertical="center"/>
    </xf>
    <xf numFmtId="14" fontId="32" fillId="15" borderId="50" xfId="5" applyNumberFormat="1" applyFont="1" applyFill="1" applyBorder="1" applyAlignment="1">
      <alignment horizontal="center" vertical="center"/>
    </xf>
    <xf numFmtId="14" fontId="32" fillId="15" borderId="52" xfId="5" applyNumberFormat="1" applyFont="1" applyFill="1" applyBorder="1" applyAlignment="1">
      <alignment horizontal="center" vertical="center"/>
    </xf>
    <xf numFmtId="0" fontId="32" fillId="15" borderId="54" xfId="5" applyFont="1" applyFill="1" applyBorder="1" applyAlignment="1">
      <alignment horizontal="center"/>
    </xf>
    <xf numFmtId="0" fontId="32" fillId="15" borderId="16" xfId="5" applyFont="1" applyFill="1" applyBorder="1" applyAlignment="1">
      <alignment horizontal="center"/>
    </xf>
    <xf numFmtId="0" fontId="32" fillId="15" borderId="55" xfId="5" applyFont="1" applyFill="1" applyBorder="1" applyAlignment="1">
      <alignment horizontal="center"/>
    </xf>
    <xf numFmtId="164" fontId="32" fillId="15" borderId="54" xfId="5" applyNumberFormat="1" applyFont="1" applyFill="1" applyBorder="1" applyAlignment="1">
      <alignment horizontal="center" vertical="center"/>
    </xf>
    <xf numFmtId="164" fontId="32" fillId="15" borderId="16" xfId="5" applyNumberFormat="1" applyFont="1" applyFill="1" applyBorder="1" applyAlignment="1">
      <alignment horizontal="center" vertical="center"/>
    </xf>
    <xf numFmtId="164" fontId="32" fillId="15" borderId="55" xfId="5" applyNumberFormat="1" applyFont="1" applyFill="1" applyBorder="1" applyAlignment="1">
      <alignment horizontal="center" vertical="center"/>
    </xf>
    <xf numFmtId="164" fontId="32" fillId="15" borderId="59" xfId="5" applyNumberFormat="1" applyFont="1" applyFill="1" applyBorder="1" applyAlignment="1">
      <alignment horizontal="center" vertical="center"/>
    </xf>
    <xf numFmtId="164" fontId="32" fillId="15" borderId="58" xfId="5" applyNumberFormat="1" applyFont="1" applyFill="1" applyBorder="1" applyAlignment="1">
      <alignment horizontal="center" vertical="center"/>
    </xf>
    <xf numFmtId="164" fontId="32" fillId="15" borderId="60" xfId="5" applyNumberFormat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32" fillId="0" borderId="0" xfId="5" applyFont="1" applyAlignment="1">
      <alignment horizontal="left" vertical="center" wrapText="1"/>
    </xf>
    <xf numFmtId="0" fontId="37" fillId="0" borderId="0" xfId="5" applyFont="1" applyAlignment="1">
      <alignment horizontal="left" vertical="center" wrapText="1"/>
    </xf>
    <xf numFmtId="0" fontId="38" fillId="0" borderId="0" xfId="0" applyFont="1" applyFill="1" applyBorder="1" applyAlignment="1">
      <alignment horizontal="center"/>
    </xf>
    <xf numFmtId="0" fontId="32" fillId="0" borderId="21" xfId="5" applyFont="1" applyBorder="1" applyAlignment="1">
      <alignment horizontal="center"/>
    </xf>
    <xf numFmtId="0" fontId="32" fillId="0" borderId="0" xfId="5" applyFont="1" applyBorder="1" applyAlignment="1">
      <alignment horizontal="center"/>
    </xf>
    <xf numFmtId="0" fontId="32" fillId="11" borderId="5" xfId="5" applyFont="1" applyFill="1" applyBorder="1" applyAlignment="1">
      <alignment horizontal="center"/>
    </xf>
    <xf numFmtId="0" fontId="32" fillId="11" borderId="16" xfId="5" applyFont="1" applyFill="1" applyBorder="1" applyAlignment="1">
      <alignment horizontal="center"/>
    </xf>
    <xf numFmtId="0" fontId="32" fillId="11" borderId="17" xfId="5" applyFont="1" applyFill="1" applyBorder="1" applyAlignment="1">
      <alignment horizontal="center"/>
    </xf>
    <xf numFmtId="0" fontId="32" fillId="0" borderId="0" xfId="5" applyFont="1" applyFill="1" applyBorder="1" applyAlignment="1">
      <alignment horizontal="center"/>
    </xf>
    <xf numFmtId="0" fontId="40" fillId="0" borderId="16" xfId="5" applyFont="1" applyBorder="1" applyAlignment="1">
      <alignment horizontal="center"/>
    </xf>
    <xf numFmtId="0" fontId="40" fillId="0" borderId="24" xfId="5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2" fillId="0" borderId="1" xfId="5" applyFont="1" applyBorder="1" applyAlignment="1">
      <alignment horizontal="center" vertical="center"/>
    </xf>
    <xf numFmtId="0" fontId="32" fillId="0" borderId="0" xfId="5" applyFont="1" applyBorder="1" applyAlignment="1"/>
    <xf numFmtId="14" fontId="32" fillId="0" borderId="1" xfId="5" applyNumberFormat="1" applyFont="1" applyBorder="1" applyAlignment="1">
      <alignment horizontal="center" vertical="center"/>
    </xf>
    <xf numFmtId="0" fontId="32" fillId="0" borderId="5" xfId="5" applyFont="1" applyBorder="1" applyAlignment="1">
      <alignment horizontal="center" vertical="center"/>
    </xf>
    <xf numFmtId="0" fontId="32" fillId="0" borderId="17" xfId="5" applyFont="1" applyBorder="1" applyAlignment="1">
      <alignment horizontal="center" vertical="center"/>
    </xf>
    <xf numFmtId="0" fontId="32" fillId="0" borderId="1" xfId="5" applyFont="1" applyBorder="1" applyAlignment="1">
      <alignment horizontal="center"/>
    </xf>
    <xf numFmtId="0" fontId="32" fillId="0" borderId="1" xfId="5" applyFont="1" applyBorder="1" applyAlignment="1"/>
    <xf numFmtId="17" fontId="32" fillId="0" borderId="1" xfId="5" applyNumberFormat="1" applyFont="1" applyBorder="1" applyAlignment="1">
      <alignment horizontal="center" vertical="center"/>
    </xf>
    <xf numFmtId="0" fontId="32" fillId="0" borderId="1" xfId="5" applyNumberFormat="1" applyFont="1" applyBorder="1" applyAlignment="1">
      <alignment horizontal="center" vertical="center"/>
    </xf>
    <xf numFmtId="0" fontId="41" fillId="0" borderId="5" xfId="5" applyFont="1" applyBorder="1" applyAlignment="1">
      <alignment horizontal="center"/>
    </xf>
    <xf numFmtId="0" fontId="41" fillId="0" borderId="16" xfId="5" applyFont="1" applyBorder="1" applyAlignment="1">
      <alignment horizontal="center"/>
    </xf>
    <xf numFmtId="0" fontId="41" fillId="0" borderId="17" xfId="5" applyFont="1" applyBorder="1" applyAlignment="1">
      <alignment horizontal="center"/>
    </xf>
    <xf numFmtId="14" fontId="32" fillId="0" borderId="5" xfId="5" applyNumberFormat="1" applyFont="1" applyBorder="1" applyAlignment="1">
      <alignment horizontal="center"/>
    </xf>
    <xf numFmtId="14" fontId="32" fillId="0" borderId="17" xfId="5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1" fillId="0" borderId="5" xfId="5" applyFont="1" applyBorder="1" applyAlignment="1">
      <alignment horizontal="center" vertical="center"/>
    </xf>
    <xf numFmtId="0" fontId="41" fillId="0" borderId="16" xfId="5" applyFont="1" applyBorder="1" applyAlignment="1">
      <alignment horizontal="center" vertical="center"/>
    </xf>
    <xf numFmtId="0" fontId="44" fillId="0" borderId="5" xfId="5" applyFont="1" applyBorder="1" applyAlignment="1">
      <alignment horizontal="center" vertical="center" wrapText="1"/>
    </xf>
    <xf numFmtId="0" fontId="44" fillId="0" borderId="17" xfId="5" applyFont="1" applyBorder="1" applyAlignment="1">
      <alignment horizontal="center" vertical="center" wrapText="1"/>
    </xf>
    <xf numFmtId="0" fontId="41" fillId="0" borderId="17" xfId="5" applyFont="1" applyBorder="1" applyAlignment="1">
      <alignment horizontal="center" vertical="center"/>
    </xf>
    <xf numFmtId="0" fontId="41" fillId="0" borderId="18" xfId="5" applyFont="1" applyBorder="1" applyAlignment="1">
      <alignment horizontal="center" vertical="center" wrapText="1"/>
    </xf>
    <xf numFmtId="0" fontId="41" fillId="0" borderId="20" xfId="5" applyFont="1" applyBorder="1" applyAlignment="1">
      <alignment horizontal="center" vertical="center" wrapText="1"/>
    </xf>
    <xf numFmtId="0" fontId="43" fillId="0" borderId="5" xfId="5" applyFont="1" applyBorder="1" applyAlignment="1">
      <alignment horizontal="center" vertical="center" wrapText="1" shrinkToFit="1"/>
    </xf>
    <xf numFmtId="0" fontId="43" fillId="0" borderId="17" xfId="5" applyFont="1" applyBorder="1" applyAlignment="1">
      <alignment horizontal="center" vertical="center" wrapText="1" shrinkToFit="1"/>
    </xf>
    <xf numFmtId="0" fontId="43" fillId="0" borderId="5" xfId="5" applyFont="1" applyBorder="1" applyAlignment="1">
      <alignment horizontal="center" vertical="center"/>
    </xf>
    <xf numFmtId="0" fontId="43" fillId="0" borderId="17" xfId="5" applyFont="1" applyBorder="1" applyAlignment="1">
      <alignment horizontal="center" vertical="center"/>
    </xf>
    <xf numFmtId="0" fontId="43" fillId="0" borderId="5" xfId="5" applyFont="1" applyBorder="1" applyAlignment="1">
      <alignment horizontal="center" vertical="center" shrinkToFit="1"/>
    </xf>
    <xf numFmtId="0" fontId="43" fillId="0" borderId="17" xfId="5" applyFont="1" applyBorder="1" applyAlignment="1">
      <alignment horizontal="center" vertical="center" shrinkToFit="1"/>
    </xf>
    <xf numFmtId="0" fontId="41" fillId="0" borderId="5" xfId="5" applyFont="1" applyBorder="1" applyAlignment="1">
      <alignment horizontal="center" vertical="center" wrapText="1" shrinkToFit="1"/>
    </xf>
    <xf numFmtId="0" fontId="41" fillId="0" borderId="17" xfId="5" applyFont="1" applyBorder="1" applyAlignment="1">
      <alignment horizontal="center" vertical="center" wrapText="1" shrinkToFit="1"/>
    </xf>
    <xf numFmtId="0" fontId="41" fillId="0" borderId="5" xfId="5" applyFont="1" applyBorder="1" applyAlignment="1">
      <alignment horizontal="center" vertical="center" wrapText="1"/>
    </xf>
    <xf numFmtId="0" fontId="41" fillId="0" borderId="17" xfId="5" applyFont="1" applyBorder="1" applyAlignment="1">
      <alignment horizontal="center" vertical="center" wrapText="1"/>
    </xf>
    <xf numFmtId="0" fontId="41" fillId="0" borderId="19" xfId="5" applyFont="1" applyBorder="1" applyAlignment="1">
      <alignment horizontal="center"/>
    </xf>
    <xf numFmtId="0" fontId="32" fillId="0" borderId="19" xfId="5" applyFont="1" applyBorder="1" applyAlignment="1">
      <alignment horizontal="center"/>
    </xf>
    <xf numFmtId="0" fontId="32" fillId="0" borderId="18" xfId="5" applyFont="1" applyBorder="1" applyAlignment="1">
      <alignment horizontal="center"/>
    </xf>
    <xf numFmtId="0" fontId="32" fillId="0" borderId="20" xfId="5" applyFont="1" applyBorder="1" applyAlignment="1">
      <alignment horizontal="center"/>
    </xf>
    <xf numFmtId="0" fontId="32" fillId="0" borderId="23" xfId="5" applyFont="1" applyBorder="1" applyAlignment="1">
      <alignment horizontal="center"/>
    </xf>
    <xf numFmtId="0" fontId="32" fillId="0" borderId="25" xfId="5" applyFont="1" applyBorder="1" applyAlignment="1">
      <alignment horizontal="center"/>
    </xf>
    <xf numFmtId="0" fontId="32" fillId="0" borderId="5" xfId="5" applyFont="1" applyBorder="1" applyAlignment="1"/>
    <xf numFmtId="0" fontId="32" fillId="0" borderId="17" xfId="5" applyFont="1" applyBorder="1" applyAlignment="1"/>
    <xf numFmtId="0" fontId="32" fillId="0" borderId="1" xfId="5" applyFont="1" applyFill="1" applyBorder="1" applyAlignment="1">
      <alignment horizontal="center"/>
    </xf>
    <xf numFmtId="0" fontId="43" fillId="0" borderId="24" xfId="5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7" fillId="9" borderId="5" xfId="3" applyFont="1" applyFill="1" applyBorder="1" applyAlignment="1">
      <alignment horizontal="center"/>
    </xf>
    <xf numFmtId="0" fontId="17" fillId="9" borderId="16" xfId="3" applyFont="1" applyFill="1" applyBorder="1" applyAlignment="1">
      <alignment horizontal="center"/>
    </xf>
    <xf numFmtId="0" fontId="17" fillId="9" borderId="17" xfId="3" applyFont="1" applyFill="1" applyBorder="1" applyAlignment="1">
      <alignment horizontal="center"/>
    </xf>
    <xf numFmtId="0" fontId="18" fillId="0" borderId="18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0" fontId="18" fillId="0" borderId="0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left" vertical="center" wrapText="1"/>
    </xf>
    <xf numFmtId="0" fontId="18" fillId="0" borderId="25" xfId="3" applyFont="1" applyBorder="1" applyAlignment="1">
      <alignment horizontal="left" vertical="center" wrapText="1"/>
    </xf>
    <xf numFmtId="0" fontId="15" fillId="8" borderId="10" xfId="2" applyFont="1" applyFill="1" applyBorder="1" applyAlignment="1">
      <alignment horizontal="center" vertical="center"/>
    </xf>
    <xf numFmtId="0" fontId="15" fillId="8" borderId="11" xfId="2" applyFont="1" applyFill="1" applyBorder="1" applyAlignment="1">
      <alignment horizontal="center" vertical="center"/>
    </xf>
    <xf numFmtId="0" fontId="15" fillId="8" borderId="12" xfId="2" applyFont="1" applyFill="1" applyBorder="1" applyAlignment="1">
      <alignment horizontal="center" vertical="center"/>
    </xf>
    <xf numFmtId="0" fontId="15" fillId="8" borderId="13" xfId="2" applyFont="1" applyFill="1" applyBorder="1" applyAlignment="1">
      <alignment horizontal="center" vertical="center"/>
    </xf>
    <xf numFmtId="0" fontId="15" fillId="8" borderId="14" xfId="2" applyFont="1" applyFill="1" applyBorder="1" applyAlignment="1">
      <alignment horizontal="center" vertical="center"/>
    </xf>
    <xf numFmtId="0" fontId="15" fillId="8" borderId="15" xfId="2" applyFont="1" applyFill="1" applyBorder="1" applyAlignment="1">
      <alignment horizontal="center" vertical="center"/>
    </xf>
    <xf numFmtId="0" fontId="57" fillId="0" borderId="18" xfId="3" applyFont="1" applyBorder="1" applyAlignment="1">
      <alignment horizontal="left" vertical="center" wrapText="1"/>
    </xf>
    <xf numFmtId="0" fontId="57" fillId="0" borderId="19" xfId="3" applyFont="1" applyBorder="1" applyAlignment="1">
      <alignment horizontal="left" vertical="center" wrapText="1"/>
    </xf>
    <xf numFmtId="0" fontId="57" fillId="0" borderId="20" xfId="3" applyFont="1" applyBorder="1" applyAlignment="1">
      <alignment horizontal="left" vertical="center" wrapText="1"/>
    </xf>
    <xf numFmtId="0" fontId="57" fillId="0" borderId="21" xfId="3" applyFont="1" applyBorder="1" applyAlignment="1">
      <alignment horizontal="left" vertical="center" wrapText="1"/>
    </xf>
    <xf numFmtId="0" fontId="57" fillId="0" borderId="0" xfId="3" applyFont="1" applyBorder="1" applyAlignment="1">
      <alignment horizontal="left" vertical="center" wrapText="1"/>
    </xf>
    <xf numFmtId="0" fontId="57" fillId="0" borderId="22" xfId="3" applyFont="1" applyBorder="1" applyAlignment="1">
      <alignment horizontal="left" vertical="center" wrapText="1"/>
    </xf>
    <xf numFmtId="0" fontId="57" fillId="0" borderId="23" xfId="3" applyFont="1" applyBorder="1" applyAlignment="1">
      <alignment horizontal="left" vertical="center" wrapText="1"/>
    </xf>
    <xf numFmtId="0" fontId="57" fillId="0" borderId="24" xfId="3" applyFont="1" applyBorder="1" applyAlignment="1">
      <alignment horizontal="left" vertical="center" wrapText="1"/>
    </xf>
    <xf numFmtId="0" fontId="57" fillId="0" borderId="25" xfId="3" applyFont="1" applyBorder="1" applyAlignment="1">
      <alignment horizontal="left" vertical="center" wrapText="1"/>
    </xf>
    <xf numFmtId="0" fontId="19" fillId="0" borderId="10" xfId="4" applyBorder="1" applyAlignment="1">
      <alignment horizontal="center"/>
    </xf>
    <xf numFmtId="0" fontId="19" fillId="0" borderId="11" xfId="4" applyBorder="1" applyAlignment="1">
      <alignment horizontal="center"/>
    </xf>
    <xf numFmtId="0" fontId="19" fillId="0" borderId="12" xfId="4" applyBorder="1" applyAlignment="1">
      <alignment horizontal="center"/>
    </xf>
    <xf numFmtId="0" fontId="19" fillId="0" borderId="26" xfId="4" applyBorder="1" applyAlignment="1">
      <alignment horizontal="center"/>
    </xf>
    <xf numFmtId="0" fontId="19" fillId="0" borderId="0" xfId="4" applyBorder="1" applyAlignment="1">
      <alignment horizontal="center"/>
    </xf>
    <xf numFmtId="0" fontId="19" fillId="0" borderId="27" xfId="4" applyBorder="1" applyAlignment="1">
      <alignment horizontal="center"/>
    </xf>
    <xf numFmtId="0" fontId="19" fillId="0" borderId="13" xfId="4" applyBorder="1" applyAlignment="1">
      <alignment horizontal="center"/>
    </xf>
    <xf numFmtId="0" fontId="19" fillId="0" borderId="14" xfId="4" applyBorder="1" applyAlignment="1">
      <alignment horizontal="center"/>
    </xf>
    <xf numFmtId="0" fontId="19" fillId="0" borderId="15" xfId="4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3" fillId="12" borderId="5" xfId="0" applyFont="1" applyFill="1" applyBorder="1" applyAlignment="1">
      <alignment horizontal="center"/>
    </xf>
    <xf numFmtId="0" fontId="23" fillId="12" borderId="16" xfId="0" applyFont="1" applyFill="1" applyBorder="1" applyAlignment="1">
      <alignment horizontal="center"/>
    </xf>
    <xf numFmtId="0" fontId="23" fillId="12" borderId="17" xfId="0" applyFont="1" applyFill="1" applyBorder="1" applyAlignment="1">
      <alignment horizontal="center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/>
    </xf>
    <xf numFmtId="0" fontId="20" fillId="9" borderId="19" xfId="0" applyFont="1" applyFill="1" applyBorder="1" applyAlignment="1">
      <alignment horizontal="center"/>
    </xf>
    <xf numFmtId="0" fontId="20" fillId="9" borderId="20" xfId="0" applyFont="1" applyFill="1" applyBorder="1" applyAlignment="1">
      <alignment horizontal="center"/>
    </xf>
    <xf numFmtId="0" fontId="20" fillId="9" borderId="21" xfId="0" applyFont="1" applyFill="1" applyBorder="1" applyAlignment="1">
      <alignment horizontal="center"/>
    </xf>
    <xf numFmtId="0" fontId="20" fillId="9" borderId="0" xfId="0" applyFont="1" applyFill="1" applyBorder="1" applyAlignment="1">
      <alignment horizontal="center"/>
    </xf>
    <xf numFmtId="0" fontId="20" fillId="9" borderId="22" xfId="0" applyFont="1" applyFill="1" applyBorder="1" applyAlignment="1">
      <alignment horizontal="center"/>
    </xf>
    <xf numFmtId="0" fontId="21" fillId="9" borderId="18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horizontal="center" vertical="center"/>
    </xf>
    <xf numFmtId="0" fontId="21" fillId="9" borderId="24" xfId="0" applyFont="1" applyFill="1" applyBorder="1" applyAlignment="1">
      <alignment horizontal="center" vertical="center"/>
    </xf>
    <xf numFmtId="0" fontId="21" fillId="9" borderId="25" xfId="0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/>
    </xf>
    <xf numFmtId="0" fontId="23" fillId="11" borderId="17" xfId="0" applyFont="1" applyFill="1" applyBorder="1" applyAlignment="1">
      <alignment horizontal="center"/>
    </xf>
    <xf numFmtId="0" fontId="24" fillId="0" borderId="18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" fillId="0" borderId="32" xfId="2" applyBorder="1" applyAlignment="1">
      <alignment horizontal="center"/>
    </xf>
    <xf numFmtId="0" fontId="2" fillId="0" borderId="33" xfId="2" applyBorder="1" applyAlignment="1">
      <alignment horizontal="center"/>
    </xf>
    <xf numFmtId="0" fontId="2" fillId="0" borderId="34" xfId="2" applyBorder="1" applyAlignment="1">
      <alignment horizontal="center"/>
    </xf>
    <xf numFmtId="0" fontId="2" fillId="0" borderId="35" xfId="2" applyBorder="1" applyAlignment="1">
      <alignment horizontal="center"/>
    </xf>
    <xf numFmtId="0" fontId="2" fillId="0" borderId="0" xfId="2" applyBorder="1" applyAlignment="1">
      <alignment horizontal="center"/>
    </xf>
    <xf numFmtId="0" fontId="2" fillId="0" borderId="36" xfId="2" applyBorder="1" applyAlignment="1">
      <alignment horizontal="center"/>
    </xf>
    <xf numFmtId="0" fontId="2" fillId="0" borderId="39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40" xfId="2" applyBorder="1" applyAlignment="1">
      <alignment horizontal="center"/>
    </xf>
    <xf numFmtId="0" fontId="26" fillId="13" borderId="28" xfId="2" applyFont="1" applyFill="1" applyBorder="1" applyAlignment="1">
      <alignment horizontal="center" vertical="center" wrapText="1"/>
    </xf>
    <xf numFmtId="0" fontId="26" fillId="13" borderId="29" xfId="2" applyFont="1" applyFill="1" applyBorder="1" applyAlignment="1">
      <alignment horizontal="center" vertical="center" wrapText="1"/>
    </xf>
    <xf numFmtId="0" fontId="26" fillId="13" borderId="30" xfId="2" applyFont="1" applyFill="1" applyBorder="1" applyAlignment="1">
      <alignment horizontal="center" vertical="center" wrapText="1"/>
    </xf>
    <xf numFmtId="0" fontId="26" fillId="13" borderId="31" xfId="2" applyFont="1" applyFill="1" applyBorder="1" applyAlignment="1">
      <alignment horizontal="center" vertical="center" wrapText="1"/>
    </xf>
    <xf numFmtId="0" fontId="2" fillId="4" borderId="10" xfId="2" applyFont="1" applyFill="1" applyBorder="1" applyAlignment="1">
      <alignment horizontal="center" vertical="center" wrapText="1"/>
    </xf>
    <xf numFmtId="0" fontId="2" fillId="4" borderId="11" xfId="2" applyFill="1" applyBorder="1" applyAlignment="1">
      <alignment horizontal="center" vertical="center" wrapText="1"/>
    </xf>
    <xf numFmtId="0" fontId="2" fillId="4" borderId="12" xfId="2" applyFill="1" applyBorder="1" applyAlignment="1">
      <alignment horizontal="center" vertical="center" wrapText="1"/>
    </xf>
    <xf numFmtId="0" fontId="2" fillId="4" borderId="13" xfId="2" applyFill="1" applyBorder="1" applyAlignment="1">
      <alignment horizontal="center" vertical="center" wrapText="1"/>
    </xf>
    <xf numFmtId="0" fontId="2" fillId="4" borderId="14" xfId="2" applyFill="1" applyBorder="1" applyAlignment="1">
      <alignment horizontal="center" vertical="center" wrapText="1"/>
    </xf>
    <xf numFmtId="0" fontId="2" fillId="4" borderId="15" xfId="2" applyFill="1" applyBorder="1" applyAlignment="1">
      <alignment horizontal="center" vertical="center" wrapText="1"/>
    </xf>
    <xf numFmtId="0" fontId="29" fillId="8" borderId="46" xfId="0" applyFont="1" applyFill="1" applyBorder="1" applyAlignment="1">
      <alignment horizontal="center"/>
    </xf>
    <xf numFmtId="0" fontId="29" fillId="8" borderId="47" xfId="0" applyFont="1" applyFill="1" applyBorder="1" applyAlignment="1">
      <alignment horizontal="center"/>
    </xf>
    <xf numFmtId="0" fontId="29" fillId="8" borderId="48" xfId="0" applyFont="1" applyFill="1" applyBorder="1" applyAlignment="1">
      <alignment horizontal="center"/>
    </xf>
    <xf numFmtId="0" fontId="47" fillId="18" borderId="46" xfId="1" applyFont="1" applyFill="1" applyBorder="1" applyAlignment="1" applyProtection="1">
      <alignment horizontal="center" vertical="center" wrapText="1"/>
    </xf>
    <xf numFmtId="0" fontId="47" fillId="18" borderId="47" xfId="1" applyFont="1" applyFill="1" applyBorder="1" applyAlignment="1" applyProtection="1">
      <alignment horizontal="center" vertical="center" wrapText="1"/>
    </xf>
    <xf numFmtId="0" fontId="47" fillId="18" borderId="48" xfId="1" applyFont="1" applyFill="1" applyBorder="1" applyAlignment="1" applyProtection="1">
      <alignment horizontal="center" vertical="center" wrapText="1"/>
    </xf>
    <xf numFmtId="0" fontId="47" fillId="0" borderId="16" xfId="6" applyFont="1" applyBorder="1" applyAlignment="1" applyProtection="1">
      <alignment horizontal="left" vertical="center"/>
    </xf>
    <xf numFmtId="0" fontId="47" fillId="0" borderId="55" xfId="6" applyFont="1" applyBorder="1" applyAlignment="1" applyProtection="1">
      <alignment horizontal="left" vertical="center"/>
    </xf>
    <xf numFmtId="0" fontId="47" fillId="0" borderId="46" xfId="6" applyFont="1" applyFill="1" applyBorder="1" applyAlignment="1" applyProtection="1">
      <alignment horizontal="center" vertical="center" wrapText="1"/>
    </xf>
    <xf numFmtId="0" fontId="47" fillId="0" borderId="47" xfId="6" applyFont="1" applyFill="1" applyBorder="1" applyAlignment="1" applyProtection="1">
      <alignment horizontal="center" vertical="center" wrapText="1"/>
    </xf>
    <xf numFmtId="0" fontId="47" fillId="0" borderId="48" xfId="6" applyFont="1" applyFill="1" applyBorder="1" applyAlignment="1" applyProtection="1">
      <alignment horizontal="center" vertical="center" wrapText="1"/>
    </xf>
    <xf numFmtId="0" fontId="47" fillId="0" borderId="28" xfId="6" applyFont="1" applyFill="1" applyBorder="1" applyAlignment="1" applyProtection="1">
      <alignment horizontal="center" vertical="center" wrapText="1"/>
    </xf>
    <xf numFmtId="0" fontId="47" fillId="0" borderId="29" xfId="6" applyFont="1" applyFill="1" applyBorder="1" applyAlignment="1" applyProtection="1">
      <alignment horizontal="center" vertical="center" wrapText="1"/>
    </xf>
    <xf numFmtId="0" fontId="47" fillId="0" borderId="31" xfId="6" applyFont="1" applyFill="1" applyBorder="1" applyAlignment="1" applyProtection="1">
      <alignment horizontal="center" vertical="center" wrapText="1"/>
    </xf>
    <xf numFmtId="0" fontId="47" fillId="0" borderId="46" xfId="6" applyFont="1" applyBorder="1" applyAlignment="1" applyProtection="1">
      <alignment horizontal="center" vertical="center" wrapText="1"/>
    </xf>
    <xf numFmtId="0" fontId="47" fillId="0" borderId="47" xfId="6" applyFont="1" applyBorder="1" applyAlignment="1" applyProtection="1">
      <alignment horizontal="center" vertical="center" wrapText="1"/>
    </xf>
    <xf numFmtId="0" fontId="47" fillId="0" borderId="48" xfId="6" applyFont="1" applyBorder="1" applyAlignment="1" applyProtection="1">
      <alignment horizontal="center" vertical="center" wrapText="1"/>
    </xf>
    <xf numFmtId="0" fontId="48" fillId="0" borderId="10" xfId="6" applyFont="1" applyBorder="1" applyAlignment="1" applyProtection="1">
      <alignment horizontal="center" vertical="top" wrapText="1"/>
    </xf>
    <xf numFmtId="0" fontId="48" fillId="0" borderId="11" xfId="6" applyFont="1" applyBorder="1" applyAlignment="1" applyProtection="1">
      <alignment horizontal="center" vertical="top" wrapText="1"/>
    </xf>
    <xf numFmtId="0" fontId="48" fillId="0" borderId="12" xfId="6" applyFont="1" applyBorder="1" applyAlignment="1" applyProtection="1">
      <alignment horizontal="center" vertical="top" wrapText="1"/>
    </xf>
    <xf numFmtId="0" fontId="48" fillId="0" borderId="65" xfId="6" applyFont="1" applyBorder="1" applyAlignment="1" applyProtection="1">
      <alignment horizontal="center" vertical="top" wrapText="1"/>
    </xf>
    <xf numFmtId="0" fontId="48" fillId="0" borderId="66" xfId="6" applyFont="1" applyBorder="1" applyAlignment="1" applyProtection="1">
      <alignment horizontal="center" vertical="top" wrapText="1"/>
    </xf>
    <xf numFmtId="0" fontId="48" fillId="0" borderId="67" xfId="6" applyFont="1" applyBorder="1" applyAlignment="1" applyProtection="1">
      <alignment horizontal="center" vertical="top" wrapText="1"/>
    </xf>
    <xf numFmtId="0" fontId="48" fillId="0" borderId="49" xfId="6" applyFont="1" applyBorder="1" applyAlignment="1" applyProtection="1">
      <alignment horizontal="center" vertical="top" wrapText="1"/>
    </xf>
    <xf numFmtId="0" fontId="48" fillId="0" borderId="50" xfId="6" applyFont="1" applyBorder="1" applyAlignment="1" applyProtection="1">
      <alignment horizontal="center" vertical="top" wrapText="1"/>
    </xf>
    <xf numFmtId="0" fontId="48" fillId="0" borderId="52" xfId="6" applyFont="1" applyBorder="1" applyAlignment="1" applyProtection="1">
      <alignment horizontal="center" vertical="top" wrapText="1"/>
    </xf>
    <xf numFmtId="0" fontId="52" fillId="4" borderId="1" xfId="0" applyFont="1" applyFill="1" applyBorder="1" applyAlignment="1" applyProtection="1">
      <alignment horizontal="center" vertical="center"/>
    </xf>
    <xf numFmtId="0" fontId="52" fillId="4" borderId="5" xfId="0" applyFont="1" applyFill="1" applyBorder="1" applyAlignment="1" applyProtection="1">
      <alignment horizontal="center" vertical="center"/>
    </xf>
    <xf numFmtId="0" fontId="52" fillId="4" borderId="17" xfId="0" applyFont="1" applyFill="1" applyBorder="1" applyAlignment="1" applyProtection="1">
      <alignment horizontal="center" vertical="center"/>
    </xf>
  </cellXfs>
  <cellStyles count="8">
    <cellStyle name="Normal" xfId="0" builtinId="0"/>
    <cellStyle name="Normal 10" xfId="4"/>
    <cellStyle name="Normal 2" xfId="2"/>
    <cellStyle name="Normal 24" xfId="7"/>
    <cellStyle name="Normal 8" xfId="3"/>
    <cellStyle name="Normal_Audit weighting" xfId="1"/>
    <cellStyle name="Normal_Sheet1" xfId="5"/>
    <cellStyle name="Normal_weighting" xfId="6"/>
  </cellStyles>
  <dxfs count="1"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</xdr:col>
      <xdr:colOff>9525</xdr:colOff>
      <xdr:row>3</xdr:row>
      <xdr:rowOff>28575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477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4"/>
  <sheetViews>
    <sheetView zoomScale="80" zoomScaleNormal="80" workbookViewId="0">
      <selection activeCell="L1" sqref="L1"/>
    </sheetView>
  </sheetViews>
  <sheetFormatPr defaultRowHeight="15" x14ac:dyDescent="0.25"/>
  <cols>
    <col min="3" max="3" width="14.7109375" customWidth="1"/>
  </cols>
  <sheetData>
    <row r="1" spans="1:27" ht="17.25" x14ac:dyDescent="0.3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6"/>
      <c r="Z1" s="96"/>
      <c r="AA1" s="96"/>
    </row>
    <row r="2" spans="1:27" ht="17.25" x14ac:dyDescent="0.3">
      <c r="A2" s="95"/>
      <c r="B2" s="95"/>
      <c r="C2" s="95" t="s">
        <v>648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  <c r="Z2" s="96"/>
      <c r="AA2" s="96"/>
    </row>
    <row r="3" spans="1:27" ht="17.25" x14ac:dyDescent="0.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  <c r="Z3" s="96"/>
      <c r="AA3" s="96"/>
    </row>
    <row r="4" spans="1:27" ht="18" thickBot="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6"/>
      <c r="Z4" s="96"/>
      <c r="AA4" s="96"/>
    </row>
    <row r="5" spans="1:27" ht="17.25" x14ac:dyDescent="0.3">
      <c r="A5" s="97" t="s">
        <v>649</v>
      </c>
      <c r="B5" s="98"/>
      <c r="C5" s="340"/>
      <c r="D5" s="341"/>
      <c r="E5" s="341"/>
      <c r="F5" s="341"/>
      <c r="G5" s="341"/>
      <c r="H5" s="342"/>
      <c r="I5" s="97" t="s">
        <v>650</v>
      </c>
      <c r="J5" s="98"/>
      <c r="K5" s="98"/>
      <c r="L5" s="343"/>
      <c r="M5" s="344"/>
      <c r="N5" s="344"/>
      <c r="O5" s="344"/>
      <c r="P5" s="345"/>
      <c r="Q5" s="97" t="s">
        <v>651</v>
      </c>
      <c r="R5" s="99"/>
      <c r="S5" s="346"/>
      <c r="T5" s="347"/>
      <c r="U5" s="348"/>
      <c r="V5" s="100"/>
      <c r="W5" s="100"/>
      <c r="X5" s="100"/>
      <c r="Y5" s="101"/>
      <c r="Z5" s="101"/>
      <c r="AA5" s="101"/>
    </row>
    <row r="6" spans="1:27" ht="17.25" x14ac:dyDescent="0.3">
      <c r="A6" s="102" t="s">
        <v>652</v>
      </c>
      <c r="B6" s="103"/>
      <c r="C6" s="349" t="s">
        <v>1121</v>
      </c>
      <c r="D6" s="350"/>
      <c r="E6" s="350"/>
      <c r="F6" s="350"/>
      <c r="G6" s="350"/>
      <c r="H6" s="351"/>
      <c r="I6" s="104" t="s">
        <v>653</v>
      </c>
      <c r="J6" s="105"/>
      <c r="K6" s="105"/>
      <c r="L6" s="106"/>
      <c r="M6" s="107"/>
      <c r="N6" s="107" t="s">
        <v>1119</v>
      </c>
      <c r="O6" s="107"/>
      <c r="P6" s="107"/>
      <c r="Q6" s="104" t="s">
        <v>654</v>
      </c>
      <c r="R6" s="108"/>
      <c r="S6" s="352" t="s">
        <v>1123</v>
      </c>
      <c r="T6" s="353"/>
      <c r="U6" s="354"/>
      <c r="V6" s="100"/>
      <c r="W6" s="100"/>
      <c r="X6" s="100"/>
      <c r="Y6" s="101"/>
      <c r="Z6" s="101"/>
      <c r="AA6" s="101"/>
    </row>
    <row r="7" spans="1:27" ht="18" thickBot="1" x14ac:dyDescent="0.35">
      <c r="A7" s="109" t="s">
        <v>655</v>
      </c>
      <c r="B7" s="110"/>
      <c r="C7" s="349"/>
      <c r="D7" s="350"/>
      <c r="E7" s="350"/>
      <c r="F7" s="350"/>
      <c r="G7" s="350"/>
      <c r="H7" s="351"/>
      <c r="I7" s="111" t="s">
        <v>653</v>
      </c>
      <c r="J7" s="112"/>
      <c r="K7" s="112"/>
      <c r="L7" s="113"/>
      <c r="M7" s="114"/>
      <c r="N7" s="329" t="s">
        <v>1122</v>
      </c>
      <c r="O7" s="114"/>
      <c r="P7" s="114"/>
      <c r="Q7" s="111" t="s">
        <v>656</v>
      </c>
      <c r="R7" s="115"/>
      <c r="S7" s="355">
        <v>0.54166666666666663</v>
      </c>
      <c r="T7" s="356"/>
      <c r="U7" s="357"/>
      <c r="V7" s="100"/>
      <c r="W7" s="100"/>
      <c r="X7" s="100"/>
      <c r="Y7" s="101"/>
      <c r="Z7" s="101"/>
      <c r="AA7" s="101"/>
    </row>
    <row r="8" spans="1:27" ht="17.25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95"/>
      <c r="W8" s="95"/>
      <c r="X8" s="95"/>
      <c r="Y8" s="96"/>
      <c r="Z8" s="96"/>
      <c r="AA8" s="96"/>
    </row>
    <row r="9" spans="1:27" ht="17.25" x14ac:dyDescent="0.3">
      <c r="A9" s="334" t="s">
        <v>657</v>
      </c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95"/>
      <c r="W9" s="95"/>
      <c r="X9" s="95"/>
      <c r="Y9" s="96"/>
      <c r="Z9" s="96"/>
      <c r="AA9" s="96"/>
    </row>
    <row r="10" spans="1:27" ht="17.25" x14ac:dyDescent="0.3">
      <c r="A10" s="335" t="s">
        <v>658</v>
      </c>
      <c r="B10" s="335"/>
      <c r="C10" s="118"/>
      <c r="D10" s="118"/>
      <c r="E10" s="118"/>
      <c r="F10" s="118"/>
      <c r="G10" s="118"/>
      <c r="H10" s="118" t="s">
        <v>659</v>
      </c>
      <c r="I10" s="118"/>
      <c r="J10" s="118"/>
      <c r="K10" s="118"/>
      <c r="L10" s="118"/>
      <c r="M10" s="118"/>
      <c r="N10" s="118"/>
      <c r="O10" s="119"/>
      <c r="P10" s="119"/>
      <c r="Q10" s="119"/>
      <c r="R10" s="119"/>
      <c r="S10" s="119"/>
      <c r="T10" s="119"/>
      <c r="U10" s="119"/>
      <c r="V10" s="95"/>
      <c r="W10" s="95"/>
      <c r="X10" s="95"/>
      <c r="Y10" s="96"/>
      <c r="Z10" s="96"/>
      <c r="AA10" s="96"/>
    </row>
    <row r="11" spans="1:27" ht="17.25" x14ac:dyDescent="0.3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336" t="s">
        <v>660</v>
      </c>
      <c r="M11" s="336"/>
      <c r="N11" s="336"/>
      <c r="O11" s="119"/>
      <c r="P11" s="120"/>
      <c r="Q11" s="120"/>
      <c r="R11" s="121"/>
      <c r="S11" s="121"/>
      <c r="T11" s="121"/>
      <c r="U11" s="121"/>
      <c r="V11" s="95"/>
      <c r="W11" s="95"/>
      <c r="X11" s="95"/>
      <c r="Y11" s="96"/>
      <c r="Z11" s="96"/>
      <c r="AA11" s="96"/>
    </row>
    <row r="12" spans="1:27" ht="17.25" x14ac:dyDescent="0.3">
      <c r="A12" s="118" t="s">
        <v>661</v>
      </c>
      <c r="B12" s="118"/>
      <c r="C12" s="118"/>
      <c r="D12" s="118"/>
      <c r="E12" s="118"/>
      <c r="F12" s="121"/>
      <c r="G12" s="118"/>
      <c r="H12" s="118"/>
      <c r="I12" s="118"/>
      <c r="J12" s="118"/>
      <c r="K12" s="118"/>
      <c r="L12" s="337"/>
      <c r="M12" s="338"/>
      <c r="N12" s="339"/>
      <c r="O12" s="119"/>
      <c r="P12" s="120"/>
      <c r="Q12" s="120"/>
      <c r="R12" s="121"/>
      <c r="S12" s="121"/>
      <c r="T12" s="121"/>
      <c r="U12" s="121"/>
      <c r="V12" s="95"/>
      <c r="W12" s="95"/>
      <c r="X12" s="95"/>
      <c r="Y12" s="96"/>
      <c r="Z12" s="96"/>
      <c r="AA12" s="96"/>
    </row>
    <row r="13" spans="1:27" ht="17.25" x14ac:dyDescent="0.3">
      <c r="A13" s="118"/>
      <c r="B13" s="118"/>
      <c r="C13" s="118"/>
      <c r="D13" s="118"/>
      <c r="E13" s="118"/>
      <c r="F13" s="121"/>
      <c r="G13" s="118"/>
      <c r="H13" s="118"/>
      <c r="I13" s="118"/>
      <c r="J13" s="118"/>
      <c r="K13" s="118"/>
      <c r="L13" s="120"/>
      <c r="M13" s="120"/>
      <c r="N13" s="120"/>
      <c r="O13" s="119"/>
      <c r="P13" s="120"/>
      <c r="Q13" s="120"/>
      <c r="R13" s="121"/>
      <c r="S13" s="121"/>
      <c r="T13" s="121"/>
      <c r="U13" s="121"/>
      <c r="V13" s="95"/>
      <c r="W13" s="95"/>
      <c r="X13" s="95"/>
      <c r="Y13" s="96"/>
      <c r="Z13" s="96"/>
      <c r="AA13" s="96"/>
    </row>
    <row r="14" spans="1:27" ht="17.25" x14ac:dyDescent="0.3">
      <c r="A14" s="118" t="s">
        <v>663</v>
      </c>
      <c r="B14" s="118"/>
      <c r="C14" s="118"/>
      <c r="D14" s="118"/>
      <c r="E14" s="118"/>
      <c r="F14" s="121"/>
      <c r="G14" s="118"/>
      <c r="H14" s="118"/>
      <c r="I14" s="118"/>
      <c r="J14" s="118"/>
      <c r="K14" s="118"/>
      <c r="L14" s="337" t="s">
        <v>662</v>
      </c>
      <c r="M14" s="338"/>
      <c r="N14" s="339"/>
      <c r="O14" s="119"/>
      <c r="P14" s="120"/>
      <c r="Q14" s="120"/>
      <c r="R14" s="121"/>
      <c r="S14" s="121"/>
      <c r="T14" s="121"/>
      <c r="U14" s="121"/>
      <c r="V14" s="95"/>
      <c r="W14" s="95"/>
      <c r="X14" s="95"/>
      <c r="Y14" s="96"/>
      <c r="Z14" s="96"/>
      <c r="AA14" s="96"/>
    </row>
    <row r="15" spans="1:27" ht="17.25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9" t="s">
        <v>664</v>
      </c>
      <c r="M15" s="119" t="s">
        <v>665</v>
      </c>
      <c r="N15" s="119" t="s">
        <v>662</v>
      </c>
      <c r="O15" s="119"/>
      <c r="P15" s="120"/>
      <c r="Q15" s="120"/>
      <c r="R15" s="121"/>
      <c r="S15" s="121"/>
      <c r="T15" s="121"/>
      <c r="U15" s="121"/>
      <c r="V15" s="95"/>
      <c r="W15" s="95"/>
      <c r="X15" s="95"/>
      <c r="Y15" s="96"/>
      <c r="Z15" s="96"/>
      <c r="AA15" s="96"/>
    </row>
    <row r="16" spans="1:27" ht="17.25" x14ac:dyDescent="0.3">
      <c r="A16" s="118" t="s">
        <v>666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22" t="s">
        <v>667</v>
      </c>
      <c r="M16" s="122"/>
      <c r="N16" s="122"/>
      <c r="O16" s="119"/>
      <c r="P16" s="120"/>
      <c r="Q16" s="120"/>
      <c r="R16" s="121"/>
      <c r="S16" s="121"/>
      <c r="T16" s="121"/>
      <c r="U16" s="121"/>
      <c r="V16" s="95"/>
      <c r="W16" s="95"/>
      <c r="X16" s="95"/>
      <c r="Y16" s="96"/>
      <c r="Z16" s="96"/>
      <c r="AA16" s="96"/>
    </row>
    <row r="17" spans="1:27" ht="17.25" x14ac:dyDescent="0.3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9"/>
      <c r="M17" s="119"/>
      <c r="N17" s="119"/>
      <c r="O17" s="119"/>
      <c r="P17" s="120"/>
      <c r="Q17" s="120"/>
      <c r="R17" s="121"/>
      <c r="S17" s="121"/>
      <c r="T17" s="121"/>
      <c r="U17" s="121"/>
      <c r="V17" s="95"/>
      <c r="W17" s="95"/>
      <c r="X17" s="95"/>
      <c r="Y17" s="96"/>
      <c r="Z17" s="96"/>
      <c r="AA17" s="96"/>
    </row>
    <row r="18" spans="1:27" ht="17.25" x14ac:dyDescent="0.3">
      <c r="A18" s="118" t="s">
        <v>668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22" t="s">
        <v>667</v>
      </c>
      <c r="M18" s="122"/>
      <c r="N18" s="122"/>
      <c r="O18" s="119"/>
      <c r="P18" s="120"/>
      <c r="Q18" s="120"/>
      <c r="R18" s="121"/>
      <c r="S18" s="121"/>
      <c r="T18" s="121"/>
      <c r="U18" s="121"/>
      <c r="V18" s="95"/>
      <c r="W18" s="95"/>
      <c r="X18" s="95"/>
      <c r="Y18" s="96"/>
      <c r="Z18" s="96"/>
      <c r="AA18" s="96"/>
    </row>
    <row r="19" spans="1:27" ht="17.25" x14ac:dyDescent="0.3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20"/>
      <c r="M19" s="120"/>
      <c r="N19" s="120"/>
      <c r="O19" s="119"/>
      <c r="P19" s="120"/>
      <c r="Q19" s="120"/>
      <c r="R19" s="121"/>
      <c r="S19" s="121"/>
      <c r="T19" s="121"/>
      <c r="U19" s="121"/>
      <c r="V19" s="95"/>
      <c r="W19" s="95"/>
      <c r="X19" s="95"/>
      <c r="Y19" s="96"/>
      <c r="Z19" s="96"/>
      <c r="AA19" s="96"/>
    </row>
    <row r="20" spans="1:27" ht="17.25" x14ac:dyDescent="0.3">
      <c r="A20" s="118" t="s">
        <v>669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22" t="s">
        <v>667</v>
      </c>
      <c r="M20" s="122"/>
      <c r="N20" s="122"/>
      <c r="O20" s="119"/>
      <c r="P20" s="120"/>
      <c r="Q20" s="120"/>
      <c r="R20" s="121"/>
      <c r="S20" s="121"/>
      <c r="T20" s="121"/>
      <c r="U20" s="121"/>
      <c r="V20" s="95"/>
      <c r="W20" s="95"/>
      <c r="X20" s="95"/>
      <c r="Y20" s="96"/>
      <c r="Z20" s="96"/>
      <c r="AA20" s="96"/>
    </row>
    <row r="21" spans="1:27" ht="17.25" x14ac:dyDescent="0.3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9"/>
      <c r="M21" s="119"/>
      <c r="N21" s="119"/>
      <c r="O21" s="119"/>
      <c r="P21" s="120"/>
      <c r="Q21" s="120"/>
      <c r="R21" s="121"/>
      <c r="S21" s="121"/>
      <c r="T21" s="121"/>
      <c r="U21" s="121"/>
      <c r="V21" s="95"/>
      <c r="W21" s="95"/>
      <c r="X21" s="95"/>
      <c r="Y21" s="96"/>
      <c r="Z21" s="96"/>
      <c r="AA21" s="96"/>
    </row>
    <row r="22" spans="1:27" ht="17.25" x14ac:dyDescent="0.3">
      <c r="A22" s="123" t="s">
        <v>670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336" t="s">
        <v>660</v>
      </c>
      <c r="M22" s="336"/>
      <c r="N22" s="336"/>
      <c r="O22" s="119"/>
      <c r="P22" s="120"/>
      <c r="Q22" s="120"/>
      <c r="R22" s="121"/>
      <c r="S22" s="121"/>
      <c r="T22" s="121"/>
      <c r="U22" s="121"/>
      <c r="V22" s="95"/>
      <c r="W22" s="95"/>
      <c r="X22" s="95"/>
      <c r="Y22" s="96"/>
      <c r="Z22" s="96"/>
      <c r="AA22" s="96"/>
    </row>
    <row r="23" spans="1:27" ht="17.25" x14ac:dyDescent="0.3">
      <c r="A23" s="118" t="s">
        <v>671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328">
        <v>184.2</v>
      </c>
      <c r="M23" s="328">
        <v>194.5</v>
      </c>
      <c r="N23" s="328">
        <v>203</v>
      </c>
      <c r="O23" s="119"/>
      <c r="P23" s="120"/>
      <c r="Q23" s="120"/>
      <c r="R23" s="121"/>
      <c r="S23" s="121"/>
      <c r="T23" s="121"/>
      <c r="U23" s="121"/>
      <c r="V23" s="95"/>
      <c r="W23" s="95"/>
      <c r="X23" s="95"/>
      <c r="Y23" s="96"/>
      <c r="Z23" s="96"/>
      <c r="AA23" s="96"/>
    </row>
    <row r="24" spans="1:27" ht="17.25" x14ac:dyDescent="0.3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20"/>
      <c r="M24" s="119"/>
      <c r="N24" s="119"/>
      <c r="O24" s="119"/>
      <c r="P24" s="120"/>
      <c r="Q24" s="120"/>
      <c r="R24" s="121"/>
      <c r="S24" s="121"/>
      <c r="T24" s="121"/>
      <c r="U24" s="121"/>
      <c r="V24" s="95"/>
      <c r="W24" s="95"/>
      <c r="X24" s="95"/>
      <c r="Y24" s="96"/>
      <c r="Z24" s="96"/>
      <c r="AA24" s="96"/>
    </row>
    <row r="25" spans="1:27" ht="17.25" x14ac:dyDescent="0.3">
      <c r="A25" s="118" t="s">
        <v>672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328">
        <v>189.7</v>
      </c>
      <c r="M25" s="328">
        <v>189.8</v>
      </c>
      <c r="N25" s="328">
        <v>200.5</v>
      </c>
      <c r="O25" s="119"/>
      <c r="P25" s="120"/>
      <c r="Q25" s="120"/>
      <c r="R25" s="121"/>
      <c r="S25" s="121"/>
      <c r="T25" s="121"/>
      <c r="U25" s="121"/>
      <c r="V25" s="95"/>
      <c r="W25" s="95"/>
      <c r="X25" s="95"/>
      <c r="Y25" s="96"/>
      <c r="Z25" s="96"/>
      <c r="AA25" s="96"/>
    </row>
    <row r="26" spans="1:27" ht="17.25" x14ac:dyDescent="0.3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20"/>
      <c r="M26" s="119"/>
      <c r="N26" s="119"/>
      <c r="O26" s="119"/>
      <c r="P26" s="120"/>
      <c r="Q26" s="120"/>
      <c r="R26" s="121"/>
      <c r="S26" s="121"/>
      <c r="T26" s="121"/>
      <c r="U26" s="121"/>
      <c r="V26" s="95"/>
      <c r="W26" s="95"/>
      <c r="X26" s="95"/>
      <c r="Y26" s="96"/>
      <c r="Z26" s="96"/>
      <c r="AA26" s="96"/>
    </row>
    <row r="27" spans="1:27" ht="17.25" x14ac:dyDescent="0.3">
      <c r="A27" s="118" t="s">
        <v>673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328">
        <v>335.7</v>
      </c>
      <c r="M27" s="328">
        <v>334.9</v>
      </c>
      <c r="N27" s="328">
        <v>330.8</v>
      </c>
      <c r="O27" s="119"/>
      <c r="P27" s="120"/>
      <c r="Q27" s="120"/>
      <c r="R27" s="121"/>
      <c r="S27" s="121"/>
      <c r="T27" s="121"/>
      <c r="U27" s="121"/>
      <c r="V27" s="95"/>
      <c r="W27" s="95"/>
      <c r="X27" s="95"/>
      <c r="Y27" s="96"/>
      <c r="Z27" s="96"/>
      <c r="AA27" s="96"/>
    </row>
    <row r="28" spans="1:27" ht="17.25" x14ac:dyDescent="0.3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9"/>
      <c r="N28" s="119"/>
      <c r="O28" s="119"/>
      <c r="P28" s="120"/>
      <c r="Q28" s="120"/>
      <c r="R28" s="121"/>
      <c r="S28" s="121"/>
      <c r="T28" s="121"/>
      <c r="U28" s="121"/>
      <c r="V28" s="95"/>
      <c r="W28" s="95"/>
      <c r="X28" s="95"/>
      <c r="Y28" s="96"/>
      <c r="Z28" s="96"/>
      <c r="AA28" s="96"/>
    </row>
    <row r="29" spans="1:27" ht="17.25" x14ac:dyDescent="0.3">
      <c r="A29" s="118" t="s">
        <v>674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337">
        <v>0.54900000000000004</v>
      </c>
      <c r="M29" s="338"/>
      <c r="N29" s="339"/>
      <c r="O29" s="119"/>
      <c r="P29" s="120"/>
      <c r="Q29" s="120"/>
      <c r="R29" s="121"/>
      <c r="S29" s="121"/>
      <c r="T29" s="121"/>
      <c r="U29" s="121"/>
      <c r="V29" s="95"/>
      <c r="W29" s="95"/>
      <c r="X29" s="95"/>
      <c r="Y29" s="96"/>
      <c r="Z29" s="96"/>
      <c r="AA29" s="96"/>
    </row>
    <row r="30" spans="1:27" ht="17.25" x14ac:dyDescent="0.3">
      <c r="A30" s="118"/>
      <c r="B30" s="118"/>
      <c r="C30" s="118"/>
      <c r="D30" s="118"/>
      <c r="E30" s="118"/>
      <c r="F30" s="118"/>
      <c r="G30" s="124"/>
      <c r="H30" s="125"/>
      <c r="I30" s="124"/>
      <c r="J30" s="118"/>
      <c r="K30" s="118"/>
      <c r="L30" s="120"/>
      <c r="M30" s="120"/>
      <c r="N30" s="120"/>
      <c r="O30" s="119"/>
      <c r="P30" s="120"/>
      <c r="Q30" s="120"/>
      <c r="R30" s="121"/>
      <c r="S30" s="121"/>
      <c r="T30" s="121"/>
      <c r="U30" s="121"/>
      <c r="V30" s="95"/>
      <c r="W30" s="95"/>
      <c r="X30" s="95"/>
      <c r="Y30" s="96"/>
      <c r="Z30" s="96"/>
      <c r="AA30" s="96"/>
    </row>
    <row r="31" spans="1:27" ht="17.25" x14ac:dyDescent="0.3">
      <c r="A31" s="126" t="s">
        <v>675</v>
      </c>
      <c r="B31" s="126"/>
      <c r="C31" s="126"/>
      <c r="D31" s="126" t="s">
        <v>676</v>
      </c>
      <c r="E31" s="126"/>
      <c r="F31" s="118"/>
      <c r="G31" s="118"/>
      <c r="H31" s="121"/>
      <c r="I31" s="118"/>
      <c r="J31" s="118"/>
      <c r="K31" s="118"/>
      <c r="L31" s="328">
        <v>15.37</v>
      </c>
      <c r="M31" s="328">
        <v>13.38</v>
      </c>
      <c r="N31" s="328">
        <v>25.8</v>
      </c>
      <c r="O31" s="118"/>
      <c r="P31" s="120"/>
      <c r="Q31" s="120"/>
      <c r="R31" s="121"/>
      <c r="S31" s="121"/>
      <c r="T31" s="121"/>
      <c r="U31" s="121"/>
      <c r="V31" s="95"/>
      <c r="W31" s="95"/>
      <c r="X31" s="95"/>
      <c r="Y31" s="96"/>
      <c r="Z31" s="96"/>
      <c r="AA31" s="96"/>
    </row>
    <row r="32" spans="1:27" ht="17.25" x14ac:dyDescent="0.3">
      <c r="A32" s="118"/>
      <c r="B32" s="118"/>
      <c r="C32" s="118"/>
      <c r="D32" s="118"/>
      <c r="E32" s="118"/>
      <c r="F32" s="118"/>
      <c r="G32" s="118"/>
      <c r="H32" s="121"/>
      <c r="I32" s="118"/>
      <c r="J32" s="118"/>
      <c r="K32" s="118"/>
      <c r="L32" s="121"/>
      <c r="M32" s="121"/>
      <c r="N32" s="121"/>
      <c r="O32" s="118"/>
      <c r="P32" s="120"/>
      <c r="Q32" s="120"/>
      <c r="R32" s="121"/>
      <c r="S32" s="121"/>
      <c r="T32" s="121"/>
      <c r="U32" s="121"/>
      <c r="V32" s="95"/>
      <c r="W32" s="95"/>
      <c r="X32" s="95"/>
      <c r="Y32" s="96"/>
      <c r="Z32" s="96"/>
      <c r="AA32" s="96"/>
    </row>
    <row r="33" spans="1:27" ht="17.25" x14ac:dyDescent="0.3">
      <c r="A33" s="118" t="s">
        <v>677</v>
      </c>
      <c r="B33" s="118"/>
      <c r="C33" s="118"/>
      <c r="D33" s="126" t="s">
        <v>676</v>
      </c>
      <c r="E33" s="118"/>
      <c r="F33" s="118"/>
      <c r="G33" s="118"/>
      <c r="H33" s="121"/>
      <c r="I33" s="118"/>
      <c r="J33" s="118"/>
      <c r="K33" s="118"/>
      <c r="L33" s="337">
        <v>7.3</v>
      </c>
      <c r="M33" s="338"/>
      <c r="N33" s="339"/>
      <c r="O33" s="118"/>
      <c r="P33" s="120"/>
      <c r="Q33" s="120"/>
      <c r="R33" s="121"/>
      <c r="S33" s="121"/>
      <c r="T33" s="121"/>
      <c r="U33" s="121"/>
      <c r="V33" s="95"/>
      <c r="W33" s="95"/>
      <c r="X33" s="95"/>
      <c r="Y33" s="96"/>
      <c r="Z33" s="96"/>
      <c r="AA33" s="96"/>
    </row>
    <row r="34" spans="1:27" x14ac:dyDescent="0.25">
      <c r="L34" s="119" t="s">
        <v>664</v>
      </c>
      <c r="M34" s="119" t="s">
        <v>665</v>
      </c>
      <c r="N34" s="119" t="s">
        <v>662</v>
      </c>
    </row>
    <row r="35" spans="1:27" ht="17.25" x14ac:dyDescent="0.3">
      <c r="A35" s="127" t="s">
        <v>678</v>
      </c>
      <c r="B35" s="118"/>
      <c r="C35" s="118"/>
      <c r="D35" s="118"/>
      <c r="E35" s="118"/>
      <c r="F35" s="118"/>
      <c r="G35" s="124"/>
      <c r="H35" s="125"/>
      <c r="I35" s="124"/>
      <c r="J35" s="118"/>
      <c r="K35" s="118"/>
      <c r="L35" s="122" t="s">
        <v>667</v>
      </c>
      <c r="M35" s="122" t="s">
        <v>659</v>
      </c>
      <c r="N35" s="122"/>
      <c r="O35" s="119"/>
      <c r="P35" s="120"/>
      <c r="Q35" s="120"/>
      <c r="R35" s="121"/>
      <c r="S35" s="121"/>
      <c r="T35" s="121"/>
      <c r="U35" s="121"/>
      <c r="V35" s="95"/>
      <c r="W35" s="95"/>
      <c r="X35" s="95"/>
      <c r="Y35" s="96"/>
      <c r="Z35" s="96"/>
      <c r="AA35" s="96"/>
    </row>
    <row r="36" spans="1:27" ht="17.25" x14ac:dyDescent="0.3">
      <c r="A36" s="118"/>
      <c r="B36" s="118"/>
      <c r="C36" s="118"/>
      <c r="D36" s="118"/>
      <c r="E36" s="118"/>
      <c r="F36" s="118"/>
      <c r="G36" s="124"/>
      <c r="H36" s="125"/>
      <c r="I36" s="124"/>
      <c r="J36" s="118"/>
      <c r="K36" s="118"/>
      <c r="L36" s="119" t="s">
        <v>664</v>
      </c>
      <c r="M36" s="119" t="s">
        <v>665</v>
      </c>
      <c r="N36" s="119" t="s">
        <v>662</v>
      </c>
      <c r="O36" s="119"/>
      <c r="P36" s="119"/>
      <c r="Q36" s="119"/>
      <c r="R36" s="118"/>
      <c r="S36" s="118"/>
      <c r="T36" s="118"/>
      <c r="U36" s="118"/>
      <c r="V36" s="95"/>
      <c r="W36" s="95"/>
      <c r="X36" s="95"/>
      <c r="Y36" s="96"/>
      <c r="Z36" s="96"/>
      <c r="AA36" s="96"/>
    </row>
    <row r="37" spans="1:27" x14ac:dyDescent="0.25">
      <c r="A37" s="127" t="s">
        <v>679</v>
      </c>
      <c r="L37" s="122" t="s">
        <v>667</v>
      </c>
      <c r="M37" s="122" t="s">
        <v>659</v>
      </c>
      <c r="N37" s="122"/>
    </row>
    <row r="38" spans="1:27" x14ac:dyDescent="0.25">
      <c r="A38" s="127"/>
      <c r="L38" s="120" t="s">
        <v>680</v>
      </c>
      <c r="M38" s="120" t="s">
        <v>665</v>
      </c>
      <c r="N38" s="120"/>
    </row>
    <row r="39" spans="1:27" x14ac:dyDescent="0.25">
      <c r="A39" s="127" t="s">
        <v>681</v>
      </c>
      <c r="L39" s="128"/>
      <c r="M39" s="122" t="s">
        <v>682</v>
      </c>
      <c r="N39" s="120"/>
      <c r="P39" s="129"/>
      <c r="R39" s="358"/>
      <c r="S39" s="359"/>
      <c r="T39" s="359"/>
      <c r="U39" s="360"/>
    </row>
    <row r="41" spans="1:27" ht="17.25" x14ac:dyDescent="0.3">
      <c r="A41" s="118"/>
      <c r="B41" s="123" t="s">
        <v>685</v>
      </c>
      <c r="C41" s="118"/>
      <c r="D41" s="118"/>
      <c r="E41" s="118"/>
      <c r="F41" s="118"/>
      <c r="G41" s="121"/>
      <c r="H41" s="121"/>
      <c r="I41" s="118"/>
      <c r="J41" s="118"/>
      <c r="K41" s="118"/>
      <c r="L41" s="118" t="s">
        <v>686</v>
      </c>
      <c r="M41" s="120"/>
      <c r="N41" s="120"/>
      <c r="O41" s="119"/>
      <c r="P41" s="120"/>
      <c r="Q41" s="120"/>
      <c r="R41" s="118" t="s">
        <v>687</v>
      </c>
      <c r="S41" s="121"/>
      <c r="T41" s="121"/>
      <c r="U41" s="121"/>
      <c r="V41" s="95"/>
      <c r="W41" s="95"/>
      <c r="X41" s="95"/>
      <c r="Y41" s="96"/>
      <c r="Z41" s="96"/>
      <c r="AA41" s="96"/>
    </row>
    <row r="42" spans="1:27" ht="17.25" x14ac:dyDescent="0.3">
      <c r="A42" s="130"/>
      <c r="B42" s="130"/>
      <c r="C42" s="131"/>
      <c r="D42" s="118"/>
      <c r="E42" s="118"/>
      <c r="F42" s="118"/>
      <c r="G42" s="118"/>
      <c r="H42" s="118"/>
      <c r="I42" s="118"/>
      <c r="J42" s="118"/>
      <c r="K42" s="118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95"/>
      <c r="W42" s="95"/>
      <c r="X42" s="95"/>
      <c r="Y42" s="96"/>
      <c r="Z42" s="96"/>
      <c r="AA42" s="96"/>
    </row>
    <row r="43" spans="1:27" ht="17.25" x14ac:dyDescent="0.3">
      <c r="A43" s="132" t="s">
        <v>688</v>
      </c>
      <c r="B43" s="95"/>
      <c r="C43" s="118"/>
      <c r="D43" s="118"/>
      <c r="E43" s="118"/>
      <c r="F43" s="118"/>
      <c r="G43" s="118"/>
      <c r="H43" s="118"/>
      <c r="I43" s="118"/>
      <c r="J43" s="118"/>
      <c r="K43" s="118"/>
      <c r="L43" s="119"/>
      <c r="M43" s="119" t="s">
        <v>689</v>
      </c>
      <c r="N43" s="119"/>
      <c r="O43" s="119"/>
      <c r="P43" s="119"/>
      <c r="Q43" s="119"/>
      <c r="R43" s="119"/>
      <c r="S43" s="119" t="s">
        <v>689</v>
      </c>
      <c r="T43" s="119"/>
      <c r="U43" s="119"/>
      <c r="V43" s="95"/>
      <c r="W43" s="95"/>
      <c r="X43" s="95"/>
      <c r="Y43" s="96"/>
      <c r="Z43" s="96"/>
      <c r="AA43" s="96"/>
    </row>
    <row r="44" spans="1:27" ht="17.25" x14ac:dyDescent="0.3">
      <c r="A44" s="118" t="s">
        <v>690</v>
      </c>
      <c r="B44" s="118"/>
      <c r="C44" s="118"/>
      <c r="D44" s="118"/>
      <c r="E44" s="118"/>
      <c r="F44" s="118"/>
      <c r="G44" s="120"/>
      <c r="H44" s="133"/>
      <c r="I44" s="133"/>
      <c r="J44" s="133"/>
      <c r="K44" s="118"/>
      <c r="L44" s="337" t="s">
        <v>1129</v>
      </c>
      <c r="M44" s="338"/>
      <c r="N44" s="339"/>
      <c r="O44" s="119"/>
      <c r="P44" s="119"/>
      <c r="Q44" s="119"/>
      <c r="R44" s="337"/>
      <c r="S44" s="338"/>
      <c r="T44" s="339"/>
      <c r="U44" s="119"/>
      <c r="V44" s="95"/>
      <c r="W44" s="95"/>
      <c r="X44" s="95"/>
      <c r="Y44" s="96"/>
      <c r="Z44" s="96"/>
      <c r="AA44" s="96"/>
    </row>
    <row r="45" spans="1:27" ht="17.25" x14ac:dyDescent="0.3">
      <c r="A45" s="118"/>
      <c r="B45" s="118"/>
      <c r="C45" s="118"/>
      <c r="D45" s="118"/>
      <c r="E45" s="118"/>
      <c r="F45" s="118"/>
      <c r="G45" s="121"/>
      <c r="H45" s="134"/>
      <c r="I45" s="134"/>
      <c r="J45" s="126"/>
      <c r="K45" s="118"/>
      <c r="L45" s="119"/>
      <c r="M45" s="120"/>
      <c r="N45" s="120"/>
      <c r="O45" s="119"/>
      <c r="P45" s="119"/>
      <c r="Q45" s="119"/>
      <c r="R45" s="119"/>
      <c r="S45" s="120"/>
      <c r="T45" s="120"/>
      <c r="U45" s="119"/>
      <c r="V45" s="95"/>
      <c r="W45" s="95"/>
      <c r="X45" s="95"/>
      <c r="Y45" s="96"/>
      <c r="Z45" s="96"/>
      <c r="AA45" s="96"/>
    </row>
    <row r="46" spans="1:27" ht="17.25" x14ac:dyDescent="0.3">
      <c r="A46" s="118"/>
      <c r="B46" s="118"/>
      <c r="C46" s="118"/>
      <c r="D46" s="118"/>
      <c r="E46" s="118"/>
      <c r="F46" s="118"/>
      <c r="G46" s="121"/>
      <c r="H46" s="121"/>
      <c r="I46" s="121"/>
      <c r="J46" s="118"/>
      <c r="K46" s="118"/>
      <c r="L46" s="119" t="s">
        <v>664</v>
      </c>
      <c r="M46" s="119" t="s">
        <v>665</v>
      </c>
      <c r="N46" s="119" t="s">
        <v>662</v>
      </c>
      <c r="O46" s="119"/>
      <c r="P46" s="119"/>
      <c r="Q46" s="119"/>
      <c r="R46" s="119" t="s">
        <v>664</v>
      </c>
      <c r="S46" s="119" t="s">
        <v>665</v>
      </c>
      <c r="T46" s="119" t="s">
        <v>662</v>
      </c>
      <c r="U46" s="119"/>
      <c r="V46" s="95"/>
      <c r="W46" s="95"/>
      <c r="X46" s="95"/>
      <c r="Y46" s="96"/>
      <c r="Z46" s="96"/>
      <c r="AA46" s="96"/>
    </row>
    <row r="47" spans="1:27" ht="17.25" x14ac:dyDescent="0.3">
      <c r="A47" s="118" t="s">
        <v>691</v>
      </c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22" t="s">
        <v>667</v>
      </c>
      <c r="M47" s="122"/>
      <c r="N47" s="122"/>
      <c r="O47" s="119"/>
      <c r="P47" s="119"/>
      <c r="Q47" s="119"/>
      <c r="R47" s="122"/>
      <c r="S47" s="122"/>
      <c r="T47" s="122"/>
      <c r="U47" s="119"/>
      <c r="V47" s="95"/>
      <c r="W47" s="95"/>
      <c r="X47" s="95"/>
      <c r="Y47" s="96"/>
      <c r="Z47" s="96"/>
      <c r="AA47" s="96"/>
    </row>
    <row r="48" spans="1:27" ht="17.25" x14ac:dyDescent="0.3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9"/>
      <c r="M48" s="119"/>
      <c r="N48" s="120"/>
      <c r="O48" s="119"/>
      <c r="P48" s="119"/>
      <c r="Q48" s="119"/>
      <c r="R48" s="119"/>
      <c r="S48" s="119"/>
      <c r="T48" s="120"/>
      <c r="U48" s="119"/>
      <c r="V48" s="95"/>
      <c r="W48" s="95"/>
      <c r="X48" s="95"/>
      <c r="Y48" s="96"/>
      <c r="Z48" s="96"/>
      <c r="AA48" s="96"/>
    </row>
    <row r="49" spans="1:27" ht="17.25" x14ac:dyDescent="0.3">
      <c r="A49" s="118" t="s">
        <v>692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22" t="s">
        <v>667</v>
      </c>
      <c r="M49" s="122"/>
      <c r="N49" s="122"/>
      <c r="O49" s="119"/>
      <c r="P49" s="119"/>
      <c r="Q49" s="119"/>
      <c r="R49" s="122"/>
      <c r="S49" s="122"/>
      <c r="T49" s="122"/>
      <c r="U49" s="119"/>
      <c r="V49" s="95"/>
      <c r="W49" s="95"/>
      <c r="X49" s="95"/>
      <c r="Y49" s="96"/>
      <c r="Z49" s="96"/>
      <c r="AA49" s="96"/>
    </row>
    <row r="50" spans="1:27" ht="17.25" x14ac:dyDescent="0.3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9"/>
      <c r="M50" s="119"/>
      <c r="N50" s="120"/>
      <c r="O50" s="119"/>
      <c r="P50" s="119"/>
      <c r="Q50" s="119"/>
      <c r="R50" s="119"/>
      <c r="S50" s="119"/>
      <c r="T50" s="120"/>
      <c r="U50" s="119"/>
      <c r="V50" s="95"/>
      <c r="W50" s="95"/>
      <c r="X50" s="95"/>
      <c r="Y50" s="96"/>
      <c r="Z50" s="96"/>
      <c r="AA50" s="96"/>
    </row>
    <row r="51" spans="1:27" ht="17.25" x14ac:dyDescent="0.3">
      <c r="A51" s="121" t="s">
        <v>693</v>
      </c>
      <c r="B51" s="121"/>
      <c r="C51" s="118"/>
      <c r="D51" s="118"/>
      <c r="E51" s="118"/>
      <c r="F51" s="118"/>
      <c r="G51" s="118"/>
      <c r="H51" s="118"/>
      <c r="I51" s="118"/>
      <c r="J51" s="118"/>
      <c r="K51" s="118"/>
      <c r="L51" s="122" t="s">
        <v>667</v>
      </c>
      <c r="M51" s="122"/>
      <c r="N51" s="122"/>
      <c r="O51" s="119"/>
      <c r="P51" s="119"/>
      <c r="Q51" s="119"/>
      <c r="R51" s="122"/>
      <c r="S51" s="122"/>
      <c r="T51" s="122"/>
      <c r="U51" s="119"/>
      <c r="V51" s="95"/>
      <c r="W51" s="95"/>
      <c r="X51" s="95"/>
      <c r="Y51" s="96"/>
      <c r="Z51" s="96"/>
      <c r="AA51" s="96"/>
    </row>
    <row r="52" spans="1:27" ht="17.25" x14ac:dyDescent="0.3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19"/>
      <c r="M52" s="119"/>
      <c r="N52" s="120"/>
      <c r="O52" s="119"/>
      <c r="P52" s="119"/>
      <c r="Q52" s="119"/>
      <c r="R52" s="119"/>
      <c r="S52" s="119"/>
      <c r="T52" s="120"/>
      <c r="U52" s="119"/>
      <c r="V52" s="95"/>
      <c r="W52" s="95"/>
      <c r="X52" s="95"/>
      <c r="Y52" s="96"/>
      <c r="Z52" s="96"/>
      <c r="AA52" s="96"/>
    </row>
    <row r="53" spans="1:27" x14ac:dyDescent="0.25">
      <c r="A53" s="333" t="s">
        <v>694</v>
      </c>
      <c r="B53" s="333"/>
    </row>
    <row r="54" spans="1:27" ht="15.75" x14ac:dyDescent="0.25">
      <c r="C54" s="135" t="s">
        <v>695</v>
      </c>
      <c r="L54" s="337">
        <v>0</v>
      </c>
      <c r="M54" s="338"/>
      <c r="N54" s="339"/>
      <c r="R54" s="337"/>
      <c r="S54" s="338"/>
      <c r="T54" s="339"/>
    </row>
    <row r="55" spans="1:27" ht="15.75" x14ac:dyDescent="0.25">
      <c r="C55" s="135"/>
    </row>
    <row r="56" spans="1:27" ht="15.75" x14ac:dyDescent="0.25">
      <c r="C56" s="135" t="s">
        <v>696</v>
      </c>
      <c r="L56" s="337"/>
      <c r="M56" s="338"/>
      <c r="N56" s="339"/>
      <c r="R56" s="337"/>
      <c r="S56" s="338"/>
      <c r="T56" s="339"/>
    </row>
    <row r="57" spans="1:27" ht="15.75" x14ac:dyDescent="0.25">
      <c r="C57" s="135"/>
      <c r="L57" s="119" t="s">
        <v>664</v>
      </c>
      <c r="M57" s="119" t="s">
        <v>665</v>
      </c>
      <c r="N57" s="119" t="s">
        <v>662</v>
      </c>
      <c r="R57" s="119" t="s">
        <v>664</v>
      </c>
      <c r="S57" s="119" t="s">
        <v>665</v>
      </c>
      <c r="T57" s="119" t="s">
        <v>662</v>
      </c>
    </row>
    <row r="58" spans="1:27" ht="15.75" x14ac:dyDescent="0.25">
      <c r="C58" s="135" t="s">
        <v>697</v>
      </c>
      <c r="L58" s="122" t="s">
        <v>667</v>
      </c>
      <c r="M58" s="122"/>
      <c r="N58" s="122"/>
      <c r="R58" s="122"/>
      <c r="S58" s="122"/>
      <c r="T58" s="122"/>
    </row>
    <row r="60" spans="1:27" ht="17.25" x14ac:dyDescent="0.3">
      <c r="A60" s="121" t="s">
        <v>698</v>
      </c>
      <c r="B60" s="121"/>
      <c r="C60" s="118"/>
      <c r="D60" s="118"/>
      <c r="E60" s="118"/>
      <c r="F60" s="118"/>
      <c r="G60" s="118"/>
      <c r="H60" s="118"/>
      <c r="I60" s="118"/>
      <c r="J60" s="118"/>
      <c r="K60" s="118"/>
      <c r="L60" s="122" t="s">
        <v>667</v>
      </c>
      <c r="M60" s="122"/>
      <c r="N60" s="122"/>
      <c r="O60" s="119"/>
      <c r="P60" s="119"/>
      <c r="Q60" s="119"/>
      <c r="R60" s="122"/>
      <c r="S60" s="122"/>
      <c r="T60" s="122"/>
      <c r="U60" s="119"/>
      <c r="V60" s="95"/>
      <c r="W60" s="95"/>
      <c r="X60" s="95"/>
      <c r="Y60" s="96"/>
      <c r="Z60" s="96"/>
      <c r="AA60" s="96"/>
    </row>
    <row r="61" spans="1:27" ht="17.25" x14ac:dyDescent="0.3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19"/>
      <c r="M61" s="119"/>
      <c r="N61" s="120"/>
      <c r="O61" s="119"/>
      <c r="P61" s="119"/>
      <c r="Q61" s="119"/>
      <c r="R61" s="119"/>
      <c r="S61" s="119"/>
      <c r="T61" s="120"/>
      <c r="U61" s="119"/>
      <c r="V61" s="95"/>
      <c r="W61" s="95"/>
      <c r="X61" s="95"/>
      <c r="Y61" s="96"/>
      <c r="Z61" s="96"/>
      <c r="AA61" s="96"/>
    </row>
    <row r="62" spans="1:27" ht="17.25" x14ac:dyDescent="0.3">
      <c r="A62" s="134" t="s">
        <v>699</v>
      </c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22" t="s">
        <v>667</v>
      </c>
      <c r="M62" s="122"/>
      <c r="N62" s="122"/>
      <c r="O62" s="119"/>
      <c r="P62" s="119"/>
      <c r="Q62" s="119"/>
      <c r="R62" s="122"/>
      <c r="S62" s="122"/>
      <c r="T62" s="122"/>
      <c r="U62" s="119"/>
      <c r="V62" s="95"/>
      <c r="W62" s="95"/>
      <c r="X62" s="95"/>
      <c r="Y62" s="96"/>
      <c r="Z62" s="96"/>
      <c r="AA62" s="96"/>
    </row>
    <row r="63" spans="1:27" ht="17.25" x14ac:dyDescent="0.3">
      <c r="A63" s="121"/>
      <c r="B63" s="121"/>
      <c r="C63" s="118"/>
      <c r="D63" s="118"/>
      <c r="E63" s="118"/>
      <c r="F63" s="118"/>
      <c r="G63" s="118"/>
      <c r="H63" s="118"/>
      <c r="I63" s="118"/>
      <c r="J63" s="118"/>
      <c r="K63" s="118"/>
      <c r="L63" s="119"/>
      <c r="M63" s="119"/>
      <c r="N63" s="120"/>
      <c r="O63" s="119"/>
      <c r="P63" s="119"/>
      <c r="Q63" s="119"/>
      <c r="R63" s="119"/>
      <c r="S63" s="119"/>
      <c r="T63" s="120"/>
      <c r="U63" s="119"/>
      <c r="V63" s="95"/>
      <c r="W63" s="95"/>
      <c r="X63" s="95"/>
      <c r="Y63" s="96"/>
      <c r="Z63" s="96"/>
      <c r="AA63" s="96"/>
    </row>
    <row r="64" spans="1:27" ht="17.25" x14ac:dyDescent="0.3">
      <c r="A64" s="118" t="s">
        <v>700</v>
      </c>
      <c r="B64" s="118"/>
      <c r="C64" s="118"/>
      <c r="D64" s="118"/>
      <c r="E64" s="118"/>
      <c r="F64" s="118" t="s">
        <v>701</v>
      </c>
      <c r="G64" s="118"/>
      <c r="H64" s="118"/>
      <c r="I64" s="118"/>
      <c r="J64" s="118"/>
      <c r="K64" s="118"/>
      <c r="L64" s="122" t="s">
        <v>667</v>
      </c>
      <c r="M64" s="122"/>
      <c r="N64" s="122"/>
      <c r="O64" s="119"/>
      <c r="P64" s="119"/>
      <c r="Q64" s="119"/>
      <c r="R64" s="122"/>
      <c r="S64" s="122"/>
      <c r="T64" s="122"/>
      <c r="U64" s="119"/>
      <c r="V64" s="95"/>
      <c r="W64" s="95"/>
      <c r="X64" s="95"/>
      <c r="Y64" s="96"/>
      <c r="Z64" s="96"/>
      <c r="AA64" s="96"/>
    </row>
    <row r="65" spans="1:27" ht="17.25" x14ac:dyDescent="0.3">
      <c r="A65" s="118"/>
      <c r="B65" s="118"/>
      <c r="C65" s="118"/>
      <c r="D65" s="118"/>
      <c r="E65" s="118"/>
      <c r="F65" s="118" t="s">
        <v>702</v>
      </c>
      <c r="G65" s="118"/>
      <c r="H65" s="118"/>
      <c r="I65" s="118"/>
      <c r="J65" s="118"/>
      <c r="K65" s="118"/>
      <c r="L65" s="122" t="s">
        <v>667</v>
      </c>
      <c r="M65" s="122"/>
      <c r="N65" s="122"/>
      <c r="O65" s="119"/>
      <c r="P65" s="119"/>
      <c r="Q65" s="119"/>
      <c r="R65" s="122"/>
      <c r="S65" s="122"/>
      <c r="T65" s="122"/>
      <c r="U65" s="119"/>
      <c r="V65" s="95"/>
      <c r="W65" s="95"/>
      <c r="X65" s="95"/>
      <c r="Y65" s="96"/>
      <c r="Z65" s="96"/>
      <c r="AA65" s="96"/>
    </row>
    <row r="66" spans="1:27" ht="17.25" x14ac:dyDescent="0.3">
      <c r="A66" s="118"/>
      <c r="B66" s="118"/>
      <c r="C66" s="118"/>
      <c r="D66" s="118"/>
      <c r="E66" s="118"/>
      <c r="F66" s="118" t="s">
        <v>703</v>
      </c>
      <c r="G66" s="118"/>
      <c r="H66" s="118"/>
      <c r="I66" s="118"/>
      <c r="J66" s="118"/>
      <c r="K66" s="118"/>
      <c r="L66" s="122" t="s">
        <v>667</v>
      </c>
      <c r="M66" s="136"/>
      <c r="N66" s="136"/>
      <c r="O66" s="119"/>
      <c r="P66" s="119"/>
      <c r="Q66" s="119"/>
      <c r="R66" s="122"/>
      <c r="S66" s="136"/>
      <c r="T66" s="136"/>
      <c r="U66" s="119"/>
      <c r="V66" s="95"/>
      <c r="W66" s="95"/>
      <c r="X66" s="95"/>
      <c r="Y66" s="96"/>
      <c r="Z66" s="96"/>
      <c r="AA66" s="96"/>
    </row>
    <row r="67" spans="1:27" ht="17.25" x14ac:dyDescent="0.3">
      <c r="A67" s="118"/>
      <c r="B67" s="118"/>
      <c r="C67" s="118"/>
      <c r="D67" s="118"/>
      <c r="E67" s="118"/>
      <c r="F67" s="118" t="s">
        <v>704</v>
      </c>
      <c r="G67" s="118"/>
      <c r="H67" s="118"/>
      <c r="I67" s="118"/>
      <c r="J67" s="118"/>
      <c r="K67" s="118"/>
      <c r="L67" s="122" t="s">
        <v>667</v>
      </c>
      <c r="M67" s="136"/>
      <c r="N67" s="136"/>
      <c r="O67" s="119"/>
      <c r="P67" s="119"/>
      <c r="Q67" s="119"/>
      <c r="R67" s="122"/>
      <c r="S67" s="136"/>
      <c r="T67" s="136"/>
      <c r="U67" s="119"/>
      <c r="V67" s="95"/>
      <c r="W67" s="95"/>
      <c r="X67" s="95"/>
      <c r="Y67" s="96"/>
      <c r="Z67" s="96"/>
      <c r="AA67" s="96"/>
    </row>
    <row r="68" spans="1:27" ht="17.25" x14ac:dyDescent="0.3">
      <c r="A68" s="118"/>
      <c r="B68" s="118"/>
      <c r="C68" s="118"/>
      <c r="D68" s="118"/>
      <c r="E68" s="118"/>
      <c r="F68" s="118" t="s">
        <v>705</v>
      </c>
      <c r="G68" s="118"/>
      <c r="H68" s="118"/>
      <c r="I68" s="118"/>
      <c r="J68" s="118"/>
      <c r="K68" s="118"/>
      <c r="L68" s="122" t="s">
        <v>667</v>
      </c>
      <c r="M68" s="136"/>
      <c r="N68" s="136"/>
      <c r="O68" s="119"/>
      <c r="P68" s="119"/>
      <c r="Q68" s="119"/>
      <c r="R68" s="122"/>
      <c r="S68" s="136"/>
      <c r="T68" s="136"/>
      <c r="U68" s="119"/>
      <c r="V68" s="95"/>
      <c r="W68" s="95"/>
      <c r="X68" s="95"/>
      <c r="Y68" s="96"/>
      <c r="Z68" s="96"/>
      <c r="AA68" s="96"/>
    </row>
    <row r="70" spans="1:27" ht="17.25" x14ac:dyDescent="0.3">
      <c r="A70" s="118" t="s">
        <v>706</v>
      </c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337">
        <v>6</v>
      </c>
      <c r="M70" s="338"/>
      <c r="N70" s="339"/>
      <c r="O70" s="119"/>
      <c r="P70" s="119"/>
      <c r="Q70" s="119"/>
      <c r="R70" s="337"/>
      <c r="S70" s="338"/>
      <c r="T70" s="339"/>
      <c r="U70" s="119"/>
      <c r="V70" s="95"/>
      <c r="W70" s="95"/>
      <c r="X70" s="95"/>
      <c r="Y70" s="96"/>
      <c r="Z70" s="96"/>
      <c r="AA70" s="96"/>
    </row>
    <row r="71" spans="1:27" ht="17.25" x14ac:dyDescent="0.3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9" t="s">
        <v>664</v>
      </c>
      <c r="M71" s="119" t="s">
        <v>665</v>
      </c>
      <c r="N71" s="119" t="s">
        <v>662</v>
      </c>
      <c r="O71" s="119"/>
      <c r="P71" s="119"/>
      <c r="Q71" s="119"/>
      <c r="R71" s="119" t="s">
        <v>664</v>
      </c>
      <c r="S71" s="119" t="s">
        <v>665</v>
      </c>
      <c r="T71" s="119" t="s">
        <v>662</v>
      </c>
      <c r="U71" s="119"/>
      <c r="V71" s="95"/>
      <c r="W71" s="95"/>
      <c r="X71" s="95"/>
      <c r="Y71" s="96"/>
      <c r="Z71" s="96"/>
      <c r="AA71" s="96"/>
    </row>
    <row r="72" spans="1:27" ht="17.25" x14ac:dyDescent="0.3">
      <c r="A72" s="118" t="s">
        <v>707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22" t="s">
        <v>667</v>
      </c>
      <c r="M72" s="122"/>
      <c r="N72" s="122"/>
      <c r="O72" s="119"/>
      <c r="P72" s="119"/>
      <c r="Q72" s="119"/>
      <c r="R72" s="122"/>
      <c r="S72" s="122"/>
      <c r="T72" s="122"/>
      <c r="U72" s="119"/>
      <c r="V72" s="95"/>
      <c r="W72" s="95"/>
      <c r="X72" s="95"/>
      <c r="Y72" s="96"/>
      <c r="Z72" s="96"/>
      <c r="AA72" s="96"/>
    </row>
    <row r="73" spans="1:27" ht="17.25" x14ac:dyDescent="0.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95"/>
      <c r="W73" s="95"/>
      <c r="X73" s="95"/>
      <c r="Y73" s="96"/>
      <c r="Z73" s="96"/>
      <c r="AA73" s="96"/>
    </row>
    <row r="74" spans="1:27" ht="17.25" x14ac:dyDescent="0.3">
      <c r="A74" s="118" t="s">
        <v>708</v>
      </c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22" t="s">
        <v>667</v>
      </c>
      <c r="M74" s="122"/>
      <c r="N74" s="122"/>
      <c r="O74" s="119"/>
      <c r="P74" s="119"/>
      <c r="Q74" s="119"/>
      <c r="R74" s="122"/>
      <c r="S74" s="122"/>
      <c r="T74" s="122"/>
      <c r="U74" s="119"/>
      <c r="V74" s="95"/>
      <c r="W74" s="95"/>
      <c r="X74" s="95"/>
      <c r="Y74" s="96"/>
      <c r="Z74" s="96"/>
      <c r="AA74" s="96"/>
    </row>
    <row r="75" spans="1:27" ht="17.25" x14ac:dyDescent="0.3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20"/>
      <c r="M75" s="120"/>
      <c r="N75" s="120"/>
      <c r="O75" s="119"/>
      <c r="P75" s="119"/>
      <c r="Q75" s="119"/>
      <c r="R75" s="120"/>
      <c r="S75" s="120"/>
      <c r="T75" s="120"/>
      <c r="U75" s="119"/>
      <c r="V75" s="95"/>
      <c r="W75" s="95"/>
      <c r="X75" s="95"/>
      <c r="Y75" s="96"/>
      <c r="Z75" s="96"/>
      <c r="AA75" s="96"/>
    </row>
    <row r="76" spans="1:27" ht="17.25" x14ac:dyDescent="0.3">
      <c r="A76" s="118" t="s">
        <v>709</v>
      </c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22" t="s">
        <v>667</v>
      </c>
      <c r="M76" s="122"/>
      <c r="N76" s="122"/>
      <c r="O76" s="119"/>
      <c r="P76" s="119"/>
      <c r="Q76" s="119"/>
      <c r="R76" s="122"/>
      <c r="S76" s="122"/>
      <c r="T76" s="122"/>
      <c r="U76" s="119"/>
      <c r="V76" s="95"/>
      <c r="W76" s="95"/>
      <c r="X76" s="95"/>
      <c r="Y76" s="96"/>
      <c r="Z76" s="96"/>
      <c r="AA76" s="96"/>
    </row>
    <row r="77" spans="1:27" ht="17.25" x14ac:dyDescent="0.3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20"/>
      <c r="M77" s="120"/>
      <c r="N77" s="120"/>
      <c r="O77" s="119"/>
      <c r="P77" s="119"/>
      <c r="Q77" s="119"/>
      <c r="R77" s="120"/>
      <c r="S77" s="120"/>
      <c r="T77" s="120"/>
      <c r="U77" s="119"/>
      <c r="V77" s="95"/>
      <c r="W77" s="95"/>
      <c r="X77" s="95"/>
      <c r="Y77" s="96"/>
      <c r="Z77" s="96"/>
      <c r="AA77" s="96"/>
    </row>
    <row r="78" spans="1:27" ht="17.25" x14ac:dyDescent="0.3">
      <c r="A78" s="118" t="s">
        <v>710</v>
      </c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22" t="s">
        <v>667</v>
      </c>
      <c r="M78" s="122"/>
      <c r="N78" s="122"/>
      <c r="O78" s="119"/>
      <c r="P78" s="119"/>
      <c r="Q78" s="119"/>
      <c r="R78" s="122"/>
      <c r="S78" s="122"/>
      <c r="T78" s="122"/>
      <c r="U78" s="119"/>
      <c r="V78" s="95"/>
      <c r="W78" s="95"/>
      <c r="X78" s="95"/>
      <c r="Y78" s="96"/>
      <c r="Z78" s="96"/>
      <c r="AA78" s="96"/>
    </row>
    <row r="79" spans="1:27" ht="17.25" x14ac:dyDescent="0.3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20"/>
      <c r="M79" s="120"/>
      <c r="N79" s="120"/>
      <c r="O79" s="119"/>
      <c r="P79" s="119"/>
      <c r="Q79" s="119"/>
      <c r="R79" s="120"/>
      <c r="S79" s="120"/>
      <c r="T79" s="120"/>
      <c r="U79" s="119"/>
      <c r="V79" s="95"/>
      <c r="W79" s="95"/>
      <c r="X79" s="95"/>
      <c r="Y79" s="96"/>
      <c r="Z79" s="96"/>
      <c r="AA79" s="96"/>
    </row>
    <row r="80" spans="1:27" ht="17.25" x14ac:dyDescent="0.3">
      <c r="A80" s="118" t="s">
        <v>711</v>
      </c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22" t="s">
        <v>667</v>
      </c>
      <c r="M80" s="122"/>
      <c r="N80" s="122"/>
      <c r="O80" s="119"/>
      <c r="P80" s="119"/>
      <c r="Q80" s="119"/>
      <c r="R80" s="122"/>
      <c r="S80" s="122"/>
      <c r="T80" s="122"/>
      <c r="U80" s="119"/>
      <c r="V80" s="95"/>
      <c r="W80" s="95"/>
      <c r="X80" s="95"/>
      <c r="Y80" s="96"/>
      <c r="Z80" s="96"/>
      <c r="AA80" s="96"/>
    </row>
    <row r="81" spans="1:27" ht="17.25" x14ac:dyDescent="0.3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20"/>
      <c r="M81" s="120"/>
      <c r="N81" s="120"/>
      <c r="O81" s="119"/>
      <c r="P81" s="119"/>
      <c r="Q81" s="119"/>
      <c r="R81" s="120"/>
      <c r="S81" s="120"/>
      <c r="T81" s="120"/>
      <c r="U81" s="119"/>
      <c r="V81" s="95"/>
      <c r="W81" s="95"/>
      <c r="X81" s="95"/>
      <c r="Y81" s="96"/>
      <c r="Z81" s="96"/>
      <c r="AA81" s="96"/>
    </row>
    <row r="82" spans="1:27" ht="17.25" x14ac:dyDescent="0.3">
      <c r="A82" s="118" t="s">
        <v>712</v>
      </c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22" t="s">
        <v>664</v>
      </c>
      <c r="M82" s="122"/>
      <c r="N82" s="122"/>
      <c r="O82" s="119"/>
      <c r="P82" s="119"/>
      <c r="Q82" s="119"/>
      <c r="R82" s="122"/>
      <c r="S82" s="122"/>
      <c r="T82" s="122"/>
      <c r="U82" s="119"/>
      <c r="V82" s="95"/>
      <c r="W82" s="95"/>
      <c r="X82" s="95"/>
      <c r="Y82" s="96"/>
      <c r="Z82" s="96"/>
      <c r="AA82" s="96"/>
    </row>
    <row r="83" spans="1:27" ht="17.25" x14ac:dyDescent="0.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20"/>
      <c r="M83" s="120"/>
      <c r="N83" s="120"/>
      <c r="O83" s="119"/>
      <c r="P83" s="119"/>
      <c r="Q83" s="119"/>
      <c r="R83" s="120"/>
      <c r="S83" s="120"/>
      <c r="T83" s="120"/>
      <c r="U83" s="119"/>
      <c r="V83" s="95"/>
      <c r="W83" s="95"/>
      <c r="X83" s="95"/>
      <c r="Y83" s="96"/>
      <c r="Z83" s="96"/>
      <c r="AA83" s="96"/>
    </row>
    <row r="84" spans="1:27" ht="17.25" x14ac:dyDescent="0.3">
      <c r="A84" s="118" t="s">
        <v>713</v>
      </c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22"/>
      <c r="M84" s="122"/>
      <c r="N84" s="122"/>
      <c r="O84" s="119"/>
      <c r="P84" s="119"/>
      <c r="Q84" s="119"/>
      <c r="R84" s="122"/>
      <c r="S84" s="122"/>
      <c r="T84" s="122"/>
      <c r="U84" s="119"/>
      <c r="V84" s="95"/>
      <c r="W84" s="95"/>
      <c r="X84" s="95"/>
      <c r="Y84" s="96"/>
      <c r="Z84" s="96"/>
      <c r="AA84" s="96"/>
    </row>
    <row r="85" spans="1:27" ht="17.25" x14ac:dyDescent="0.3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20"/>
      <c r="M85" s="120"/>
      <c r="N85" s="120"/>
      <c r="O85" s="119"/>
      <c r="P85" s="119"/>
      <c r="Q85" s="119"/>
      <c r="R85" s="120"/>
      <c r="S85" s="120"/>
      <c r="T85" s="120"/>
      <c r="U85" s="119"/>
      <c r="V85" s="95"/>
      <c r="W85" s="95"/>
      <c r="X85" s="95"/>
      <c r="Y85" s="96"/>
      <c r="Z85" s="96"/>
      <c r="AA85" s="96"/>
    </row>
    <row r="86" spans="1:27" ht="17.25" x14ac:dyDescent="0.3">
      <c r="A86" s="118" t="s">
        <v>714</v>
      </c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22"/>
      <c r="M86" s="122"/>
      <c r="N86" s="122"/>
      <c r="O86" s="119"/>
      <c r="P86" s="119"/>
      <c r="Q86" s="119"/>
      <c r="R86" s="122"/>
      <c r="S86" s="122"/>
      <c r="T86" s="122"/>
      <c r="U86" s="119"/>
      <c r="V86" s="95"/>
      <c r="W86" s="95"/>
      <c r="X86" s="95"/>
      <c r="Y86" s="96"/>
      <c r="Z86" s="96"/>
      <c r="AA86" s="96"/>
    </row>
    <row r="87" spans="1:27" ht="17.25" x14ac:dyDescent="0.3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20"/>
      <c r="M87" s="120"/>
      <c r="N87" s="120"/>
      <c r="O87" s="119"/>
      <c r="P87" s="119"/>
      <c r="Q87" s="119"/>
      <c r="R87" s="120"/>
      <c r="S87" s="120"/>
      <c r="T87" s="120"/>
      <c r="U87" s="119"/>
      <c r="V87" s="95"/>
      <c r="W87" s="95"/>
      <c r="X87" s="95"/>
      <c r="Y87" s="96"/>
      <c r="Z87" s="96"/>
      <c r="AA87" s="96"/>
    </row>
    <row r="88" spans="1:27" ht="17.25" x14ac:dyDescent="0.3">
      <c r="A88" s="118" t="s">
        <v>715</v>
      </c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22"/>
      <c r="M88" s="122"/>
      <c r="N88" s="122"/>
      <c r="O88" s="119"/>
      <c r="P88" s="119"/>
      <c r="Q88" s="119"/>
      <c r="R88" s="122"/>
      <c r="S88" s="122"/>
      <c r="T88" s="122"/>
      <c r="U88" s="119"/>
      <c r="V88" s="95"/>
      <c r="W88" s="95"/>
      <c r="X88" s="95"/>
      <c r="Y88" s="96"/>
      <c r="Z88" s="96"/>
      <c r="AA88" s="96"/>
    </row>
    <row r="89" spans="1:27" ht="17.25" x14ac:dyDescent="0.3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20"/>
      <c r="M89" s="120"/>
      <c r="N89" s="120"/>
      <c r="O89" s="119"/>
      <c r="P89" s="119"/>
      <c r="Q89" s="119"/>
      <c r="R89" s="120"/>
      <c r="S89" s="120"/>
      <c r="T89" s="120"/>
      <c r="U89" s="119"/>
      <c r="V89" s="95"/>
      <c r="W89" s="95"/>
      <c r="X89" s="95"/>
      <c r="Y89" s="96"/>
      <c r="Z89" s="96"/>
      <c r="AA89" s="96"/>
    </row>
    <row r="90" spans="1:27" ht="17.25" x14ac:dyDescent="0.3">
      <c r="A90" s="118" t="s">
        <v>716</v>
      </c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22"/>
      <c r="M90" s="122"/>
      <c r="N90" s="122"/>
      <c r="O90" s="119"/>
      <c r="P90" s="119"/>
      <c r="Q90" s="119"/>
      <c r="R90" s="122"/>
      <c r="S90" s="122"/>
      <c r="T90" s="122"/>
      <c r="U90" s="119"/>
      <c r="V90" s="95"/>
      <c r="W90" s="95"/>
      <c r="X90" s="95"/>
      <c r="Y90" s="96"/>
      <c r="Z90" s="96"/>
      <c r="AA90" s="96"/>
    </row>
    <row r="91" spans="1:27" ht="17.25" x14ac:dyDescent="0.3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20"/>
      <c r="M91" s="120"/>
      <c r="N91" s="120"/>
      <c r="O91" s="119"/>
      <c r="P91" s="119"/>
      <c r="Q91" s="119"/>
      <c r="R91" s="120"/>
      <c r="S91" s="120"/>
      <c r="T91" s="120"/>
      <c r="U91" s="119"/>
      <c r="V91" s="95"/>
      <c r="W91" s="95"/>
      <c r="X91" s="95"/>
      <c r="Y91" s="96"/>
      <c r="Z91" s="96"/>
      <c r="AA91" s="96"/>
    </row>
    <row r="92" spans="1:27" ht="17.25" x14ac:dyDescent="0.3">
      <c r="A92" s="118" t="s">
        <v>717</v>
      </c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22" t="s">
        <v>667</v>
      </c>
      <c r="M92" s="122"/>
      <c r="N92" s="122"/>
      <c r="O92" s="119"/>
      <c r="P92" s="119"/>
      <c r="Q92" s="119"/>
      <c r="R92" s="122"/>
      <c r="S92" s="122"/>
      <c r="T92" s="122"/>
      <c r="U92" s="119"/>
      <c r="V92" s="95"/>
      <c r="W92" s="95"/>
      <c r="X92" s="95"/>
      <c r="Y92" s="96"/>
      <c r="Z92" s="96"/>
      <c r="AA92" s="96"/>
    </row>
    <row r="93" spans="1:27" ht="17.25" x14ac:dyDescent="0.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20"/>
      <c r="M93" s="120"/>
      <c r="N93" s="120"/>
      <c r="O93" s="119"/>
      <c r="P93" s="119"/>
      <c r="Q93" s="119"/>
      <c r="R93" s="120"/>
      <c r="S93" s="120"/>
      <c r="T93" s="120"/>
      <c r="U93" s="119"/>
      <c r="V93" s="95"/>
      <c r="W93" s="95"/>
      <c r="X93" s="95"/>
      <c r="Y93" s="96"/>
      <c r="Z93" s="96"/>
      <c r="AA93" s="96"/>
    </row>
    <row r="94" spans="1:27" ht="17.25" x14ac:dyDescent="0.3">
      <c r="A94" s="118" t="s">
        <v>718</v>
      </c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22" t="s">
        <v>667</v>
      </c>
      <c r="M94" s="122"/>
      <c r="N94" s="122"/>
      <c r="O94" s="119"/>
      <c r="P94" s="119"/>
      <c r="Q94" s="119"/>
      <c r="R94" s="122"/>
      <c r="S94" s="122"/>
      <c r="T94" s="122"/>
      <c r="U94" s="119"/>
      <c r="V94" s="95"/>
      <c r="W94" s="95"/>
      <c r="X94" s="95"/>
      <c r="Y94" s="96"/>
      <c r="Z94" s="96"/>
      <c r="AA94" s="96"/>
    </row>
    <row r="96" spans="1:27" ht="17.25" x14ac:dyDescent="0.3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95"/>
      <c r="W96" s="95"/>
      <c r="X96" s="95"/>
      <c r="Y96" s="96"/>
      <c r="Z96" s="96"/>
      <c r="AA96" s="96"/>
    </row>
    <row r="97" spans="1:27" ht="17.25" x14ac:dyDescent="0.3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95"/>
      <c r="W97" s="95"/>
      <c r="X97" s="95"/>
      <c r="Y97" s="96"/>
      <c r="Z97" s="96"/>
      <c r="AA97" s="96"/>
    </row>
    <row r="98" spans="1:27" ht="17.25" x14ac:dyDescent="0.3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20" t="s">
        <v>664</v>
      </c>
      <c r="M98" s="120" t="s">
        <v>665</v>
      </c>
      <c r="N98" s="120" t="s">
        <v>662</v>
      </c>
      <c r="O98" s="120"/>
      <c r="P98" s="120"/>
      <c r="Q98" s="120"/>
      <c r="R98" s="120" t="s">
        <v>664</v>
      </c>
      <c r="S98" s="120" t="s">
        <v>665</v>
      </c>
      <c r="T98" s="120" t="s">
        <v>662</v>
      </c>
      <c r="U98" s="121"/>
      <c r="V98" s="95"/>
      <c r="W98" s="95"/>
      <c r="X98" s="95"/>
      <c r="Y98" s="96"/>
      <c r="Z98" s="96"/>
      <c r="AA98" s="96"/>
    </row>
    <row r="99" spans="1:27" ht="17.25" x14ac:dyDescent="0.3">
      <c r="A99" s="137" t="s">
        <v>719</v>
      </c>
      <c r="B99" s="137"/>
      <c r="C99" s="119"/>
      <c r="D99" s="119"/>
      <c r="E99" s="119"/>
      <c r="F99" s="119"/>
      <c r="G99" s="119"/>
      <c r="H99" s="119"/>
      <c r="I99" s="119"/>
      <c r="J99" s="119"/>
      <c r="K99" s="138"/>
      <c r="L99" s="122"/>
      <c r="M99" s="122"/>
      <c r="N99" s="122" t="s">
        <v>662</v>
      </c>
      <c r="O99" s="119"/>
      <c r="P99" s="120"/>
      <c r="Q99" s="120"/>
      <c r="R99" s="122"/>
      <c r="S99" s="122"/>
      <c r="T99" s="122"/>
      <c r="U99" s="121"/>
      <c r="V99" s="95"/>
      <c r="W99" s="95"/>
      <c r="X99" s="95"/>
      <c r="Y99" s="96"/>
      <c r="Z99" s="96"/>
      <c r="AA99" s="96"/>
    </row>
    <row r="100" spans="1:27" ht="17.25" x14ac:dyDescent="0.3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9"/>
      <c r="N100" s="119"/>
      <c r="O100" s="119"/>
      <c r="P100" s="120"/>
      <c r="Q100" s="120"/>
      <c r="R100" s="118"/>
      <c r="S100" s="119"/>
      <c r="T100" s="119"/>
      <c r="U100" s="121"/>
      <c r="V100" s="95"/>
      <c r="W100" s="95"/>
      <c r="X100" s="95"/>
      <c r="Y100" s="96"/>
      <c r="Z100" s="96"/>
      <c r="AA100" s="96"/>
    </row>
    <row r="101" spans="1:27" ht="17.25" x14ac:dyDescent="0.3">
      <c r="A101" s="118" t="s">
        <v>720</v>
      </c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22"/>
      <c r="M101" s="122"/>
      <c r="N101" s="122" t="s">
        <v>662</v>
      </c>
      <c r="O101" s="119"/>
      <c r="P101" s="120"/>
      <c r="Q101" s="120"/>
      <c r="R101" s="122"/>
      <c r="S101" s="122"/>
      <c r="T101" s="122"/>
      <c r="U101" s="121"/>
      <c r="V101" s="95"/>
      <c r="W101" s="95"/>
      <c r="X101" s="95"/>
      <c r="Y101" s="96"/>
      <c r="Z101" s="96"/>
      <c r="AA101" s="96"/>
    </row>
    <row r="103" spans="1:27" ht="17.25" x14ac:dyDescent="0.3">
      <c r="A103" s="118" t="s">
        <v>721</v>
      </c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22"/>
      <c r="M103" s="122"/>
      <c r="N103" s="122" t="s">
        <v>662</v>
      </c>
      <c r="O103" s="119"/>
      <c r="P103" s="120"/>
      <c r="Q103" s="120"/>
      <c r="R103" s="122"/>
      <c r="S103" s="122"/>
      <c r="T103" s="122"/>
      <c r="U103" s="121"/>
      <c r="V103" s="95"/>
      <c r="W103" s="95"/>
      <c r="X103" s="95"/>
      <c r="Y103" s="96"/>
      <c r="Z103" s="96"/>
      <c r="AA103" s="96"/>
    </row>
    <row r="105" spans="1:27" ht="17.25" x14ac:dyDescent="0.3">
      <c r="A105" s="139" t="s">
        <v>722</v>
      </c>
      <c r="B105" s="139"/>
      <c r="C105" s="118"/>
      <c r="D105" s="118"/>
      <c r="E105" s="118"/>
      <c r="F105" s="118"/>
      <c r="G105" s="118"/>
      <c r="H105" s="118"/>
      <c r="I105" s="118"/>
      <c r="J105" s="118"/>
      <c r="K105" s="118"/>
      <c r="L105" s="336" t="s">
        <v>660</v>
      </c>
      <c r="M105" s="336"/>
      <c r="N105" s="336"/>
      <c r="O105" s="119"/>
      <c r="P105" s="120"/>
      <c r="Q105" s="120"/>
      <c r="R105" s="336" t="s">
        <v>660</v>
      </c>
      <c r="S105" s="336"/>
      <c r="T105" s="336"/>
      <c r="U105" s="121"/>
      <c r="V105" s="95"/>
      <c r="W105" s="95"/>
      <c r="X105" s="95"/>
      <c r="Y105" s="96"/>
      <c r="Z105" s="96"/>
      <c r="AA105" s="96"/>
    </row>
    <row r="106" spans="1:27" ht="17.25" x14ac:dyDescent="0.3">
      <c r="A106" s="118" t="s">
        <v>723</v>
      </c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337">
        <v>0</v>
      </c>
      <c r="M106" s="338"/>
      <c r="N106" s="339"/>
      <c r="O106" s="119"/>
      <c r="P106" s="120"/>
      <c r="Q106" s="120"/>
      <c r="R106" s="337"/>
      <c r="S106" s="338"/>
      <c r="T106" s="339"/>
      <c r="U106" s="121"/>
      <c r="V106" s="95"/>
      <c r="W106" s="95"/>
      <c r="X106" s="95"/>
      <c r="Y106" s="96"/>
      <c r="Z106" s="96"/>
      <c r="AA106" s="96"/>
    </row>
    <row r="107" spans="1:27" ht="17.25" x14ac:dyDescent="0.3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20"/>
      <c r="Q107" s="120"/>
      <c r="R107" s="118"/>
      <c r="S107" s="118"/>
      <c r="T107" s="118"/>
      <c r="U107" s="121"/>
      <c r="V107" s="95"/>
      <c r="W107" s="95"/>
      <c r="X107" s="95"/>
      <c r="Y107" s="96"/>
      <c r="Z107" s="96"/>
      <c r="AA107" s="96"/>
    </row>
    <row r="108" spans="1:27" ht="17.25" x14ac:dyDescent="0.3">
      <c r="A108" s="118" t="s">
        <v>724</v>
      </c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337">
        <v>-54.5</v>
      </c>
      <c r="M108" s="338"/>
      <c r="N108" s="339"/>
      <c r="O108" s="119"/>
      <c r="P108" s="120"/>
      <c r="Q108" s="120"/>
      <c r="R108" s="337"/>
      <c r="S108" s="338"/>
      <c r="T108" s="339"/>
      <c r="U108" s="121"/>
      <c r="V108" s="95"/>
      <c r="W108" s="95"/>
      <c r="X108" s="95"/>
      <c r="Y108" s="96"/>
      <c r="Z108" s="96"/>
      <c r="AA108" s="96"/>
    </row>
    <row r="109" spans="1:27" ht="17.25" x14ac:dyDescent="0.3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9"/>
      <c r="N109" s="119"/>
      <c r="O109" s="119"/>
      <c r="P109" s="120"/>
      <c r="Q109" s="120"/>
      <c r="R109" s="118"/>
      <c r="S109" s="119"/>
      <c r="T109" s="119"/>
      <c r="U109" s="121"/>
      <c r="V109" s="95"/>
      <c r="W109" s="95"/>
      <c r="X109" s="95"/>
      <c r="Y109" s="96"/>
      <c r="Z109" s="96"/>
      <c r="AA109" s="96"/>
    </row>
    <row r="110" spans="1:27" ht="17.25" x14ac:dyDescent="0.3">
      <c r="A110" s="139" t="s">
        <v>725</v>
      </c>
      <c r="B110" s="139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9"/>
      <c r="N110" s="119"/>
      <c r="O110" s="119"/>
      <c r="P110" s="120"/>
      <c r="Q110" s="120"/>
      <c r="R110" s="118"/>
      <c r="S110" s="119"/>
      <c r="T110" s="119"/>
      <c r="U110" s="121"/>
      <c r="V110" s="95"/>
      <c r="W110" s="95"/>
      <c r="X110" s="95"/>
      <c r="Y110" s="96"/>
      <c r="Z110" s="96"/>
      <c r="AA110" s="96"/>
    </row>
    <row r="111" spans="1:27" ht="17.25" x14ac:dyDescent="0.3">
      <c r="A111" s="118" t="s">
        <v>726</v>
      </c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337">
        <v>-54.5</v>
      </c>
      <c r="M111" s="338"/>
      <c r="N111" s="339"/>
      <c r="O111" s="119"/>
      <c r="P111" s="120"/>
      <c r="Q111" s="120"/>
      <c r="R111" s="337"/>
      <c r="S111" s="338"/>
      <c r="T111" s="339"/>
      <c r="U111" s="121"/>
      <c r="V111" s="95"/>
      <c r="W111" s="95"/>
      <c r="X111" s="95"/>
      <c r="Y111" s="96"/>
      <c r="Z111" s="96"/>
      <c r="AA111" s="96"/>
    </row>
    <row r="113" spans="1:27" ht="17.25" x14ac:dyDescent="0.3">
      <c r="A113" s="132" t="s">
        <v>727</v>
      </c>
      <c r="B113" s="95"/>
      <c r="C113" s="118"/>
      <c r="D113" s="118"/>
      <c r="E113" s="118"/>
      <c r="F113" s="118"/>
      <c r="G113" s="118"/>
      <c r="H113" s="118"/>
      <c r="I113" s="118"/>
      <c r="J113" s="121"/>
      <c r="K113" s="121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95"/>
      <c r="W113" s="95"/>
      <c r="X113" s="95"/>
      <c r="Y113" s="96"/>
      <c r="Z113" s="96"/>
      <c r="AA113" s="96"/>
    </row>
    <row r="114" spans="1:27" ht="17.25" x14ac:dyDescent="0.3">
      <c r="A114" s="118"/>
      <c r="B114" s="118"/>
      <c r="C114" s="118"/>
      <c r="D114" s="118"/>
      <c r="E114" s="118"/>
      <c r="F114" s="118"/>
      <c r="G114" s="118"/>
      <c r="H114" s="118"/>
      <c r="I114" s="118"/>
      <c r="J114" s="121"/>
      <c r="K114" s="121"/>
      <c r="L114" s="120" t="s">
        <v>664</v>
      </c>
      <c r="M114" s="120" t="s">
        <v>665</v>
      </c>
      <c r="N114" s="120" t="s">
        <v>662</v>
      </c>
      <c r="O114" s="95"/>
      <c r="P114" s="120"/>
      <c r="Q114" s="120"/>
      <c r="R114" s="120" t="s">
        <v>664</v>
      </c>
      <c r="S114" s="120" t="s">
        <v>665</v>
      </c>
      <c r="T114" s="120" t="s">
        <v>662</v>
      </c>
      <c r="U114" s="121"/>
      <c r="V114" s="95"/>
      <c r="W114" s="95"/>
      <c r="X114" s="95"/>
      <c r="Y114" s="96"/>
      <c r="Z114" s="96"/>
      <c r="AA114" s="96"/>
    </row>
    <row r="115" spans="1:27" ht="17.25" x14ac:dyDescent="0.3">
      <c r="A115" s="137" t="s">
        <v>728</v>
      </c>
      <c r="B115" s="137"/>
      <c r="C115" s="137"/>
      <c r="D115" s="137"/>
      <c r="E115" s="137"/>
      <c r="F115" s="137"/>
      <c r="G115" s="137"/>
      <c r="H115" s="137"/>
      <c r="I115" s="137"/>
      <c r="J115" s="137"/>
      <c r="K115" s="121"/>
      <c r="L115" s="122" t="s">
        <v>667</v>
      </c>
      <c r="M115" s="122"/>
      <c r="N115" s="122"/>
      <c r="O115" s="119"/>
      <c r="P115" s="120"/>
      <c r="Q115" s="120"/>
      <c r="R115" s="122"/>
      <c r="S115" s="122"/>
      <c r="T115" s="122"/>
      <c r="U115" s="121"/>
      <c r="V115" s="95"/>
      <c r="W115" s="95"/>
      <c r="X115" s="95"/>
      <c r="Y115" s="96"/>
      <c r="Z115" s="96"/>
      <c r="AA115" s="96"/>
    </row>
    <row r="116" spans="1:27" ht="17.25" x14ac:dyDescent="0.3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21"/>
      <c r="L116" s="95"/>
      <c r="M116" s="95"/>
      <c r="N116" s="95"/>
      <c r="O116" s="95"/>
      <c r="P116" s="120"/>
      <c r="Q116" s="120"/>
      <c r="R116" s="95"/>
      <c r="S116" s="95"/>
      <c r="T116" s="95"/>
      <c r="U116" s="121"/>
      <c r="V116" s="95"/>
      <c r="W116" s="95"/>
      <c r="X116" s="95"/>
      <c r="Y116" s="96"/>
      <c r="Z116" s="96"/>
      <c r="AA116" s="96"/>
    </row>
    <row r="117" spans="1:27" ht="17.25" x14ac:dyDescent="0.3">
      <c r="A117" s="137" t="s">
        <v>729</v>
      </c>
      <c r="B117" s="137"/>
      <c r="C117" s="137"/>
      <c r="D117" s="137"/>
      <c r="E117" s="137"/>
      <c r="F117" s="137"/>
      <c r="G117" s="137"/>
      <c r="H117" s="137"/>
      <c r="I117" s="137"/>
      <c r="J117" s="137"/>
      <c r="K117" s="121"/>
      <c r="L117" s="122" t="s">
        <v>667</v>
      </c>
      <c r="M117" s="122"/>
      <c r="N117" s="122"/>
      <c r="O117" s="119"/>
      <c r="P117" s="120"/>
      <c r="Q117" s="120"/>
      <c r="R117" s="122"/>
      <c r="S117" s="122"/>
      <c r="T117" s="122"/>
      <c r="U117" s="121"/>
      <c r="V117" s="95"/>
      <c r="W117" s="95"/>
      <c r="X117" s="95"/>
      <c r="Y117" s="96"/>
      <c r="Z117" s="96"/>
      <c r="AA117" s="96"/>
    </row>
    <row r="118" spans="1:27" ht="17.25" x14ac:dyDescent="0.3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21"/>
      <c r="L118" s="95"/>
      <c r="M118" s="95"/>
      <c r="N118" s="95"/>
      <c r="O118" s="95"/>
      <c r="P118" s="120"/>
      <c r="Q118" s="120"/>
      <c r="R118" s="95"/>
      <c r="S118" s="95"/>
      <c r="T118" s="95"/>
      <c r="U118" s="121"/>
      <c r="V118" s="95"/>
      <c r="W118" s="95"/>
      <c r="X118" s="95"/>
      <c r="Y118" s="96"/>
      <c r="Z118" s="96"/>
      <c r="AA118" s="96"/>
    </row>
    <row r="119" spans="1:27" ht="17.25" x14ac:dyDescent="0.3">
      <c r="A119" s="137" t="s">
        <v>730</v>
      </c>
      <c r="B119" s="137"/>
      <c r="C119" s="137"/>
      <c r="D119" s="137"/>
      <c r="E119" s="137"/>
      <c r="F119" s="137"/>
      <c r="G119" s="137"/>
      <c r="H119" s="137"/>
      <c r="I119" s="137"/>
      <c r="J119" s="137"/>
      <c r="K119" s="121"/>
      <c r="L119" s="122" t="s">
        <v>667</v>
      </c>
      <c r="M119" s="122"/>
      <c r="N119" s="122"/>
      <c r="O119" s="119"/>
      <c r="P119" s="120"/>
      <c r="Q119" s="120"/>
      <c r="R119" s="122"/>
      <c r="S119" s="122"/>
      <c r="T119" s="122"/>
      <c r="U119" s="121"/>
      <c r="V119" s="95"/>
      <c r="W119" s="95"/>
      <c r="X119" s="95"/>
      <c r="Y119" s="96"/>
      <c r="Z119" s="96"/>
      <c r="AA119" s="96"/>
    </row>
    <row r="120" spans="1:27" ht="17.25" x14ac:dyDescent="0.3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21"/>
      <c r="L120" s="122"/>
      <c r="M120" s="95"/>
      <c r="N120" s="95"/>
      <c r="O120" s="95"/>
      <c r="P120" s="120"/>
      <c r="Q120" s="120"/>
      <c r="R120" s="95"/>
      <c r="S120" s="95"/>
      <c r="T120" s="95"/>
      <c r="U120" s="121"/>
      <c r="V120" s="95"/>
      <c r="W120" s="95"/>
      <c r="X120" s="95"/>
      <c r="Y120" s="96"/>
      <c r="Z120" s="96"/>
      <c r="AA120" s="96"/>
    </row>
    <row r="121" spans="1:27" ht="17.25" x14ac:dyDescent="0.3">
      <c r="A121" s="137" t="s">
        <v>731</v>
      </c>
      <c r="B121" s="137"/>
      <c r="C121" s="137"/>
      <c r="D121" s="137"/>
      <c r="E121" s="137"/>
      <c r="F121" s="137"/>
      <c r="G121" s="137"/>
      <c r="H121" s="137"/>
      <c r="I121" s="137"/>
      <c r="J121" s="137"/>
      <c r="K121" s="121"/>
      <c r="L121" s="122" t="s">
        <v>667</v>
      </c>
      <c r="M121" s="122"/>
      <c r="N121" s="122"/>
      <c r="O121" s="119"/>
      <c r="P121" s="120"/>
      <c r="Q121" s="120"/>
      <c r="R121" s="122"/>
      <c r="S121" s="122"/>
      <c r="T121" s="122"/>
      <c r="U121" s="121"/>
      <c r="V121" s="95"/>
      <c r="W121" s="95"/>
      <c r="X121" s="95"/>
      <c r="Y121" s="96"/>
      <c r="Z121" s="96"/>
      <c r="AA121" s="96"/>
    </row>
    <row r="122" spans="1:27" ht="17.25" x14ac:dyDescent="0.3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21"/>
      <c r="L122" s="95"/>
      <c r="M122" s="95"/>
      <c r="N122" s="95"/>
      <c r="O122" s="95"/>
      <c r="P122" s="120"/>
      <c r="Q122" s="120"/>
      <c r="R122" s="95"/>
      <c r="S122" s="95"/>
      <c r="T122" s="95"/>
      <c r="U122" s="121"/>
      <c r="V122" s="95"/>
      <c r="W122" s="95"/>
      <c r="X122" s="95"/>
      <c r="Y122" s="96"/>
      <c r="Z122" s="96"/>
      <c r="AA122" s="96"/>
    </row>
    <row r="123" spans="1:27" ht="17.25" x14ac:dyDescent="0.3">
      <c r="A123" s="137" t="s">
        <v>732</v>
      </c>
      <c r="B123" s="137"/>
      <c r="C123" s="137"/>
      <c r="D123" s="137"/>
      <c r="E123" s="137"/>
      <c r="F123" s="137"/>
      <c r="G123" s="137"/>
      <c r="H123" s="137"/>
      <c r="I123" s="137"/>
      <c r="J123" s="137"/>
      <c r="K123" s="121"/>
      <c r="L123" s="122" t="s">
        <v>667</v>
      </c>
      <c r="M123" s="122"/>
      <c r="N123" s="122"/>
      <c r="O123" s="119"/>
      <c r="P123" s="120"/>
      <c r="Q123" s="120"/>
      <c r="R123" s="122"/>
      <c r="S123" s="122"/>
      <c r="T123" s="122"/>
      <c r="U123" s="121"/>
      <c r="V123" s="95"/>
      <c r="W123" s="95"/>
      <c r="X123" s="95"/>
      <c r="Y123" s="96"/>
      <c r="Z123" s="96"/>
      <c r="AA123" s="96"/>
    </row>
    <row r="125" spans="1:27" ht="17.25" x14ac:dyDescent="0.3">
      <c r="A125" s="140" t="s">
        <v>733</v>
      </c>
      <c r="B125" s="95"/>
      <c r="C125" s="137"/>
      <c r="D125" s="137"/>
      <c r="E125" s="137"/>
      <c r="F125" s="137"/>
      <c r="G125" s="137"/>
      <c r="H125" s="137"/>
      <c r="I125" s="137"/>
      <c r="J125" s="137"/>
      <c r="K125" s="121"/>
      <c r="L125" s="95"/>
      <c r="M125" s="95"/>
      <c r="N125" s="95"/>
      <c r="O125" s="95"/>
      <c r="P125" s="120"/>
      <c r="Q125" s="120"/>
      <c r="R125" s="95"/>
      <c r="S125" s="95"/>
      <c r="T125" s="95"/>
      <c r="U125" s="121"/>
      <c r="V125" s="95"/>
      <c r="W125" s="95"/>
      <c r="X125" s="95"/>
      <c r="Y125" s="96"/>
      <c r="Z125" s="96"/>
      <c r="AA125" s="96"/>
    </row>
    <row r="126" spans="1:27" ht="17.25" x14ac:dyDescent="0.3">
      <c r="A126" s="118"/>
      <c r="B126" s="137"/>
      <c r="C126" s="137"/>
      <c r="D126" s="137"/>
      <c r="E126" s="137"/>
      <c r="F126" s="137"/>
      <c r="G126" s="137"/>
      <c r="H126" s="137"/>
      <c r="I126" s="137"/>
      <c r="J126" s="137"/>
      <c r="K126" s="121"/>
      <c r="L126" s="95"/>
      <c r="M126" s="141" t="s">
        <v>689</v>
      </c>
      <c r="N126" s="95"/>
      <c r="O126" s="95"/>
      <c r="P126" s="120"/>
      <c r="Q126" s="120"/>
      <c r="R126" s="95"/>
      <c r="S126" s="95" t="s">
        <v>689</v>
      </c>
      <c r="T126" s="95"/>
      <c r="U126" s="121"/>
      <c r="V126" s="95"/>
      <c r="W126" s="95"/>
      <c r="X126" s="95"/>
      <c r="Y126" s="96"/>
      <c r="Z126" s="96"/>
      <c r="AA126" s="96"/>
    </row>
    <row r="127" spans="1:27" ht="17.25" x14ac:dyDescent="0.3">
      <c r="A127" s="361" t="s">
        <v>734</v>
      </c>
      <c r="B127" s="361"/>
      <c r="C127" s="361"/>
      <c r="D127" s="361"/>
      <c r="E127" s="361"/>
      <c r="F127" s="361"/>
      <c r="G127" s="361"/>
      <c r="H127" s="361"/>
      <c r="I127" s="361"/>
      <c r="J127" s="361"/>
      <c r="K127" s="121"/>
      <c r="L127" s="337"/>
      <c r="M127" s="338"/>
      <c r="N127" s="339"/>
      <c r="O127" s="119"/>
      <c r="P127" s="120"/>
      <c r="Q127" s="120"/>
      <c r="R127" s="337"/>
      <c r="S127" s="338"/>
      <c r="T127" s="339"/>
      <c r="U127" s="121"/>
      <c r="V127" s="95"/>
      <c r="W127" s="95"/>
      <c r="X127" s="95"/>
      <c r="Y127" s="96"/>
      <c r="Z127" s="96"/>
      <c r="AA127" s="96"/>
    </row>
    <row r="128" spans="1:27" ht="17.25" x14ac:dyDescent="0.3">
      <c r="A128" s="361"/>
      <c r="B128" s="361"/>
      <c r="C128" s="361"/>
      <c r="D128" s="361"/>
      <c r="E128" s="361"/>
      <c r="F128" s="361"/>
      <c r="G128" s="361"/>
      <c r="H128" s="361"/>
      <c r="I128" s="361"/>
      <c r="J128" s="361"/>
      <c r="K128" s="121"/>
      <c r="L128" s="95"/>
      <c r="M128" s="95"/>
      <c r="N128" s="95"/>
      <c r="O128" s="95"/>
      <c r="P128" s="120"/>
      <c r="Q128" s="120"/>
      <c r="R128" s="95"/>
      <c r="S128" s="95"/>
      <c r="T128" s="95"/>
      <c r="U128" s="121"/>
      <c r="V128" s="95"/>
      <c r="W128" s="95"/>
      <c r="X128" s="95"/>
      <c r="Y128" s="96"/>
      <c r="Z128" s="96"/>
      <c r="AA128" s="96"/>
    </row>
    <row r="129" spans="1:27" ht="17.25" x14ac:dyDescent="0.3">
      <c r="A129" s="137" t="s">
        <v>735</v>
      </c>
      <c r="B129" s="137"/>
      <c r="C129" s="137"/>
      <c r="D129" s="137"/>
      <c r="E129" s="137"/>
      <c r="F129" s="137"/>
      <c r="G129" s="137"/>
      <c r="H129" s="137"/>
      <c r="I129" s="137"/>
      <c r="J129" s="137"/>
      <c r="K129" s="121"/>
      <c r="L129" s="337"/>
      <c r="M129" s="338"/>
      <c r="N129" s="339"/>
      <c r="O129" s="119"/>
      <c r="P129" s="120"/>
      <c r="Q129" s="120"/>
      <c r="R129" s="337"/>
      <c r="S129" s="338"/>
      <c r="T129" s="339"/>
      <c r="U129" s="121"/>
      <c r="V129" s="95"/>
      <c r="W129" s="95"/>
      <c r="X129" s="95"/>
      <c r="Y129" s="96"/>
      <c r="Z129" s="96"/>
      <c r="AA129" s="96"/>
    </row>
    <row r="130" spans="1:27" ht="17.25" x14ac:dyDescent="0.3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21"/>
      <c r="L130" s="120"/>
      <c r="M130" s="120"/>
      <c r="N130" s="120"/>
      <c r="O130" s="119"/>
      <c r="P130" s="120"/>
      <c r="Q130" s="120"/>
      <c r="R130" s="120"/>
      <c r="S130" s="120"/>
      <c r="T130" s="120"/>
      <c r="U130" s="121"/>
      <c r="V130" s="95"/>
      <c r="W130" s="95"/>
      <c r="X130" s="95"/>
      <c r="Y130" s="96"/>
      <c r="Z130" s="96"/>
      <c r="AA130" s="96"/>
    </row>
    <row r="131" spans="1:27" ht="17.25" x14ac:dyDescent="0.3">
      <c r="A131" s="137" t="s">
        <v>736</v>
      </c>
      <c r="B131" s="137"/>
      <c r="C131" s="137"/>
      <c r="D131" s="137"/>
      <c r="E131" s="137"/>
      <c r="F131" s="137"/>
      <c r="G131" s="137"/>
      <c r="H131" s="137"/>
      <c r="I131" s="137"/>
      <c r="J131" s="137"/>
      <c r="K131" s="121"/>
      <c r="L131" s="337"/>
      <c r="M131" s="338"/>
      <c r="N131" s="339"/>
      <c r="O131" s="119"/>
      <c r="P131" s="120"/>
      <c r="Q131" s="120"/>
      <c r="R131" s="337"/>
      <c r="S131" s="338"/>
      <c r="T131" s="339"/>
      <c r="U131" s="121"/>
      <c r="V131" s="95"/>
      <c r="W131" s="95"/>
      <c r="X131" s="95"/>
      <c r="Y131" s="96"/>
      <c r="Z131" s="96"/>
      <c r="AA131" s="96"/>
    </row>
    <row r="132" spans="1:27" ht="17.25" x14ac:dyDescent="0.3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21"/>
      <c r="L132" s="95"/>
      <c r="M132" s="95"/>
      <c r="N132" s="95"/>
      <c r="O132" s="95"/>
      <c r="P132" s="120"/>
      <c r="Q132" s="120"/>
      <c r="R132" s="95"/>
      <c r="S132" s="95"/>
      <c r="T132" s="95"/>
      <c r="U132" s="121"/>
      <c r="V132" s="95"/>
      <c r="W132" s="95"/>
      <c r="X132" s="95"/>
      <c r="Y132" s="96"/>
      <c r="Z132" s="96"/>
      <c r="AA132" s="96"/>
    </row>
    <row r="133" spans="1:27" ht="17.25" x14ac:dyDescent="0.3">
      <c r="A133" s="137" t="s">
        <v>737</v>
      </c>
      <c r="B133" s="137"/>
      <c r="C133" s="137"/>
      <c r="D133" s="137"/>
      <c r="E133" s="137"/>
      <c r="F133" s="137"/>
      <c r="G133" s="137"/>
      <c r="H133" s="137"/>
      <c r="I133" s="137"/>
      <c r="J133" s="137"/>
      <c r="K133" s="121"/>
      <c r="L133" s="337"/>
      <c r="M133" s="338"/>
      <c r="N133" s="339"/>
      <c r="O133" s="119"/>
      <c r="P133" s="120"/>
      <c r="Q133" s="120"/>
      <c r="R133" s="337"/>
      <c r="S133" s="338"/>
      <c r="T133" s="339"/>
      <c r="U133" s="121"/>
      <c r="V133" s="95"/>
      <c r="W133" s="95"/>
      <c r="X133" s="95"/>
      <c r="Y133" s="96"/>
      <c r="Z133" s="96"/>
      <c r="AA133" s="96"/>
    </row>
    <row r="134" spans="1:27" ht="17.25" x14ac:dyDescent="0.3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21"/>
      <c r="L134" s="120"/>
      <c r="M134" s="120"/>
      <c r="N134" s="120"/>
      <c r="O134" s="119"/>
      <c r="P134" s="120"/>
      <c r="Q134" s="120"/>
      <c r="R134" s="120"/>
      <c r="S134" s="120"/>
      <c r="T134" s="120"/>
      <c r="U134" s="121"/>
      <c r="V134" s="95"/>
      <c r="W134" s="95"/>
      <c r="X134" s="95"/>
      <c r="Y134" s="96"/>
      <c r="Z134" s="96"/>
      <c r="AA134" s="96"/>
    </row>
    <row r="135" spans="1:27" ht="17.25" x14ac:dyDescent="0.3">
      <c r="A135" s="137" t="s">
        <v>738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21"/>
      <c r="L135" s="337"/>
      <c r="M135" s="338"/>
      <c r="N135" s="339"/>
      <c r="O135" s="119"/>
      <c r="P135" s="120"/>
      <c r="Q135" s="120"/>
      <c r="R135" s="337"/>
      <c r="S135" s="338"/>
      <c r="T135" s="339"/>
      <c r="U135" s="121"/>
      <c r="V135" s="95"/>
      <c r="W135" s="95"/>
      <c r="X135" s="95"/>
      <c r="Y135" s="96"/>
      <c r="Z135" s="96"/>
      <c r="AA135" s="96"/>
    </row>
    <row r="136" spans="1:27" ht="17.25" x14ac:dyDescent="0.3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21"/>
      <c r="L136" s="95"/>
      <c r="M136" s="95"/>
      <c r="N136" s="95"/>
      <c r="O136" s="95"/>
      <c r="P136" s="120"/>
      <c r="Q136" s="120"/>
      <c r="R136" s="95"/>
      <c r="S136" s="95"/>
      <c r="T136" s="95"/>
      <c r="U136" s="121"/>
      <c r="V136" s="95"/>
      <c r="W136" s="95"/>
      <c r="X136" s="95"/>
      <c r="Y136" s="96"/>
      <c r="Z136" s="96"/>
      <c r="AA136" s="96"/>
    </row>
    <row r="137" spans="1:27" ht="17.25" x14ac:dyDescent="0.3">
      <c r="A137" s="137" t="s">
        <v>739</v>
      </c>
      <c r="B137" s="137"/>
      <c r="C137" s="137"/>
      <c r="D137" s="137"/>
      <c r="E137" s="137"/>
      <c r="F137" s="137"/>
      <c r="G137" s="137"/>
      <c r="H137" s="137"/>
      <c r="I137" s="137"/>
      <c r="J137" s="137"/>
      <c r="K137" s="121"/>
      <c r="L137" s="337"/>
      <c r="M137" s="338"/>
      <c r="N137" s="339"/>
      <c r="O137" s="119"/>
      <c r="P137" s="120"/>
      <c r="Q137" s="120"/>
      <c r="R137" s="337"/>
      <c r="S137" s="338"/>
      <c r="T137" s="339"/>
      <c r="U137" s="121"/>
      <c r="V137" s="95"/>
      <c r="W137" s="95"/>
      <c r="X137" s="95"/>
      <c r="Y137" s="96"/>
      <c r="Z137" s="96"/>
      <c r="AA137" s="96"/>
    </row>
    <row r="138" spans="1:27" ht="17.25" x14ac:dyDescent="0.3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21"/>
      <c r="L138" s="120"/>
      <c r="M138" s="120"/>
      <c r="N138" s="120"/>
      <c r="O138" s="119"/>
      <c r="P138" s="120"/>
      <c r="Q138" s="120"/>
      <c r="R138" s="120"/>
      <c r="S138" s="120"/>
      <c r="T138" s="120"/>
      <c r="U138" s="121"/>
      <c r="V138" s="95"/>
      <c r="W138" s="95"/>
      <c r="X138" s="95"/>
      <c r="Y138" s="96"/>
      <c r="Z138" s="96"/>
      <c r="AA138" s="96"/>
    </row>
    <row r="139" spans="1:27" ht="17.25" x14ac:dyDescent="0.3">
      <c r="A139" s="137" t="s">
        <v>740</v>
      </c>
      <c r="B139" s="137"/>
      <c r="C139" s="137"/>
      <c r="D139" s="137"/>
      <c r="E139" s="137"/>
      <c r="F139" s="137"/>
      <c r="G139" s="137"/>
      <c r="H139" s="137"/>
      <c r="I139" s="137"/>
      <c r="J139" s="137"/>
      <c r="K139" s="121"/>
      <c r="L139" s="122" t="s">
        <v>664</v>
      </c>
      <c r="M139" s="122"/>
      <c r="N139" s="122"/>
      <c r="O139" s="119"/>
      <c r="P139" s="120"/>
      <c r="Q139" s="120"/>
      <c r="R139" s="122"/>
      <c r="S139" s="122"/>
      <c r="T139" s="122"/>
      <c r="U139" s="121"/>
      <c r="V139" s="95"/>
      <c r="W139" s="95"/>
      <c r="X139" s="95"/>
      <c r="Y139" s="96"/>
      <c r="Z139" s="96"/>
      <c r="AA139" s="96"/>
    </row>
    <row r="140" spans="1:27" ht="17.25" x14ac:dyDescent="0.3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21"/>
      <c r="L140" s="95"/>
      <c r="M140" s="95"/>
      <c r="N140" s="95"/>
      <c r="O140" s="95"/>
      <c r="P140" s="120"/>
      <c r="Q140" s="120"/>
      <c r="R140" s="95"/>
      <c r="S140" s="95"/>
      <c r="T140" s="95"/>
      <c r="U140" s="121"/>
      <c r="V140" s="95"/>
      <c r="W140" s="95"/>
      <c r="X140" s="95"/>
      <c r="Y140" s="96"/>
      <c r="Z140" s="96"/>
      <c r="AA140" s="96"/>
    </row>
    <row r="141" spans="1:27" ht="17.25" x14ac:dyDescent="0.3">
      <c r="A141" s="137" t="s">
        <v>741</v>
      </c>
      <c r="B141" s="137"/>
      <c r="C141" s="137"/>
      <c r="D141" s="137"/>
      <c r="E141" s="137"/>
      <c r="F141" s="137"/>
      <c r="G141" s="137"/>
      <c r="H141" s="137"/>
      <c r="I141" s="137"/>
      <c r="J141" s="137"/>
      <c r="K141" s="121"/>
      <c r="L141" s="122" t="s">
        <v>664</v>
      </c>
      <c r="M141" s="122"/>
      <c r="N141" s="122"/>
      <c r="O141" s="119"/>
      <c r="P141" s="120"/>
      <c r="Q141" s="120"/>
      <c r="R141" s="122"/>
      <c r="S141" s="122"/>
      <c r="T141" s="122"/>
      <c r="U141" s="121"/>
      <c r="V141" s="95"/>
      <c r="W141" s="95"/>
      <c r="X141" s="95"/>
      <c r="Y141" s="96"/>
      <c r="Z141" s="96"/>
      <c r="AA141" s="96"/>
    </row>
    <row r="142" spans="1:27" ht="17.25" x14ac:dyDescent="0.3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21"/>
      <c r="L142" s="120"/>
      <c r="M142" s="120"/>
      <c r="N142" s="120"/>
      <c r="O142" s="119"/>
      <c r="P142" s="120"/>
      <c r="Q142" s="120"/>
      <c r="R142" s="120"/>
      <c r="S142" s="120"/>
      <c r="T142" s="120"/>
      <c r="U142" s="121"/>
      <c r="V142" s="95"/>
      <c r="W142" s="95"/>
      <c r="X142" s="95"/>
      <c r="Y142" s="96"/>
      <c r="Z142" s="96"/>
      <c r="AA142" s="96"/>
    </row>
    <row r="143" spans="1:27" ht="17.25" x14ac:dyDescent="0.3">
      <c r="A143" s="137" t="s">
        <v>742</v>
      </c>
      <c r="B143" s="137"/>
      <c r="C143" s="137"/>
      <c r="D143" s="137"/>
      <c r="E143" s="137"/>
      <c r="F143" s="137"/>
      <c r="G143" s="137"/>
      <c r="H143" s="137"/>
      <c r="I143" s="137"/>
      <c r="J143" s="137"/>
      <c r="K143" s="121"/>
      <c r="L143" s="337">
        <v>0</v>
      </c>
      <c r="M143" s="338"/>
      <c r="N143" s="339"/>
      <c r="O143" s="119"/>
      <c r="P143" s="120"/>
      <c r="Q143" s="120"/>
      <c r="R143" s="337"/>
      <c r="S143" s="338"/>
      <c r="T143" s="339"/>
      <c r="U143" s="121"/>
      <c r="V143" s="95"/>
      <c r="W143" s="95"/>
      <c r="X143" s="95"/>
      <c r="Y143" s="96"/>
      <c r="Z143" s="96"/>
      <c r="AA143" s="96"/>
    </row>
    <row r="144" spans="1:27" ht="17.25" x14ac:dyDescent="0.3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21"/>
      <c r="L144" s="95"/>
      <c r="M144" s="95"/>
      <c r="N144" s="95"/>
      <c r="O144" s="95"/>
      <c r="P144" s="120"/>
      <c r="Q144" s="120"/>
      <c r="R144" s="95"/>
      <c r="S144" s="95"/>
      <c r="T144" s="95"/>
      <c r="U144" s="121"/>
      <c r="V144" s="95"/>
      <c r="W144" s="95"/>
      <c r="X144" s="95"/>
      <c r="Y144" s="96"/>
      <c r="Z144" s="96"/>
      <c r="AA144" s="96"/>
    </row>
    <row r="145" spans="1:27" ht="17.25" x14ac:dyDescent="0.3">
      <c r="A145" s="137" t="s">
        <v>743</v>
      </c>
      <c r="B145" s="137"/>
      <c r="C145" s="137"/>
      <c r="D145" s="137"/>
      <c r="E145" s="137"/>
      <c r="F145" s="137"/>
      <c r="G145" s="137"/>
      <c r="H145" s="137"/>
      <c r="I145" s="137"/>
      <c r="J145" s="137"/>
      <c r="K145" s="121"/>
      <c r="L145" s="122" t="s">
        <v>664</v>
      </c>
      <c r="M145" s="122"/>
      <c r="N145" s="122"/>
      <c r="O145" s="119"/>
      <c r="P145" s="120"/>
      <c r="Q145" s="120"/>
      <c r="R145" s="122"/>
      <c r="S145" s="122"/>
      <c r="T145" s="122"/>
      <c r="U145" s="121"/>
      <c r="V145" s="95"/>
      <c r="W145" s="95"/>
      <c r="X145" s="95"/>
      <c r="Y145" s="96"/>
      <c r="Z145" s="96"/>
      <c r="AA145" s="96"/>
    </row>
    <row r="146" spans="1:27" ht="17.25" x14ac:dyDescent="0.3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21"/>
      <c r="L146" s="95"/>
      <c r="M146" s="95"/>
      <c r="N146" s="95"/>
      <c r="O146" s="95"/>
      <c r="P146" s="120"/>
      <c r="Q146" s="120"/>
      <c r="R146" s="95"/>
      <c r="S146" s="95"/>
      <c r="T146" s="95"/>
      <c r="U146" s="121"/>
      <c r="V146" s="95"/>
      <c r="W146" s="95"/>
      <c r="X146" s="95"/>
      <c r="Y146" s="96"/>
      <c r="Z146" s="96"/>
      <c r="AA146" s="96"/>
    </row>
    <row r="147" spans="1:27" ht="17.25" x14ac:dyDescent="0.3">
      <c r="A147" s="137" t="s">
        <v>744</v>
      </c>
      <c r="B147" s="137"/>
      <c r="C147" s="137"/>
      <c r="D147" s="137"/>
      <c r="E147" s="137"/>
      <c r="F147" s="137"/>
      <c r="G147" s="137"/>
      <c r="H147" s="137"/>
      <c r="I147" s="137"/>
      <c r="J147" s="137"/>
      <c r="K147" s="121"/>
      <c r="L147" s="122" t="s">
        <v>664</v>
      </c>
      <c r="M147" s="122"/>
      <c r="N147" s="122"/>
      <c r="O147" s="119"/>
      <c r="P147" s="120"/>
      <c r="Q147" s="120"/>
      <c r="R147" s="122"/>
      <c r="S147" s="122"/>
      <c r="T147" s="122"/>
      <c r="U147" s="121"/>
      <c r="V147" s="95"/>
      <c r="W147" s="95"/>
      <c r="X147" s="95"/>
      <c r="Y147" s="96"/>
      <c r="Z147" s="96"/>
      <c r="AA147" s="96"/>
    </row>
    <row r="148" spans="1:27" ht="17.25" x14ac:dyDescent="0.3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21"/>
      <c r="L148" s="95"/>
      <c r="M148" s="95"/>
      <c r="N148" s="95"/>
      <c r="O148" s="95"/>
      <c r="P148" s="120"/>
      <c r="Q148" s="120"/>
      <c r="R148" s="95"/>
      <c r="S148" s="95"/>
      <c r="T148" s="95"/>
      <c r="U148" s="121"/>
      <c r="V148" s="95"/>
      <c r="W148" s="95"/>
      <c r="X148" s="95"/>
      <c r="Y148" s="96"/>
      <c r="Z148" s="96"/>
      <c r="AA148" s="96"/>
    </row>
    <row r="149" spans="1:27" ht="17.25" x14ac:dyDescent="0.3">
      <c r="A149" s="137" t="s">
        <v>745</v>
      </c>
      <c r="B149" s="137"/>
      <c r="C149" s="137"/>
      <c r="D149" s="137"/>
      <c r="E149" s="137"/>
      <c r="F149" s="137"/>
      <c r="G149" s="137"/>
      <c r="H149" s="137"/>
      <c r="I149" s="137"/>
      <c r="J149" s="137"/>
      <c r="K149" s="121"/>
      <c r="L149" s="122" t="s">
        <v>664</v>
      </c>
      <c r="M149" s="122"/>
      <c r="N149" s="122"/>
      <c r="O149" s="119"/>
      <c r="P149" s="120"/>
      <c r="Q149" s="120"/>
      <c r="R149" s="122"/>
      <c r="S149" s="122"/>
      <c r="T149" s="122"/>
      <c r="U149" s="121"/>
      <c r="V149" s="95"/>
      <c r="W149" s="95"/>
      <c r="X149" s="95"/>
      <c r="Y149" s="96"/>
      <c r="Z149" s="96"/>
      <c r="AA149" s="96"/>
    </row>
    <row r="150" spans="1:27" ht="17.25" x14ac:dyDescent="0.3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21"/>
      <c r="L150" s="95"/>
      <c r="M150" s="95"/>
      <c r="N150" s="95"/>
      <c r="O150" s="95"/>
      <c r="P150" s="120"/>
      <c r="Q150" s="120"/>
      <c r="R150" s="95"/>
      <c r="S150" s="95"/>
      <c r="T150" s="95"/>
      <c r="U150" s="121"/>
      <c r="V150" s="95"/>
      <c r="W150" s="95"/>
      <c r="X150" s="95"/>
      <c r="Y150" s="96"/>
      <c r="Z150" s="96"/>
      <c r="AA150" s="96"/>
    </row>
    <row r="151" spans="1:27" ht="17.25" x14ac:dyDescent="0.3">
      <c r="A151" s="142" t="s">
        <v>746</v>
      </c>
      <c r="B151" s="142"/>
      <c r="C151" s="137"/>
      <c r="D151" s="137"/>
      <c r="E151" s="137"/>
      <c r="F151" s="137"/>
      <c r="G151" s="137"/>
      <c r="H151" s="137"/>
      <c r="I151" s="137"/>
      <c r="J151" s="137"/>
      <c r="K151" s="121"/>
      <c r="L151" s="95"/>
      <c r="M151" s="95"/>
      <c r="N151" s="95"/>
      <c r="O151" s="95"/>
      <c r="P151" s="120"/>
      <c r="Q151" s="120"/>
      <c r="R151" s="95"/>
      <c r="S151" s="95"/>
      <c r="T151" s="95"/>
      <c r="U151" s="121"/>
      <c r="V151" s="95"/>
      <c r="W151" s="95"/>
      <c r="X151" s="95"/>
      <c r="Y151" s="96"/>
      <c r="Z151" s="96"/>
      <c r="AA151" s="96"/>
    </row>
    <row r="152" spans="1:27" ht="17.25" x14ac:dyDescent="0.3">
      <c r="A152" s="137" t="s">
        <v>747</v>
      </c>
      <c r="B152" s="137"/>
      <c r="C152" s="137"/>
      <c r="D152" s="137"/>
      <c r="E152" s="137"/>
      <c r="F152" s="137"/>
      <c r="G152" s="137"/>
      <c r="H152" s="137"/>
      <c r="I152" s="137"/>
      <c r="J152" s="137"/>
      <c r="K152" s="121"/>
      <c r="L152" s="122" t="s">
        <v>664</v>
      </c>
      <c r="M152" s="122"/>
      <c r="N152" s="122"/>
      <c r="O152" s="119"/>
      <c r="P152" s="120"/>
      <c r="Q152" s="120"/>
      <c r="R152" s="122"/>
      <c r="S152" s="122"/>
      <c r="T152" s="122"/>
      <c r="U152" s="121"/>
      <c r="V152" s="95"/>
      <c r="W152" s="95"/>
      <c r="X152" s="95"/>
      <c r="Y152" s="96"/>
      <c r="Z152" s="96"/>
      <c r="AA152" s="96"/>
    </row>
    <row r="153" spans="1:27" ht="17.25" x14ac:dyDescent="0.3">
      <c r="A153" s="118"/>
      <c r="B153" s="137"/>
      <c r="C153" s="137"/>
      <c r="D153" s="137"/>
      <c r="E153" s="137"/>
      <c r="F153" s="137"/>
      <c r="G153" s="137"/>
      <c r="H153" s="137"/>
      <c r="I153" s="137"/>
      <c r="J153" s="137"/>
      <c r="K153" s="121"/>
      <c r="L153" s="120"/>
      <c r="M153" s="120"/>
      <c r="N153" s="120"/>
      <c r="O153" s="119"/>
      <c r="P153" s="120"/>
      <c r="Q153" s="120"/>
      <c r="R153" s="120"/>
      <c r="S153" s="120"/>
      <c r="T153" s="120"/>
      <c r="U153" s="121"/>
      <c r="V153" s="95"/>
      <c r="W153" s="95"/>
      <c r="X153" s="95"/>
      <c r="Y153" s="96"/>
      <c r="Z153" s="96"/>
      <c r="AA153" s="96"/>
    </row>
    <row r="154" spans="1:27" ht="17.25" x14ac:dyDescent="0.3">
      <c r="A154" s="362" t="s">
        <v>748</v>
      </c>
      <c r="B154" s="362"/>
      <c r="C154" s="362"/>
      <c r="D154" s="362"/>
      <c r="E154" s="362"/>
      <c r="F154" s="362"/>
      <c r="G154" s="362"/>
      <c r="H154" s="362"/>
      <c r="I154" s="362"/>
      <c r="J154" s="362"/>
      <c r="K154" s="142"/>
      <c r="L154" s="142"/>
      <c r="M154" s="142"/>
      <c r="N154" s="142"/>
      <c r="O154" s="95"/>
      <c r="P154" s="120"/>
      <c r="Q154" s="120"/>
      <c r="R154" s="142"/>
      <c r="S154" s="142"/>
      <c r="T154" s="142"/>
      <c r="U154" s="121"/>
      <c r="V154" s="95"/>
      <c r="W154" s="95"/>
      <c r="X154" s="95"/>
      <c r="Y154" s="96"/>
      <c r="Z154" s="96"/>
      <c r="AA154" s="96"/>
    </row>
    <row r="155" spans="1:27" ht="17.25" x14ac:dyDescent="0.3">
      <c r="A155" s="362"/>
      <c r="B155" s="362"/>
      <c r="C155" s="362"/>
      <c r="D155" s="362"/>
      <c r="E155" s="362"/>
      <c r="F155" s="362"/>
      <c r="G155" s="362"/>
      <c r="H155" s="362"/>
      <c r="I155" s="362"/>
      <c r="J155" s="362"/>
      <c r="K155" s="142"/>
      <c r="L155" s="142"/>
      <c r="M155" s="142"/>
      <c r="N155" s="142"/>
      <c r="O155" s="95"/>
      <c r="P155" s="120"/>
      <c r="Q155" s="120"/>
      <c r="R155" s="142"/>
      <c r="S155" s="142"/>
      <c r="T155" s="142"/>
      <c r="U155" s="121"/>
      <c r="V155" s="95"/>
      <c r="W155" s="95"/>
      <c r="X155" s="95"/>
      <c r="Y155" s="96"/>
      <c r="Z155" s="96"/>
      <c r="AA155" s="96"/>
    </row>
    <row r="156" spans="1:27" ht="17.25" x14ac:dyDescent="0.3">
      <c r="A156" s="137" t="s">
        <v>749</v>
      </c>
      <c r="B156" s="137"/>
      <c r="C156" s="137"/>
      <c r="D156" s="137"/>
      <c r="E156" s="137"/>
      <c r="F156" s="137"/>
      <c r="G156" s="137"/>
      <c r="H156" s="137"/>
      <c r="I156" s="137"/>
      <c r="J156" s="137"/>
      <c r="K156" s="121"/>
      <c r="L156" s="122"/>
      <c r="M156" s="122"/>
      <c r="N156" s="122"/>
      <c r="O156" s="119"/>
      <c r="P156" s="120"/>
      <c r="Q156" s="120"/>
      <c r="R156" s="122"/>
      <c r="S156" s="122"/>
      <c r="T156" s="122"/>
      <c r="U156" s="121"/>
      <c r="V156" s="95"/>
      <c r="W156" s="95"/>
      <c r="X156" s="95"/>
      <c r="Y156" s="96"/>
      <c r="Z156" s="96"/>
      <c r="AA156" s="96"/>
    </row>
    <row r="158" spans="1:27" ht="15.75" x14ac:dyDescent="0.25">
      <c r="A158" s="363" t="s">
        <v>13</v>
      </c>
      <c r="B158" s="363"/>
    </row>
    <row r="159" spans="1:27" x14ac:dyDescent="0.25">
      <c r="L159" s="120" t="s">
        <v>664</v>
      </c>
      <c r="M159" s="120" t="s">
        <v>665</v>
      </c>
      <c r="N159" s="120"/>
    </row>
    <row r="160" spans="1:27" ht="15.75" x14ac:dyDescent="0.25">
      <c r="A160" s="143" t="s">
        <v>750</v>
      </c>
      <c r="L160" s="122" t="s">
        <v>664</v>
      </c>
      <c r="M160" s="122"/>
      <c r="N160" s="120"/>
    </row>
    <row r="161" spans="1:17" ht="15.75" x14ac:dyDescent="0.25">
      <c r="A161" s="143"/>
      <c r="L161" s="120"/>
      <c r="M161" s="120"/>
      <c r="N161" s="120"/>
    </row>
    <row r="162" spans="1:17" ht="15.75" x14ac:dyDescent="0.25">
      <c r="A162" s="143" t="s">
        <v>751</v>
      </c>
      <c r="L162" s="120" t="s">
        <v>752</v>
      </c>
      <c r="M162" s="122" t="s">
        <v>753</v>
      </c>
      <c r="N162" s="120"/>
      <c r="P162" s="120" t="s">
        <v>754</v>
      </c>
      <c r="Q162" s="122"/>
    </row>
    <row r="163" spans="1:17" ht="15.75" x14ac:dyDescent="0.25">
      <c r="A163" s="143"/>
      <c r="L163" s="95"/>
      <c r="M163" s="95"/>
      <c r="N163" s="95"/>
    </row>
    <row r="164" spans="1:17" ht="15.75" x14ac:dyDescent="0.25">
      <c r="A164" s="143" t="s">
        <v>755</v>
      </c>
      <c r="L164" s="122" t="s">
        <v>664</v>
      </c>
      <c r="M164" s="122"/>
      <c r="N164" s="120"/>
    </row>
    <row r="165" spans="1:17" ht="15.75" x14ac:dyDescent="0.25">
      <c r="A165" s="143"/>
      <c r="L165" s="120" t="s">
        <v>664</v>
      </c>
      <c r="M165" s="120" t="s">
        <v>665</v>
      </c>
      <c r="N165" s="120" t="s">
        <v>662</v>
      </c>
    </row>
    <row r="166" spans="1:17" ht="15.75" x14ac:dyDescent="0.25">
      <c r="A166" s="143" t="s">
        <v>756</v>
      </c>
      <c r="L166" s="122" t="s">
        <v>664</v>
      </c>
      <c r="M166" s="122"/>
      <c r="N166" s="122"/>
    </row>
    <row r="167" spans="1:17" ht="15.75" x14ac:dyDescent="0.25">
      <c r="A167" s="143"/>
      <c r="L167" s="120" t="s">
        <v>664</v>
      </c>
      <c r="M167" s="120" t="s">
        <v>665</v>
      </c>
      <c r="N167" s="95"/>
    </row>
    <row r="168" spans="1:17" ht="15.75" x14ac:dyDescent="0.25">
      <c r="A168" s="143" t="s">
        <v>757</v>
      </c>
      <c r="L168" s="122" t="s">
        <v>664</v>
      </c>
      <c r="M168" s="122"/>
      <c r="N168" s="120"/>
    </row>
    <row r="169" spans="1:17" ht="15.75" x14ac:dyDescent="0.25">
      <c r="A169" s="143"/>
      <c r="L169" s="120" t="s">
        <v>664</v>
      </c>
      <c r="M169" s="120" t="s">
        <v>665</v>
      </c>
      <c r="N169" s="120" t="s">
        <v>662</v>
      </c>
    </row>
    <row r="170" spans="1:17" ht="15.75" x14ac:dyDescent="0.25">
      <c r="A170" s="143" t="s">
        <v>758</v>
      </c>
      <c r="L170" s="122" t="s">
        <v>664</v>
      </c>
      <c r="M170" s="122"/>
      <c r="N170" s="122"/>
    </row>
    <row r="171" spans="1:17" ht="15.75" x14ac:dyDescent="0.25">
      <c r="A171" s="143"/>
      <c r="L171" s="120" t="s">
        <v>664</v>
      </c>
      <c r="M171" s="120" t="s">
        <v>665</v>
      </c>
    </row>
    <row r="172" spans="1:17" ht="15.75" x14ac:dyDescent="0.25">
      <c r="A172" s="143" t="s">
        <v>759</v>
      </c>
      <c r="L172" s="122" t="s">
        <v>664</v>
      </c>
      <c r="M172" s="122"/>
      <c r="N172" s="120"/>
    </row>
    <row r="173" spans="1:17" ht="15.75" x14ac:dyDescent="0.25">
      <c r="A173" s="143"/>
      <c r="L173" s="95"/>
      <c r="M173" s="95"/>
      <c r="N173" s="95"/>
    </row>
    <row r="174" spans="1:17" ht="15.75" x14ac:dyDescent="0.25">
      <c r="A174" s="143" t="s">
        <v>760</v>
      </c>
      <c r="L174" s="122" t="s">
        <v>664</v>
      </c>
      <c r="M174" s="122"/>
      <c r="N174" s="120"/>
    </row>
    <row r="175" spans="1:17" ht="15.75" x14ac:dyDescent="0.25">
      <c r="A175" s="143"/>
      <c r="L175" s="95"/>
      <c r="M175" s="95"/>
      <c r="N175" s="95"/>
    </row>
    <row r="176" spans="1:17" ht="15.75" x14ac:dyDescent="0.25">
      <c r="A176" s="143" t="s">
        <v>761</v>
      </c>
      <c r="L176" s="122" t="s">
        <v>664</v>
      </c>
      <c r="M176" s="122"/>
      <c r="N176" s="120"/>
    </row>
    <row r="177" spans="1:27" ht="15.75" x14ac:dyDescent="0.25">
      <c r="A177" s="143"/>
      <c r="L177" s="120" t="s">
        <v>664</v>
      </c>
      <c r="M177" s="120" t="s">
        <v>665</v>
      </c>
      <c r="N177" s="120" t="s">
        <v>662</v>
      </c>
    </row>
    <row r="178" spans="1:27" ht="15.75" x14ac:dyDescent="0.25">
      <c r="A178" s="143" t="s">
        <v>762</v>
      </c>
      <c r="L178" s="122" t="s">
        <v>664</v>
      </c>
      <c r="M178" s="122"/>
      <c r="N178" s="122"/>
    </row>
    <row r="179" spans="1:27" ht="15.75" x14ac:dyDescent="0.25">
      <c r="A179" s="143"/>
    </row>
    <row r="180" spans="1:27" ht="15.75" x14ac:dyDescent="0.25">
      <c r="A180" s="143" t="s">
        <v>763</v>
      </c>
      <c r="L180" s="122" t="s">
        <v>664</v>
      </c>
      <c r="M180" s="122"/>
      <c r="N180" s="122"/>
    </row>
    <row r="181" spans="1:27" ht="15.75" x14ac:dyDescent="0.25">
      <c r="A181" s="143"/>
      <c r="L181" s="95"/>
      <c r="M181" s="95"/>
      <c r="N181" s="95"/>
    </row>
    <row r="182" spans="1:27" ht="15.75" x14ac:dyDescent="0.25">
      <c r="A182" s="143" t="s">
        <v>764</v>
      </c>
      <c r="L182" s="122" t="s">
        <v>664</v>
      </c>
      <c r="M182" s="122"/>
      <c r="N182" s="122"/>
    </row>
    <row r="183" spans="1:27" x14ac:dyDescent="0.25">
      <c r="L183" s="120" t="s">
        <v>664</v>
      </c>
      <c r="M183" s="120" t="s">
        <v>665</v>
      </c>
    </row>
    <row r="184" spans="1:27" ht="15.75" x14ac:dyDescent="0.25">
      <c r="A184" s="144" t="s">
        <v>765</v>
      </c>
      <c r="L184" s="122" t="s">
        <v>664</v>
      </c>
      <c r="M184" s="122"/>
    </row>
    <row r="186" spans="1:27" x14ac:dyDescent="0.25"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</row>
    <row r="187" spans="1:27" ht="17.25" x14ac:dyDescent="0.3">
      <c r="A187" s="366" t="s">
        <v>766</v>
      </c>
      <c r="B187" s="367"/>
      <c r="C187" s="367"/>
      <c r="D187" s="367"/>
      <c r="E187" s="367"/>
      <c r="F187" s="367"/>
      <c r="G187" s="367"/>
      <c r="H187" s="367"/>
      <c r="I187" s="367"/>
      <c r="J187" s="367"/>
      <c r="K187" s="367"/>
      <c r="L187" s="367"/>
      <c r="M187" s="367"/>
      <c r="N187" s="367"/>
      <c r="O187" s="367"/>
      <c r="P187" s="367"/>
      <c r="Q187" s="367"/>
      <c r="R187" s="367"/>
      <c r="S187" s="367"/>
      <c r="T187" s="367"/>
      <c r="U187" s="368"/>
      <c r="V187" s="95"/>
      <c r="W187" s="95"/>
      <c r="X187" s="95"/>
      <c r="Y187" s="96"/>
      <c r="Z187" s="96"/>
      <c r="AA187" s="96"/>
    </row>
    <row r="188" spans="1:27" ht="17.25" x14ac:dyDescent="0.3">
      <c r="A188" s="146"/>
      <c r="B188" s="146"/>
      <c r="C188" s="146"/>
      <c r="D188" s="146"/>
      <c r="E188" s="146"/>
      <c r="F188" s="146"/>
      <c r="G188" s="146"/>
      <c r="H188" s="146"/>
      <c r="I188" s="147"/>
      <c r="J188" s="147"/>
      <c r="K188" s="147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8"/>
      <c r="W188" s="148"/>
      <c r="X188" s="148"/>
      <c r="Y188" s="149"/>
      <c r="Z188" s="149"/>
      <c r="AA188" s="149"/>
    </row>
    <row r="189" spans="1:27" ht="17.25" x14ac:dyDescent="0.3">
      <c r="A189" s="118"/>
      <c r="B189" s="118" t="s">
        <v>767</v>
      </c>
      <c r="C189" s="118"/>
      <c r="D189" s="118"/>
      <c r="E189" s="118"/>
      <c r="F189" s="118"/>
      <c r="G189" s="118"/>
      <c r="H189" s="118"/>
      <c r="I189" s="150"/>
      <c r="J189" s="151"/>
      <c r="K189" s="152"/>
      <c r="L189" s="121"/>
      <c r="M189" s="121"/>
      <c r="N189" s="369"/>
      <c r="O189" s="369"/>
      <c r="P189" s="369"/>
      <c r="Q189" s="369"/>
      <c r="R189" s="121"/>
      <c r="S189" s="121"/>
      <c r="T189" s="121"/>
      <c r="U189" s="121"/>
      <c r="V189" s="95"/>
      <c r="W189" s="95"/>
      <c r="X189" s="95"/>
      <c r="Y189" s="96"/>
      <c r="Z189" s="96"/>
      <c r="AA189" s="96"/>
    </row>
    <row r="190" spans="1:27" ht="17.25" x14ac:dyDescent="0.3">
      <c r="A190" s="118"/>
      <c r="B190" s="118"/>
      <c r="C190" s="118"/>
      <c r="D190" s="118"/>
      <c r="E190" s="118"/>
      <c r="F190" s="118"/>
      <c r="G190" s="118"/>
      <c r="H190" s="118"/>
      <c r="I190" s="370" t="s">
        <v>768</v>
      </c>
      <c r="J190" s="370"/>
      <c r="K190" s="370"/>
      <c r="L190" s="371" t="s">
        <v>769</v>
      </c>
      <c r="M190" s="371"/>
      <c r="N190" s="371"/>
      <c r="O190" s="371" t="s">
        <v>770</v>
      </c>
      <c r="P190" s="371"/>
      <c r="Q190" s="371"/>
      <c r="R190" s="121"/>
      <c r="S190" s="121"/>
      <c r="T190" s="121"/>
      <c r="U190" s="121"/>
      <c r="V190" s="95"/>
      <c r="W190" s="95"/>
      <c r="X190" s="95"/>
      <c r="Y190" s="96"/>
      <c r="Z190" s="96"/>
      <c r="AA190" s="96"/>
    </row>
    <row r="191" spans="1:27" ht="17.25" x14ac:dyDescent="0.3">
      <c r="A191" s="118"/>
      <c r="B191" s="118" t="s">
        <v>771</v>
      </c>
      <c r="C191" s="118"/>
      <c r="D191" s="118"/>
      <c r="E191" s="118"/>
      <c r="F191" s="118"/>
      <c r="G191" s="118"/>
      <c r="H191" s="118"/>
      <c r="I191" s="337"/>
      <c r="J191" s="338"/>
      <c r="K191" s="339"/>
      <c r="L191" s="337"/>
      <c r="M191" s="338"/>
      <c r="N191" s="339"/>
      <c r="O191" s="337"/>
      <c r="P191" s="338"/>
      <c r="Q191" s="339"/>
      <c r="R191" s="121"/>
      <c r="S191" s="121"/>
      <c r="T191" s="121"/>
      <c r="U191" s="121"/>
      <c r="V191" s="95"/>
      <c r="W191" s="95"/>
      <c r="X191" s="95"/>
      <c r="Y191" s="96"/>
      <c r="Z191" s="96"/>
      <c r="AA191" s="96"/>
    </row>
    <row r="192" spans="1:27" ht="17.25" x14ac:dyDescent="0.3">
      <c r="A192" s="118"/>
      <c r="B192" s="118" t="s">
        <v>772</v>
      </c>
      <c r="C192" s="118"/>
      <c r="D192" s="118"/>
      <c r="E192" s="118"/>
      <c r="F192" s="118"/>
      <c r="G192" s="118"/>
      <c r="H192" s="118"/>
      <c r="I192" s="337"/>
      <c r="J192" s="338"/>
      <c r="K192" s="339"/>
      <c r="L192" s="337"/>
      <c r="M192" s="338"/>
      <c r="N192" s="339"/>
      <c r="O192" s="337"/>
      <c r="P192" s="338"/>
      <c r="Q192" s="339"/>
      <c r="R192" s="364"/>
      <c r="S192" s="365"/>
      <c r="T192" s="121"/>
      <c r="U192" s="121"/>
      <c r="V192" s="95"/>
      <c r="W192" s="95"/>
      <c r="X192" s="95"/>
      <c r="Y192" s="96"/>
      <c r="Z192" s="96"/>
      <c r="AA192" s="96"/>
    </row>
    <row r="193" spans="1:27" ht="17.25" x14ac:dyDescent="0.3">
      <c r="A193" s="118"/>
      <c r="B193" s="118" t="s">
        <v>773</v>
      </c>
      <c r="C193" s="118"/>
      <c r="D193" s="118"/>
      <c r="E193" s="118"/>
      <c r="F193" s="118"/>
      <c r="G193" s="118"/>
      <c r="H193" s="118"/>
      <c r="I193" s="337"/>
      <c r="J193" s="338"/>
      <c r="K193" s="339"/>
      <c r="L193" s="337"/>
      <c r="M193" s="338"/>
      <c r="N193" s="339"/>
      <c r="O193" s="337"/>
      <c r="P193" s="338"/>
      <c r="Q193" s="339"/>
      <c r="R193" s="121"/>
      <c r="S193" s="121"/>
      <c r="T193" s="121"/>
      <c r="U193" s="121"/>
      <c r="V193" s="95"/>
      <c r="W193" s="95"/>
      <c r="X193" s="95"/>
      <c r="Y193" s="96"/>
      <c r="Z193" s="96"/>
      <c r="AA193" s="96"/>
    </row>
    <row r="194" spans="1:27" ht="17.25" x14ac:dyDescent="0.3">
      <c r="A194" s="118"/>
      <c r="B194" s="118" t="s">
        <v>774</v>
      </c>
      <c r="C194" s="118"/>
      <c r="D194" s="118"/>
      <c r="E194" s="118"/>
      <c r="F194" s="118"/>
      <c r="G194" s="118"/>
      <c r="H194" s="118"/>
      <c r="I194" s="337"/>
      <c r="J194" s="338"/>
      <c r="K194" s="339"/>
      <c r="L194" s="337"/>
      <c r="M194" s="338"/>
      <c r="N194" s="339"/>
      <c r="O194" s="337"/>
      <c r="P194" s="338"/>
      <c r="Q194" s="339"/>
      <c r="R194" s="121"/>
      <c r="S194" s="121"/>
      <c r="T194" s="121"/>
      <c r="U194" s="121"/>
      <c r="V194" s="95"/>
      <c r="W194" s="95"/>
      <c r="X194" s="95"/>
      <c r="Y194" s="96"/>
      <c r="Z194" s="96"/>
      <c r="AA194" s="96"/>
    </row>
    <row r="195" spans="1:27" ht="17.25" x14ac:dyDescent="0.3">
      <c r="A195" s="118"/>
      <c r="B195" s="118" t="s">
        <v>775</v>
      </c>
      <c r="C195" s="118"/>
      <c r="D195" s="118"/>
      <c r="E195" s="118"/>
      <c r="F195" s="118"/>
      <c r="G195" s="118"/>
      <c r="H195" s="118"/>
      <c r="I195" s="337"/>
      <c r="J195" s="338"/>
      <c r="K195" s="339"/>
      <c r="L195" s="337"/>
      <c r="M195" s="338"/>
      <c r="N195" s="339"/>
      <c r="O195" s="337"/>
      <c r="P195" s="338"/>
      <c r="Q195" s="339"/>
      <c r="R195" s="121"/>
      <c r="S195" s="121"/>
      <c r="T195" s="121"/>
      <c r="U195" s="121"/>
      <c r="V195" s="95"/>
      <c r="W195" s="95"/>
      <c r="X195" s="95"/>
      <c r="Y195" s="96"/>
      <c r="Z195" s="96"/>
      <c r="AA195" s="96"/>
    </row>
    <row r="196" spans="1:27" ht="17.25" x14ac:dyDescent="0.3">
      <c r="A196" s="118"/>
      <c r="B196" s="118" t="s">
        <v>776</v>
      </c>
      <c r="C196" s="118"/>
      <c r="D196" s="118"/>
      <c r="E196" s="118"/>
      <c r="F196" s="118"/>
      <c r="G196" s="118"/>
      <c r="H196" s="118"/>
      <c r="I196" s="337"/>
      <c r="J196" s="338"/>
      <c r="K196" s="339"/>
      <c r="L196" s="337"/>
      <c r="M196" s="338"/>
      <c r="N196" s="339"/>
      <c r="O196" s="337"/>
      <c r="P196" s="338"/>
      <c r="Q196" s="339"/>
      <c r="R196" s="121"/>
      <c r="S196" s="121"/>
      <c r="T196" s="121"/>
      <c r="U196" s="121"/>
      <c r="V196" s="95"/>
      <c r="W196" s="95"/>
      <c r="X196" s="95"/>
      <c r="Y196" s="96"/>
      <c r="Z196" s="96"/>
      <c r="AA196" s="96"/>
    </row>
    <row r="197" spans="1:27" ht="17.25" x14ac:dyDescent="0.3">
      <c r="A197" s="118"/>
      <c r="B197" s="118"/>
      <c r="C197" s="118"/>
      <c r="D197" s="118"/>
      <c r="E197" s="118"/>
      <c r="F197" s="118"/>
      <c r="G197" s="118"/>
      <c r="H197" s="118"/>
      <c r="I197" s="121"/>
      <c r="J197" s="121"/>
      <c r="K197" s="121"/>
      <c r="L197" s="121"/>
      <c r="M197" s="121"/>
      <c r="N197" s="121"/>
      <c r="O197" s="119"/>
      <c r="P197" s="120"/>
      <c r="Q197" s="120"/>
      <c r="R197" s="121"/>
      <c r="S197" s="121"/>
      <c r="T197" s="121"/>
      <c r="U197" s="121"/>
      <c r="V197" s="95"/>
      <c r="W197" s="95"/>
      <c r="X197" s="95"/>
      <c r="Y197" s="96"/>
      <c r="Z197" s="96"/>
      <c r="AA197" s="96"/>
    </row>
    <row r="198" spans="1:27" ht="17.25" x14ac:dyDescent="0.3">
      <c r="A198" s="118"/>
      <c r="B198" s="118" t="s">
        <v>777</v>
      </c>
      <c r="C198" s="118"/>
      <c r="D198" s="118"/>
      <c r="E198" s="118"/>
      <c r="F198" s="118"/>
      <c r="G198" s="118"/>
      <c r="H198" s="118"/>
      <c r="I198" s="337"/>
      <c r="J198" s="338"/>
      <c r="K198" s="339"/>
      <c r="L198" s="120"/>
      <c r="M198" s="120"/>
      <c r="N198" s="120" t="s">
        <v>659</v>
      </c>
      <c r="O198" s="119"/>
      <c r="P198" s="120"/>
      <c r="Q198" s="120"/>
      <c r="R198" s="121"/>
      <c r="S198" s="121"/>
      <c r="T198" s="121"/>
      <c r="U198" s="121"/>
      <c r="V198" s="95"/>
      <c r="W198" s="95"/>
      <c r="X198" s="95"/>
      <c r="Y198" s="96"/>
      <c r="Z198" s="96"/>
      <c r="AA198" s="96"/>
    </row>
    <row r="199" spans="1:27" ht="17.25" x14ac:dyDescent="0.3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20"/>
      <c r="M199" s="120"/>
      <c r="N199" s="120"/>
      <c r="O199" s="119"/>
      <c r="P199" s="120"/>
      <c r="Q199" s="120"/>
      <c r="R199" s="120"/>
      <c r="S199" s="120"/>
      <c r="T199" s="120"/>
      <c r="U199" s="120"/>
      <c r="V199" s="95"/>
      <c r="W199" s="95"/>
      <c r="X199" s="95"/>
      <c r="Y199" s="96"/>
      <c r="Z199" s="96"/>
      <c r="AA199" s="96"/>
    </row>
    <row r="200" spans="1:27" ht="17.25" x14ac:dyDescent="0.3">
      <c r="A200" s="118"/>
      <c r="B200" s="118" t="s">
        <v>778</v>
      </c>
      <c r="C200" s="118"/>
      <c r="D200" s="118"/>
      <c r="E200" s="118"/>
      <c r="F200" s="118"/>
      <c r="G200" s="118"/>
      <c r="H200" s="118"/>
      <c r="I200" s="337"/>
      <c r="J200" s="338"/>
      <c r="K200" s="339"/>
      <c r="L200" s="120"/>
      <c r="M200" s="120"/>
      <c r="N200" s="120"/>
      <c r="O200" s="119"/>
      <c r="P200" s="120"/>
      <c r="Q200" s="120"/>
      <c r="R200" s="121"/>
      <c r="S200" s="121"/>
      <c r="T200" s="121"/>
      <c r="U200" s="121"/>
      <c r="V200" s="95"/>
      <c r="W200" s="95"/>
      <c r="X200" s="95"/>
      <c r="Y200" s="96"/>
      <c r="Z200" s="96"/>
      <c r="AA200" s="96"/>
    </row>
    <row r="201" spans="1:27" ht="17.25" x14ac:dyDescent="0.3">
      <c r="A201" s="118"/>
      <c r="B201" s="153"/>
      <c r="C201" s="118"/>
      <c r="D201" s="118"/>
      <c r="E201" s="118"/>
      <c r="F201" s="118"/>
      <c r="G201" s="118"/>
      <c r="H201" s="118"/>
      <c r="I201" s="118"/>
      <c r="J201" s="118"/>
      <c r="K201" s="118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95"/>
      <c r="W201" s="95"/>
      <c r="X201" s="95"/>
      <c r="Y201" s="96"/>
      <c r="Z201" s="96"/>
      <c r="AA201" s="96"/>
    </row>
    <row r="202" spans="1:27" x14ac:dyDescent="0.25">
      <c r="L202" s="120" t="s">
        <v>664</v>
      </c>
      <c r="M202" s="120" t="s">
        <v>665</v>
      </c>
    </row>
    <row r="203" spans="1:27" x14ac:dyDescent="0.25">
      <c r="B203" s="127" t="s">
        <v>779</v>
      </c>
      <c r="L203" s="122" t="s">
        <v>664</v>
      </c>
      <c r="M203" s="122"/>
    </row>
    <row r="204" spans="1:27" x14ac:dyDescent="0.25">
      <c r="B204" s="118"/>
    </row>
    <row r="205" spans="1:27" x14ac:dyDescent="0.25">
      <c r="B205" s="127" t="s">
        <v>780</v>
      </c>
      <c r="L205" s="122" t="s">
        <v>664</v>
      </c>
      <c r="M205" s="122"/>
    </row>
    <row r="206" spans="1:27" x14ac:dyDescent="0.25">
      <c r="B206" s="118"/>
    </row>
    <row r="207" spans="1:27" x14ac:dyDescent="0.25">
      <c r="B207" s="127" t="s">
        <v>781</v>
      </c>
      <c r="L207" s="122" t="s">
        <v>664</v>
      </c>
      <c r="M207" s="122"/>
    </row>
    <row r="209" spans="1:27" ht="17.25" x14ac:dyDescent="0.3">
      <c r="A209" s="366" t="s">
        <v>782</v>
      </c>
      <c r="B209" s="367"/>
      <c r="C209" s="367"/>
      <c r="D209" s="367"/>
      <c r="E209" s="367"/>
      <c r="F209" s="367"/>
      <c r="G209" s="367"/>
      <c r="H209" s="367"/>
      <c r="I209" s="367"/>
      <c r="J209" s="367"/>
      <c r="K209" s="367"/>
      <c r="L209" s="367"/>
      <c r="M209" s="367"/>
      <c r="N209" s="367"/>
      <c r="O209" s="367"/>
      <c r="P209" s="367"/>
      <c r="Q209" s="367"/>
      <c r="R209" s="367"/>
      <c r="S209" s="367"/>
      <c r="T209" s="367"/>
      <c r="U209" s="368"/>
      <c r="V209" s="95"/>
      <c r="W209" s="95"/>
      <c r="X209" s="95"/>
      <c r="Y209" s="96"/>
      <c r="Z209" s="96"/>
      <c r="AA209" s="96"/>
    </row>
    <row r="210" spans="1:27" ht="17.25" x14ac:dyDescent="0.3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54"/>
      <c r="W210" s="154"/>
      <c r="X210" s="154"/>
      <c r="Y210" s="155"/>
      <c r="Z210" s="155"/>
      <c r="AA210" s="155"/>
    </row>
    <row r="211" spans="1:27" ht="17.25" x14ac:dyDescent="0.3">
      <c r="A211" s="156"/>
      <c r="B211" s="157" t="s">
        <v>783</v>
      </c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95"/>
      <c r="W211" s="95"/>
      <c r="X211" s="95"/>
      <c r="Y211" s="96"/>
      <c r="Z211" s="96"/>
      <c r="AA211" s="96"/>
    </row>
    <row r="212" spans="1:27" ht="17.25" x14ac:dyDescent="0.3">
      <c r="A212" s="118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369"/>
      <c r="Q212" s="369"/>
      <c r="R212" s="369"/>
      <c r="S212" s="369"/>
      <c r="T212" s="369"/>
      <c r="U212" s="369"/>
      <c r="V212" s="95"/>
      <c r="W212" s="95"/>
      <c r="X212" s="95"/>
      <c r="Y212" s="96"/>
      <c r="Z212" s="96"/>
      <c r="AA212" s="96"/>
    </row>
    <row r="213" spans="1:27" ht="17.25" x14ac:dyDescent="0.3">
      <c r="A213" s="118" t="s">
        <v>784</v>
      </c>
      <c r="B213" s="118"/>
      <c r="C213" s="118"/>
      <c r="D213" s="118"/>
      <c r="E213" s="118"/>
      <c r="F213" s="118"/>
      <c r="G213" s="337" t="s">
        <v>1130</v>
      </c>
      <c r="H213" s="338"/>
      <c r="I213" s="338"/>
      <c r="J213" s="339"/>
      <c r="K213" s="118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95"/>
      <c r="W213" s="95"/>
      <c r="X213" s="95"/>
      <c r="Y213" s="96"/>
      <c r="Z213" s="96"/>
      <c r="AA213" s="96"/>
    </row>
    <row r="214" spans="1:27" ht="17.25" x14ac:dyDescent="0.3">
      <c r="A214" s="15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95"/>
      <c r="W214" s="95"/>
      <c r="X214" s="95"/>
      <c r="Y214" s="96"/>
      <c r="Z214" s="96"/>
      <c r="AA214" s="96"/>
    </row>
    <row r="215" spans="1:27" ht="17.25" x14ac:dyDescent="0.3">
      <c r="A215" s="118" t="s">
        <v>785</v>
      </c>
      <c r="B215" s="118"/>
      <c r="C215" s="118"/>
      <c r="D215" s="118"/>
      <c r="E215" s="118"/>
      <c r="F215" s="118"/>
      <c r="G215" s="337">
        <v>1</v>
      </c>
      <c r="H215" s="338"/>
      <c r="I215" s="338"/>
      <c r="J215" s="339"/>
      <c r="K215" s="118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95"/>
      <c r="W215" s="95"/>
      <c r="X215" s="95"/>
      <c r="Y215" s="96"/>
      <c r="Z215" s="96"/>
      <c r="AA215" s="96"/>
    </row>
    <row r="216" spans="1:27" ht="17.25" x14ac:dyDescent="0.3">
      <c r="A216" s="15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95"/>
      <c r="W216" s="95"/>
      <c r="X216" s="95"/>
      <c r="Y216" s="96"/>
      <c r="Z216" s="96"/>
      <c r="AA216" s="96"/>
    </row>
    <row r="217" spans="1:27" ht="17.25" x14ac:dyDescent="0.3">
      <c r="A217" s="118" t="s">
        <v>786</v>
      </c>
      <c r="B217" s="118"/>
      <c r="C217" s="118"/>
      <c r="D217" s="118"/>
      <c r="E217" s="118"/>
      <c r="F217" s="118"/>
      <c r="G217" s="337">
        <v>1</v>
      </c>
      <c r="H217" s="338"/>
      <c r="I217" s="338"/>
      <c r="J217" s="339"/>
      <c r="K217" s="118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95"/>
      <c r="W217" s="95"/>
      <c r="X217" s="95"/>
      <c r="Y217" s="96"/>
      <c r="Z217" s="96"/>
      <c r="AA217" s="96"/>
    </row>
    <row r="218" spans="1:27" ht="17.25" x14ac:dyDescent="0.3">
      <c r="A218" s="15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95"/>
      <c r="W218" s="95"/>
      <c r="X218" s="95"/>
      <c r="Y218" s="96"/>
      <c r="Z218" s="96"/>
      <c r="AA218" s="96"/>
    </row>
    <row r="219" spans="1:27" ht="17.25" x14ac:dyDescent="0.3">
      <c r="A219" s="118" t="s">
        <v>787</v>
      </c>
      <c r="B219" s="118"/>
      <c r="C219" s="118"/>
      <c r="D219" s="118"/>
      <c r="E219" s="118"/>
      <c r="F219" s="118"/>
      <c r="G219" s="337"/>
      <c r="H219" s="338"/>
      <c r="I219" s="338"/>
      <c r="J219" s="339"/>
      <c r="K219" s="118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95"/>
      <c r="W219" s="95"/>
      <c r="X219" s="95"/>
      <c r="Y219" s="96"/>
      <c r="Z219" s="96"/>
      <c r="AA219" s="96"/>
    </row>
    <row r="220" spans="1:27" ht="17.25" x14ac:dyDescent="0.3">
      <c r="A220" s="15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 t="s">
        <v>788</v>
      </c>
      <c r="M220" s="146" t="s">
        <v>665</v>
      </c>
      <c r="N220" s="146"/>
      <c r="O220" s="146"/>
      <c r="P220" s="146"/>
      <c r="Q220" s="146"/>
      <c r="R220" s="146"/>
      <c r="S220" s="146"/>
      <c r="T220" s="146"/>
      <c r="U220" s="146"/>
      <c r="V220" s="95"/>
      <c r="W220" s="95"/>
      <c r="X220" s="95"/>
      <c r="Y220" s="96"/>
      <c r="Z220" s="96"/>
      <c r="AA220" s="96"/>
    </row>
    <row r="221" spans="1:27" ht="17.25" x14ac:dyDescent="0.3">
      <c r="A221" s="158" t="s">
        <v>789</v>
      </c>
      <c r="B221" s="157"/>
      <c r="C221" s="146"/>
      <c r="D221" s="146"/>
      <c r="E221" s="146"/>
      <c r="F221" s="146"/>
      <c r="G221" s="146"/>
      <c r="H221" s="146"/>
      <c r="I221" s="146"/>
      <c r="J221" s="146"/>
      <c r="K221" s="146"/>
      <c r="L221" s="122" t="s">
        <v>788</v>
      </c>
      <c r="M221" s="122"/>
      <c r="N221" s="146"/>
      <c r="O221" s="146"/>
      <c r="P221" s="146"/>
      <c r="Q221" s="146"/>
      <c r="R221" s="146"/>
      <c r="S221" s="146"/>
      <c r="T221" s="146"/>
      <c r="U221" s="146"/>
      <c r="V221" s="159"/>
      <c r="W221" s="159"/>
      <c r="X221" s="159"/>
      <c r="Y221" s="160"/>
      <c r="Z221" s="160"/>
      <c r="AA221" s="160"/>
    </row>
    <row r="222" spans="1:27" ht="17.25" x14ac:dyDescent="0.3">
      <c r="A222" s="158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59"/>
      <c r="W222" s="159"/>
      <c r="X222" s="159"/>
      <c r="Y222" s="160"/>
      <c r="Z222" s="160"/>
      <c r="AA222" s="160"/>
    </row>
    <row r="223" spans="1:27" ht="17.25" x14ac:dyDescent="0.3">
      <c r="A223" s="161" t="s">
        <v>790</v>
      </c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2" t="s">
        <v>664</v>
      </c>
      <c r="M223" s="162"/>
      <c r="N223" s="120"/>
      <c r="O223" s="120"/>
      <c r="P223" s="121"/>
      <c r="Q223" s="121"/>
      <c r="R223" s="121"/>
      <c r="S223" s="121"/>
      <c r="T223" s="121"/>
      <c r="U223" s="121"/>
      <c r="V223" s="159"/>
      <c r="W223" s="159"/>
      <c r="X223" s="159"/>
      <c r="Y223" s="160"/>
      <c r="Z223" s="160"/>
      <c r="AA223" s="160"/>
    </row>
    <row r="224" spans="1:27" ht="17.25" x14ac:dyDescent="0.3">
      <c r="A224" s="16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59"/>
      <c r="W224" s="159"/>
      <c r="X224" s="159"/>
      <c r="Y224" s="160"/>
      <c r="Z224" s="160"/>
      <c r="AA224" s="160"/>
    </row>
    <row r="225" spans="1:27" ht="17.25" x14ac:dyDescent="0.3">
      <c r="A225" s="161" t="s">
        <v>791</v>
      </c>
      <c r="B225" s="121"/>
      <c r="C225" s="121"/>
      <c r="D225" s="121"/>
      <c r="E225" s="121"/>
      <c r="F225" s="121"/>
      <c r="G225" s="120"/>
      <c r="H225" s="120"/>
      <c r="I225" s="120"/>
      <c r="J225" s="120"/>
      <c r="K225" s="121"/>
      <c r="L225" s="122" t="s">
        <v>664</v>
      </c>
      <c r="M225" s="162"/>
      <c r="N225" s="120"/>
      <c r="O225" s="120"/>
      <c r="P225" s="120"/>
      <c r="Q225" s="120"/>
      <c r="R225" s="120"/>
      <c r="S225" s="120"/>
      <c r="T225" s="120"/>
      <c r="U225" s="120"/>
      <c r="V225" s="159"/>
      <c r="W225" s="159"/>
      <c r="X225" s="159"/>
      <c r="Y225" s="160"/>
      <c r="Z225" s="160"/>
      <c r="AA225" s="160"/>
    </row>
    <row r="226" spans="1:27" ht="17.25" x14ac:dyDescent="0.3">
      <c r="A226" s="158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59"/>
      <c r="W226" s="159"/>
      <c r="X226" s="159"/>
      <c r="Y226" s="160"/>
      <c r="Z226" s="160"/>
      <c r="AA226" s="160"/>
    </row>
    <row r="227" spans="1:27" ht="17.25" x14ac:dyDescent="0.3">
      <c r="A227" s="161" t="s">
        <v>792</v>
      </c>
      <c r="B227" s="121"/>
      <c r="C227" s="121"/>
      <c r="D227" s="121"/>
      <c r="E227" s="121"/>
      <c r="F227" s="121"/>
      <c r="G227" s="120"/>
      <c r="H227" s="120"/>
      <c r="I227" s="120"/>
      <c r="J227" s="120"/>
      <c r="K227" s="121"/>
      <c r="L227" s="122" t="s">
        <v>664</v>
      </c>
      <c r="M227" s="162"/>
      <c r="N227" s="120"/>
      <c r="O227" s="120"/>
      <c r="P227" s="120"/>
      <c r="Q227" s="120"/>
      <c r="R227" s="120"/>
      <c r="S227" s="120"/>
      <c r="T227" s="120"/>
      <c r="U227" s="120"/>
      <c r="V227" s="159"/>
      <c r="W227" s="159"/>
      <c r="X227" s="159"/>
      <c r="Y227" s="160"/>
      <c r="Z227" s="160"/>
      <c r="AA227" s="160"/>
    </row>
    <row r="228" spans="1:27" ht="17.25" x14ac:dyDescent="0.3">
      <c r="A228" s="161"/>
      <c r="B228" s="121"/>
      <c r="C228" s="121"/>
      <c r="D228" s="121"/>
      <c r="E228" s="121"/>
      <c r="F228" s="121"/>
      <c r="G228" s="120"/>
      <c r="H228" s="120"/>
      <c r="I228" s="120"/>
      <c r="J228" s="120"/>
      <c r="K228" s="121"/>
      <c r="L228" s="146"/>
      <c r="M228" s="146"/>
      <c r="N228" s="120"/>
      <c r="O228" s="120"/>
      <c r="P228" s="120"/>
      <c r="Q228" s="120"/>
      <c r="R228" s="120"/>
      <c r="S228" s="120"/>
      <c r="T228" s="120"/>
      <c r="U228" s="120"/>
      <c r="V228" s="159"/>
      <c r="W228" s="159"/>
      <c r="X228" s="159"/>
      <c r="Y228" s="160"/>
      <c r="Z228" s="160"/>
      <c r="AA228" s="160"/>
    </row>
    <row r="229" spans="1:27" ht="17.25" x14ac:dyDescent="0.3">
      <c r="A229" s="161" t="s">
        <v>793</v>
      </c>
      <c r="B229" s="121"/>
      <c r="C229" s="121"/>
      <c r="D229" s="121"/>
      <c r="E229" s="121"/>
      <c r="F229" s="121"/>
      <c r="G229" s="120"/>
      <c r="H229" s="120"/>
      <c r="I229" s="120"/>
      <c r="J229" s="120"/>
      <c r="K229" s="121"/>
      <c r="L229" s="122"/>
      <c r="M229" s="162" t="s">
        <v>665</v>
      </c>
      <c r="N229" s="120"/>
      <c r="O229" s="120"/>
      <c r="P229" s="129" t="s">
        <v>683</v>
      </c>
      <c r="R229" s="372" t="s">
        <v>684</v>
      </c>
      <c r="S229" s="373"/>
      <c r="T229" s="373"/>
      <c r="U229" s="374"/>
      <c r="V229" s="159"/>
      <c r="W229" s="159"/>
      <c r="X229" s="159"/>
      <c r="Y229" s="160"/>
      <c r="Z229" s="160"/>
      <c r="AA229" s="160"/>
    </row>
    <row r="230" spans="1:27" ht="17.25" x14ac:dyDescent="0.3">
      <c r="A230" s="15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59"/>
      <c r="W230" s="159"/>
      <c r="X230" s="159"/>
      <c r="Y230" s="160"/>
      <c r="Z230" s="160"/>
      <c r="AA230" s="160"/>
    </row>
    <row r="231" spans="1:27" ht="17.25" x14ac:dyDescent="0.3">
      <c r="A231" s="156"/>
      <c r="B231" s="157" t="s">
        <v>794</v>
      </c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95"/>
      <c r="W231" s="95"/>
      <c r="X231" s="95"/>
      <c r="Y231" s="96"/>
      <c r="Z231" s="96"/>
      <c r="AA231" s="96"/>
    </row>
    <row r="232" spans="1:27" ht="17.25" x14ac:dyDescent="0.3">
      <c r="A232" s="15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95"/>
      <c r="W232" s="95"/>
      <c r="X232" s="95"/>
      <c r="Y232" s="96"/>
      <c r="Z232" s="96"/>
      <c r="AA232" s="96"/>
    </row>
    <row r="233" spans="1:27" ht="17.25" x14ac:dyDescent="0.3">
      <c r="A233" s="118" t="s">
        <v>784</v>
      </c>
      <c r="B233" s="118"/>
      <c r="C233" s="118"/>
      <c r="D233" s="118"/>
      <c r="E233" s="118"/>
      <c r="F233" s="118"/>
      <c r="G233" s="337"/>
      <c r="H233" s="338"/>
      <c r="I233" s="338"/>
      <c r="J233" s="339"/>
      <c r="K233" s="118"/>
      <c r="L233" s="120"/>
      <c r="M233" s="120"/>
      <c r="N233" s="120"/>
      <c r="O233" s="120"/>
      <c r="P233" s="121"/>
      <c r="Q233" s="121"/>
      <c r="R233" s="121"/>
      <c r="S233" s="121"/>
      <c r="T233" s="121"/>
      <c r="U233" s="121"/>
      <c r="V233" s="95"/>
      <c r="W233" s="95"/>
      <c r="X233" s="95"/>
      <c r="Y233" s="96"/>
      <c r="Z233" s="96"/>
      <c r="AA233" s="96"/>
    </row>
    <row r="234" spans="1:27" ht="17.25" x14ac:dyDescent="0.3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59"/>
      <c r="W234" s="159"/>
      <c r="X234" s="159"/>
      <c r="Y234" s="160"/>
      <c r="Z234" s="160"/>
      <c r="AA234" s="160"/>
    </row>
    <row r="235" spans="1:27" ht="17.25" x14ac:dyDescent="0.3">
      <c r="A235" s="118" t="s">
        <v>785</v>
      </c>
      <c r="B235" s="118"/>
      <c r="C235" s="118"/>
      <c r="D235" s="118"/>
      <c r="E235" s="118"/>
      <c r="F235" s="118"/>
      <c r="G235" s="337"/>
      <c r="H235" s="338"/>
      <c r="I235" s="338"/>
      <c r="J235" s="339"/>
      <c r="K235" s="118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95"/>
      <c r="W235" s="95"/>
      <c r="X235" s="95"/>
      <c r="Y235" s="96"/>
      <c r="Z235" s="96"/>
      <c r="AA235" s="96"/>
    </row>
    <row r="236" spans="1:27" ht="17.25" x14ac:dyDescent="0.3">
      <c r="A236" s="15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95"/>
      <c r="W236" s="95"/>
      <c r="X236" s="95"/>
      <c r="Y236" s="96"/>
      <c r="Z236" s="96"/>
      <c r="AA236" s="96"/>
    </row>
    <row r="237" spans="1:27" ht="17.25" x14ac:dyDescent="0.3">
      <c r="A237" s="118" t="s">
        <v>786</v>
      </c>
      <c r="B237" s="118"/>
      <c r="C237" s="118"/>
      <c r="D237" s="118"/>
      <c r="E237" s="118"/>
      <c r="F237" s="118"/>
      <c r="G237" s="337"/>
      <c r="H237" s="338"/>
      <c r="I237" s="338"/>
      <c r="J237" s="339"/>
      <c r="K237" s="118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95"/>
      <c r="W237" s="95"/>
      <c r="X237" s="95"/>
      <c r="Y237" s="96"/>
      <c r="Z237" s="96"/>
      <c r="AA237" s="96"/>
    </row>
    <row r="238" spans="1:27" ht="17.25" x14ac:dyDescent="0.3">
      <c r="A238" s="15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95"/>
      <c r="W238" s="95"/>
      <c r="X238" s="95"/>
      <c r="Y238" s="96"/>
      <c r="Z238" s="96"/>
      <c r="AA238" s="96"/>
    </row>
    <row r="239" spans="1:27" ht="17.25" x14ac:dyDescent="0.3">
      <c r="A239" s="118" t="s">
        <v>787</v>
      </c>
      <c r="B239" s="118"/>
      <c r="C239" s="118"/>
      <c r="D239" s="118"/>
      <c r="E239" s="118"/>
      <c r="F239" s="118"/>
      <c r="G239" s="337"/>
      <c r="H239" s="338"/>
      <c r="I239" s="338"/>
      <c r="J239" s="339"/>
      <c r="K239" s="118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95"/>
      <c r="W239" s="95"/>
      <c r="X239" s="95"/>
      <c r="Y239" s="96"/>
      <c r="Z239" s="96"/>
      <c r="AA239" s="96"/>
    </row>
    <row r="241" spans="1:27" ht="17.25" x14ac:dyDescent="0.3">
      <c r="A241" s="366" t="s">
        <v>795</v>
      </c>
      <c r="B241" s="367"/>
      <c r="C241" s="367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8"/>
      <c r="V241" s="95"/>
      <c r="W241" s="95"/>
      <c r="X241" s="95"/>
      <c r="Y241" s="96"/>
      <c r="Z241" s="96"/>
      <c r="AA241" s="96"/>
    </row>
    <row r="242" spans="1:27" ht="17.25" x14ac:dyDescent="0.3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8"/>
      <c r="W242" s="148"/>
      <c r="X242" s="148"/>
      <c r="Y242" s="149"/>
      <c r="Z242" s="149"/>
      <c r="AA242" s="149"/>
    </row>
    <row r="243" spans="1:27" ht="17.25" x14ac:dyDescent="0.3">
      <c r="A243" s="137"/>
      <c r="B243" s="132" t="s">
        <v>796</v>
      </c>
      <c r="C243" s="118"/>
      <c r="D243" s="118"/>
      <c r="E243" s="118"/>
      <c r="F243" s="118"/>
      <c r="G243" s="118"/>
      <c r="H243" s="118"/>
      <c r="I243" s="118"/>
      <c r="J243" s="118"/>
      <c r="K243" s="118"/>
      <c r="L243" s="120"/>
      <c r="M243" s="120"/>
      <c r="N243" s="120"/>
      <c r="O243" s="119"/>
      <c r="P243" s="119"/>
      <c r="Q243" s="119"/>
      <c r="R243" s="119"/>
      <c r="S243" s="119"/>
      <c r="T243" s="119"/>
      <c r="U243" s="119"/>
      <c r="V243" s="95"/>
      <c r="W243" s="95"/>
      <c r="X243" s="95"/>
      <c r="Y243" s="96"/>
      <c r="Z243" s="96"/>
      <c r="AA243" s="96"/>
    </row>
    <row r="244" spans="1:27" ht="17.25" x14ac:dyDescent="0.3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20"/>
      <c r="M244" s="120"/>
      <c r="N244" s="120"/>
      <c r="O244" s="120"/>
      <c r="P244" s="121"/>
      <c r="Q244" s="121"/>
      <c r="R244" s="121"/>
      <c r="S244" s="121"/>
      <c r="T244" s="121"/>
      <c r="U244" s="121"/>
      <c r="V244" s="95"/>
      <c r="W244" s="95"/>
      <c r="X244" s="95"/>
      <c r="Y244" s="96"/>
      <c r="Z244" s="96"/>
      <c r="AA244" s="96"/>
    </row>
    <row r="245" spans="1:27" ht="17.25" x14ac:dyDescent="0.3">
      <c r="A245" s="118"/>
      <c r="B245" s="118" t="s">
        <v>797</v>
      </c>
      <c r="C245" s="118"/>
      <c r="D245" s="118"/>
      <c r="E245" s="118"/>
      <c r="F245" s="118"/>
      <c r="G245" s="118"/>
      <c r="H245" s="118"/>
      <c r="I245" s="121"/>
      <c r="J245" s="121"/>
      <c r="K245" s="378" t="s">
        <v>1134</v>
      </c>
      <c r="L245" s="379"/>
      <c r="M245" s="120"/>
      <c r="N245" s="120"/>
      <c r="O245" s="120"/>
      <c r="P245" s="121"/>
      <c r="Q245" s="121"/>
      <c r="R245" s="121"/>
      <c r="S245" s="121"/>
      <c r="T245" s="121"/>
      <c r="U245" s="121"/>
      <c r="V245" s="95"/>
      <c r="W245" s="95"/>
      <c r="X245" s="95"/>
      <c r="Y245" s="96"/>
      <c r="Z245" s="96"/>
      <c r="AA245" s="96"/>
    </row>
    <row r="246" spans="1:27" ht="17.25" x14ac:dyDescent="0.3">
      <c r="A246" s="118"/>
      <c r="B246" s="118"/>
      <c r="C246" s="118"/>
      <c r="D246" s="118"/>
      <c r="E246" s="118"/>
      <c r="F246" s="118"/>
      <c r="G246" s="118"/>
      <c r="H246" s="118"/>
      <c r="I246" s="121"/>
      <c r="J246" s="121"/>
      <c r="K246" s="163"/>
      <c r="L246" s="163"/>
      <c r="M246" s="120"/>
      <c r="N246" s="120"/>
      <c r="O246" s="120"/>
      <c r="P246" s="121"/>
      <c r="Q246" s="121"/>
      <c r="R246" s="121"/>
      <c r="S246" s="121"/>
      <c r="T246" s="121"/>
      <c r="U246" s="121"/>
      <c r="V246" s="95"/>
      <c r="W246" s="95"/>
      <c r="X246" s="95"/>
      <c r="Y246" s="96"/>
      <c r="Z246" s="96"/>
      <c r="AA246" s="96"/>
    </row>
    <row r="247" spans="1:27" ht="17.25" x14ac:dyDescent="0.3">
      <c r="A247" s="118"/>
      <c r="B247" s="118" t="s">
        <v>798</v>
      </c>
      <c r="C247" s="118"/>
      <c r="D247" s="118"/>
      <c r="E247" s="118"/>
      <c r="F247" s="118"/>
      <c r="G247" s="118"/>
      <c r="H247" s="118"/>
      <c r="I247" s="365"/>
      <c r="J247" s="365"/>
      <c r="K247" s="375" t="s">
        <v>1133</v>
      </c>
      <c r="L247" s="375"/>
      <c r="M247" s="120"/>
      <c r="N247" s="120"/>
      <c r="O247" s="120"/>
      <c r="P247" s="121"/>
      <c r="Q247" s="121"/>
      <c r="R247" s="121"/>
      <c r="S247" s="121"/>
      <c r="T247" s="121"/>
      <c r="U247" s="121"/>
      <c r="V247" s="95"/>
      <c r="W247" s="95"/>
      <c r="X247" s="95"/>
      <c r="Y247" s="96"/>
      <c r="Z247" s="96"/>
      <c r="AA247" s="96"/>
    </row>
    <row r="248" spans="1:27" ht="17.25" x14ac:dyDescent="0.3">
      <c r="A248" s="118"/>
      <c r="B248" s="118"/>
      <c r="C248" s="118"/>
      <c r="D248" s="118"/>
      <c r="E248" s="118"/>
      <c r="F248" s="118"/>
      <c r="G248" s="118"/>
      <c r="H248" s="118"/>
      <c r="I248" s="121"/>
      <c r="J248" s="121"/>
      <c r="K248" s="163"/>
      <c r="L248" s="163"/>
      <c r="M248" s="120"/>
      <c r="N248" s="120"/>
      <c r="O248" s="120"/>
      <c r="P248" s="121"/>
      <c r="Q248" s="121"/>
      <c r="R248" s="121"/>
      <c r="S248" s="121"/>
      <c r="T248" s="121"/>
      <c r="U248" s="121"/>
      <c r="V248" s="95"/>
      <c r="W248" s="95"/>
      <c r="X248" s="95"/>
      <c r="Y248" s="96"/>
      <c r="Z248" s="96"/>
      <c r="AA248" s="96"/>
    </row>
    <row r="249" spans="1:27" ht="17.25" x14ac:dyDescent="0.3">
      <c r="A249" s="118"/>
      <c r="B249" s="118" t="s">
        <v>799</v>
      </c>
      <c r="C249" s="118"/>
      <c r="D249" s="118"/>
      <c r="E249" s="118"/>
      <c r="F249" s="118"/>
      <c r="G249" s="118"/>
      <c r="H249" s="118"/>
      <c r="I249" s="365"/>
      <c r="J249" s="365"/>
      <c r="K249" s="375" t="s">
        <v>1132</v>
      </c>
      <c r="L249" s="375"/>
      <c r="M249" s="120"/>
      <c r="N249" s="120"/>
      <c r="O249" s="120"/>
      <c r="P249" s="121"/>
      <c r="Q249" s="121"/>
      <c r="R249" s="121"/>
      <c r="S249" s="121"/>
      <c r="T249" s="121"/>
      <c r="U249" s="121"/>
      <c r="V249" s="95"/>
      <c r="W249" s="95"/>
      <c r="X249" s="95"/>
      <c r="Y249" s="96"/>
      <c r="Z249" s="96"/>
      <c r="AA249" s="96"/>
    </row>
    <row r="250" spans="1:27" ht="17.25" x14ac:dyDescent="0.3">
      <c r="A250" s="118"/>
      <c r="B250" s="118"/>
      <c r="C250" s="118"/>
      <c r="D250" s="118"/>
      <c r="E250" s="118"/>
      <c r="F250" s="118"/>
      <c r="G250" s="118"/>
      <c r="H250" s="118"/>
      <c r="I250" s="121"/>
      <c r="J250" s="121"/>
      <c r="K250" s="163"/>
      <c r="L250" s="163"/>
      <c r="M250" s="120"/>
      <c r="N250" s="120"/>
      <c r="O250" s="120"/>
      <c r="P250" s="121"/>
      <c r="Q250" s="121"/>
      <c r="R250" s="121"/>
      <c r="S250" s="121"/>
      <c r="T250" s="121"/>
      <c r="U250" s="121"/>
      <c r="V250" s="95"/>
      <c r="W250" s="95"/>
      <c r="X250" s="95"/>
      <c r="Y250" s="96"/>
      <c r="Z250" s="96"/>
      <c r="AA250" s="96"/>
    </row>
    <row r="251" spans="1:27" ht="17.25" x14ac:dyDescent="0.3">
      <c r="A251" s="118"/>
      <c r="B251" s="118" t="s">
        <v>800</v>
      </c>
      <c r="C251" s="118"/>
      <c r="D251" s="118"/>
      <c r="E251" s="118"/>
      <c r="F251" s="118"/>
      <c r="G251" s="118"/>
      <c r="H251" s="118"/>
      <c r="I251" s="376"/>
      <c r="J251" s="376"/>
      <c r="K251" s="377" t="s">
        <v>1131</v>
      </c>
      <c r="L251" s="375"/>
      <c r="M251" s="120"/>
      <c r="N251" s="120"/>
      <c r="O251" s="120"/>
      <c r="P251" s="121"/>
      <c r="Q251" s="121"/>
      <c r="R251" s="121"/>
      <c r="S251" s="121"/>
      <c r="T251" s="121"/>
      <c r="U251" s="121"/>
      <c r="V251" s="95"/>
      <c r="W251" s="95"/>
      <c r="X251" s="95"/>
      <c r="Y251" s="96"/>
      <c r="Z251" s="96"/>
      <c r="AA251" s="96"/>
    </row>
    <row r="252" spans="1:27" ht="17.25" x14ac:dyDescent="0.3">
      <c r="A252" s="118"/>
      <c r="B252" s="118"/>
      <c r="C252" s="118"/>
      <c r="D252" s="118"/>
      <c r="E252" s="118"/>
      <c r="F252" s="118"/>
      <c r="G252" s="118"/>
      <c r="H252" s="118"/>
      <c r="I252" s="121"/>
      <c r="J252" s="121"/>
      <c r="K252" s="163"/>
      <c r="L252" s="163"/>
      <c r="M252" s="120"/>
      <c r="N252" s="120"/>
      <c r="O252" s="120"/>
      <c r="P252" s="121"/>
      <c r="Q252" s="121"/>
      <c r="R252" s="121"/>
      <c r="S252" s="121"/>
      <c r="T252" s="121"/>
      <c r="U252" s="121"/>
      <c r="V252" s="95"/>
      <c r="W252" s="95"/>
      <c r="X252" s="95"/>
      <c r="Y252" s="96"/>
      <c r="Z252" s="96"/>
      <c r="AA252" s="96"/>
    </row>
    <row r="253" spans="1:27" ht="17.25" x14ac:dyDescent="0.3">
      <c r="A253" s="118"/>
      <c r="B253" s="118" t="s">
        <v>589</v>
      </c>
      <c r="C253" s="118"/>
      <c r="D253" s="118"/>
      <c r="E253" s="118"/>
      <c r="F253" s="118"/>
      <c r="G253" s="118"/>
      <c r="H253" s="118"/>
      <c r="I253" s="365"/>
      <c r="J253" s="365"/>
      <c r="K253" s="382">
        <v>45413</v>
      </c>
      <c r="L253" s="383"/>
      <c r="M253" s="120"/>
      <c r="N253" s="120"/>
      <c r="O253" s="120"/>
      <c r="P253" s="121"/>
      <c r="Q253" s="121"/>
      <c r="R253" s="121"/>
      <c r="S253" s="121"/>
      <c r="T253" s="121"/>
      <c r="U253" s="121"/>
      <c r="V253" s="95"/>
      <c r="W253" s="95"/>
      <c r="X253" s="95"/>
      <c r="Y253" s="96"/>
      <c r="Z253" s="96"/>
      <c r="AA253" s="96"/>
    </row>
    <row r="254" spans="1:27" ht="15.75" x14ac:dyDescent="0.25">
      <c r="B254" s="164"/>
      <c r="K254" s="146" t="s">
        <v>788</v>
      </c>
      <c r="L254" s="146" t="s">
        <v>665</v>
      </c>
    </row>
    <row r="255" spans="1:27" x14ac:dyDescent="0.25">
      <c r="B255" s="118" t="s">
        <v>801</v>
      </c>
      <c r="K255" s="122" t="s">
        <v>788</v>
      </c>
      <c r="L255" s="165"/>
    </row>
    <row r="257" spans="1:27" ht="17.25" x14ac:dyDescent="0.3">
      <c r="A257" s="137"/>
      <c r="B257" s="132" t="s">
        <v>802</v>
      </c>
      <c r="C257" s="118"/>
      <c r="D257" s="118"/>
      <c r="E257" s="118"/>
      <c r="F257" s="118"/>
      <c r="G257" s="118"/>
      <c r="H257" s="118"/>
      <c r="I257" s="118"/>
      <c r="J257" s="118"/>
      <c r="K257" s="118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95"/>
      <c r="W257" s="95"/>
      <c r="X257" s="95"/>
      <c r="Y257" s="96"/>
      <c r="Z257" s="96"/>
      <c r="AA257" s="96"/>
    </row>
    <row r="258" spans="1:27" ht="17.25" x14ac:dyDescent="0.3">
      <c r="A258" s="118"/>
      <c r="B258" s="118"/>
      <c r="C258" s="118"/>
      <c r="D258" s="118"/>
      <c r="E258" s="118"/>
      <c r="F258" s="118"/>
      <c r="G258" s="118"/>
      <c r="H258" s="118"/>
      <c r="I258" s="121"/>
      <c r="J258" s="121"/>
      <c r="K258" s="118"/>
      <c r="L258" s="118"/>
      <c r="M258" s="120"/>
      <c r="N258" s="120"/>
      <c r="O258" s="120"/>
      <c r="P258" s="121"/>
      <c r="Q258" s="118"/>
      <c r="R258" s="118"/>
      <c r="S258" s="121"/>
      <c r="T258" s="121"/>
      <c r="U258" s="121"/>
      <c r="V258" s="95"/>
      <c r="W258" s="95"/>
      <c r="X258" s="95"/>
      <c r="Y258" s="96"/>
      <c r="Z258" s="96"/>
      <c r="AA258" s="96"/>
    </row>
    <row r="259" spans="1:27" ht="17.25" x14ac:dyDescent="0.3">
      <c r="A259" s="118"/>
      <c r="B259" s="118" t="s">
        <v>803</v>
      </c>
      <c r="C259" s="118"/>
      <c r="D259" s="118"/>
      <c r="E259" s="118"/>
      <c r="F259" s="118"/>
      <c r="G259" s="118"/>
      <c r="H259" s="118"/>
      <c r="I259" s="365"/>
      <c r="J259" s="365"/>
      <c r="K259" s="380"/>
      <c r="L259" s="380"/>
      <c r="M259" s="120"/>
      <c r="N259" s="120"/>
      <c r="O259" s="120"/>
      <c r="P259" s="121"/>
      <c r="Q259" s="118"/>
      <c r="R259" s="118"/>
      <c r="S259" s="121"/>
      <c r="T259" s="121"/>
      <c r="U259" s="121"/>
      <c r="V259" s="95"/>
      <c r="W259" s="95"/>
      <c r="X259" s="95"/>
      <c r="Y259" s="96"/>
      <c r="Z259" s="96"/>
      <c r="AA259" s="96"/>
    </row>
    <row r="260" spans="1:27" ht="17.25" x14ac:dyDescent="0.3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20"/>
      <c r="M260" s="120"/>
      <c r="N260" s="120"/>
      <c r="O260" s="120"/>
      <c r="P260" s="121"/>
      <c r="Q260" s="121"/>
      <c r="R260" s="121"/>
      <c r="S260" s="121"/>
      <c r="T260" s="121"/>
      <c r="U260" s="121"/>
      <c r="V260" s="95"/>
      <c r="W260" s="95"/>
      <c r="X260" s="95"/>
      <c r="Y260" s="96"/>
      <c r="Z260" s="96"/>
      <c r="AA260" s="96"/>
    </row>
    <row r="261" spans="1:27" ht="17.25" x14ac:dyDescent="0.3">
      <c r="A261" s="118"/>
      <c r="B261" s="118" t="s">
        <v>804</v>
      </c>
      <c r="C261" s="118"/>
      <c r="D261" s="118"/>
      <c r="E261" s="118"/>
      <c r="F261" s="118"/>
      <c r="G261" s="118"/>
      <c r="H261" s="118"/>
      <c r="I261" s="121"/>
      <c r="J261" s="121"/>
      <c r="K261" s="380"/>
      <c r="L261" s="380"/>
      <c r="M261" s="120"/>
      <c r="N261" s="120"/>
      <c r="O261" s="120"/>
      <c r="P261" s="121"/>
      <c r="Q261" s="166"/>
      <c r="R261" s="167"/>
      <c r="S261" s="121"/>
      <c r="T261" s="121"/>
      <c r="U261" s="121"/>
      <c r="V261" s="95"/>
      <c r="W261" s="95"/>
      <c r="X261" s="95"/>
      <c r="Y261" s="96"/>
      <c r="Z261" s="96"/>
      <c r="AA261" s="96"/>
    </row>
    <row r="262" spans="1:27" ht="17.25" x14ac:dyDescent="0.3">
      <c r="A262" s="118"/>
      <c r="B262" s="118"/>
      <c r="C262" s="118"/>
      <c r="D262" s="118"/>
      <c r="E262" s="118"/>
      <c r="F262" s="118"/>
      <c r="G262" s="118"/>
      <c r="H262" s="118"/>
      <c r="I262" s="121"/>
      <c r="J262" s="121"/>
      <c r="K262" s="118"/>
      <c r="L262" s="118"/>
      <c r="M262" s="120"/>
      <c r="N262" s="120"/>
      <c r="O262" s="120"/>
      <c r="P262" s="121"/>
      <c r="Q262" s="118"/>
      <c r="R262" s="118"/>
      <c r="S262" s="121"/>
      <c r="T262" s="121"/>
      <c r="U262" s="121"/>
      <c r="V262" s="95"/>
      <c r="W262" s="95"/>
      <c r="X262" s="95"/>
      <c r="Y262" s="96"/>
      <c r="Z262" s="96"/>
      <c r="AA262" s="96"/>
    </row>
    <row r="263" spans="1:27" ht="17.25" x14ac:dyDescent="0.3">
      <c r="A263" s="118"/>
      <c r="B263" s="118" t="s">
        <v>798</v>
      </c>
      <c r="C263" s="118"/>
      <c r="D263" s="118"/>
      <c r="E263" s="118"/>
      <c r="F263" s="118"/>
      <c r="G263" s="118"/>
      <c r="H263" s="118"/>
      <c r="I263" s="365"/>
      <c r="J263" s="365"/>
      <c r="K263" s="380"/>
      <c r="L263" s="380"/>
      <c r="M263" s="120"/>
      <c r="N263" s="120"/>
      <c r="O263" s="120"/>
      <c r="P263" s="121"/>
      <c r="Q263" s="380"/>
      <c r="R263" s="380"/>
      <c r="S263" s="121"/>
      <c r="T263" s="121"/>
      <c r="U263" s="121"/>
      <c r="V263" s="95"/>
      <c r="W263" s="95"/>
      <c r="X263" s="95"/>
      <c r="Y263" s="96"/>
      <c r="Z263" s="96"/>
      <c r="AA263" s="96"/>
    </row>
    <row r="264" spans="1:27" ht="17.25" x14ac:dyDescent="0.3">
      <c r="A264" s="118"/>
      <c r="B264" s="118"/>
      <c r="C264" s="118"/>
      <c r="D264" s="118"/>
      <c r="E264" s="118"/>
      <c r="F264" s="118"/>
      <c r="G264" s="118"/>
      <c r="H264" s="118"/>
      <c r="I264" s="121"/>
      <c r="J264" s="121"/>
      <c r="K264" s="118"/>
      <c r="L264" s="118"/>
      <c r="M264" s="120"/>
      <c r="N264" s="120"/>
      <c r="O264" s="120"/>
      <c r="P264" s="121"/>
      <c r="Q264" s="118"/>
      <c r="R264" s="118"/>
      <c r="S264" s="121"/>
      <c r="T264" s="121"/>
      <c r="U264" s="121"/>
      <c r="V264" s="95"/>
      <c r="W264" s="95"/>
      <c r="X264" s="95"/>
      <c r="Y264" s="96"/>
      <c r="Z264" s="96"/>
      <c r="AA264" s="96"/>
    </row>
    <row r="265" spans="1:27" ht="17.25" x14ac:dyDescent="0.3">
      <c r="A265" s="118"/>
      <c r="B265" s="118" t="s">
        <v>799</v>
      </c>
      <c r="C265" s="118"/>
      <c r="D265" s="118"/>
      <c r="E265" s="118"/>
      <c r="F265" s="118"/>
      <c r="G265" s="118"/>
      <c r="H265" s="118"/>
      <c r="I265" s="365"/>
      <c r="J265" s="365"/>
      <c r="K265" s="380"/>
      <c r="L265" s="380"/>
      <c r="M265" s="120"/>
      <c r="N265" s="120"/>
      <c r="O265" s="120"/>
      <c r="P265" s="121"/>
      <c r="Q265" s="380"/>
      <c r="R265" s="380"/>
      <c r="S265" s="121"/>
      <c r="T265" s="121"/>
      <c r="U265" s="121"/>
      <c r="V265" s="95"/>
      <c r="W265" s="95"/>
      <c r="X265" s="95"/>
      <c r="Y265" s="96"/>
      <c r="Z265" s="96"/>
      <c r="AA265" s="96"/>
    </row>
    <row r="266" spans="1:27" ht="17.25" x14ac:dyDescent="0.3">
      <c r="A266" s="118"/>
      <c r="B266" s="118"/>
      <c r="C266" s="118"/>
      <c r="D266" s="118"/>
      <c r="E266" s="118"/>
      <c r="F266" s="118"/>
      <c r="G266" s="118"/>
      <c r="H266" s="118"/>
      <c r="I266" s="121"/>
      <c r="J266" s="121"/>
      <c r="K266" s="118"/>
      <c r="L266" s="118"/>
      <c r="M266" s="120"/>
      <c r="N266" s="120"/>
      <c r="O266" s="120"/>
      <c r="P266" s="121"/>
      <c r="Q266" s="118"/>
      <c r="R266" s="118"/>
      <c r="S266" s="121"/>
      <c r="T266" s="121"/>
      <c r="U266" s="121"/>
      <c r="V266" s="95"/>
      <c r="W266" s="95"/>
      <c r="X266" s="95"/>
      <c r="Y266" s="96"/>
      <c r="Z266" s="96"/>
      <c r="AA266" s="96"/>
    </row>
    <row r="267" spans="1:27" ht="17.25" x14ac:dyDescent="0.3">
      <c r="A267" s="118"/>
      <c r="B267" s="118" t="s">
        <v>800</v>
      </c>
      <c r="C267" s="118"/>
      <c r="D267" s="118"/>
      <c r="E267" s="118"/>
      <c r="F267" s="118"/>
      <c r="G267" s="118"/>
      <c r="H267" s="118"/>
      <c r="I267" s="376"/>
      <c r="J267" s="376"/>
      <c r="K267" s="381"/>
      <c r="L267" s="381"/>
      <c r="M267" s="120"/>
      <c r="N267" s="120"/>
      <c r="O267" s="120"/>
      <c r="P267" s="121"/>
      <c r="Q267" s="381"/>
      <c r="R267" s="381"/>
      <c r="S267" s="121"/>
      <c r="T267" s="121"/>
      <c r="U267" s="121"/>
      <c r="V267" s="95"/>
      <c r="W267" s="95"/>
      <c r="X267" s="95"/>
      <c r="Y267" s="96"/>
      <c r="Z267" s="96"/>
      <c r="AA267" s="96"/>
    </row>
    <row r="268" spans="1:27" ht="17.25" x14ac:dyDescent="0.3">
      <c r="A268" s="118"/>
      <c r="B268" s="118"/>
      <c r="C268" s="118"/>
      <c r="D268" s="118"/>
      <c r="E268" s="118"/>
      <c r="F268" s="118"/>
      <c r="G268" s="118"/>
      <c r="H268" s="118"/>
      <c r="I268" s="121"/>
      <c r="J268" s="121"/>
      <c r="K268" s="118"/>
      <c r="L268" s="118"/>
      <c r="M268" s="120"/>
      <c r="N268" s="120"/>
      <c r="O268" s="120"/>
      <c r="P268" s="121"/>
      <c r="Q268" s="118"/>
      <c r="R268" s="118"/>
      <c r="S268" s="121"/>
      <c r="T268" s="121"/>
      <c r="U268" s="121"/>
      <c r="V268" s="95"/>
      <c r="W268" s="95"/>
      <c r="X268" s="95"/>
      <c r="Y268" s="96"/>
      <c r="Z268" s="96"/>
      <c r="AA268" s="96"/>
    </row>
    <row r="269" spans="1:27" ht="17.25" x14ac:dyDescent="0.3">
      <c r="A269" s="118"/>
      <c r="B269" s="118" t="s">
        <v>589</v>
      </c>
      <c r="C269" s="118"/>
      <c r="D269" s="118"/>
      <c r="E269" s="118"/>
      <c r="F269" s="118"/>
      <c r="G269" s="118"/>
      <c r="H269" s="118"/>
      <c r="I269" s="365"/>
      <c r="J269" s="365"/>
      <c r="K269" s="380"/>
      <c r="L269" s="380"/>
      <c r="M269" s="120"/>
      <c r="N269" s="120"/>
      <c r="O269" s="120"/>
      <c r="P269" s="121"/>
      <c r="Q269" s="380"/>
      <c r="R269" s="380"/>
      <c r="S269" s="121"/>
      <c r="T269" s="121"/>
      <c r="U269" s="121"/>
      <c r="V269" s="95"/>
      <c r="W269" s="95"/>
      <c r="X269" s="95"/>
      <c r="Y269" s="96"/>
      <c r="Z269" s="96"/>
      <c r="AA269" s="96"/>
    </row>
    <row r="271" spans="1:27" ht="17.25" x14ac:dyDescent="0.3">
      <c r="A271" s="366" t="s">
        <v>805</v>
      </c>
      <c r="B271" s="367"/>
      <c r="C271" s="367"/>
      <c r="D271" s="367"/>
      <c r="E271" s="367"/>
      <c r="F271" s="367"/>
      <c r="G271" s="367"/>
      <c r="H271" s="367"/>
      <c r="I271" s="367"/>
      <c r="J271" s="367"/>
      <c r="K271" s="367"/>
      <c r="L271" s="367"/>
      <c r="M271" s="367"/>
      <c r="N271" s="367"/>
      <c r="O271" s="367"/>
      <c r="P271" s="367"/>
      <c r="Q271" s="367"/>
      <c r="R271" s="367"/>
      <c r="S271" s="367"/>
      <c r="T271" s="367"/>
      <c r="U271" s="368"/>
      <c r="V271" s="95"/>
      <c r="W271" s="95"/>
      <c r="X271" s="95"/>
      <c r="Y271" s="96"/>
      <c r="Z271" s="96"/>
      <c r="AA271" s="96"/>
    </row>
    <row r="272" spans="1:27" ht="17.25" x14ac:dyDescent="0.3">
      <c r="A272" s="137"/>
      <c r="B272" s="132" t="s">
        <v>806</v>
      </c>
      <c r="C272" s="118"/>
      <c r="D272" s="118"/>
      <c r="E272" s="118"/>
      <c r="F272" s="118"/>
      <c r="G272" s="118"/>
      <c r="H272" s="118"/>
      <c r="I272" s="118"/>
      <c r="J272" s="118"/>
      <c r="K272" s="118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95"/>
      <c r="W272" s="95"/>
      <c r="X272" s="95"/>
      <c r="Y272" s="96"/>
      <c r="Z272" s="96"/>
      <c r="AA272" s="96"/>
    </row>
    <row r="273" spans="1:27" ht="17.25" x14ac:dyDescent="0.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95"/>
      <c r="W273" s="95"/>
      <c r="X273" s="95"/>
      <c r="Y273" s="96"/>
      <c r="Z273" s="96"/>
      <c r="AA273" s="96"/>
    </row>
    <row r="274" spans="1:27" ht="17.25" x14ac:dyDescent="0.3">
      <c r="A274" s="118"/>
      <c r="B274" s="118" t="s">
        <v>807</v>
      </c>
      <c r="C274" s="118"/>
      <c r="D274" s="118"/>
      <c r="E274" s="118"/>
      <c r="F274" s="118"/>
      <c r="G274" s="118"/>
      <c r="H274" s="118"/>
      <c r="I274" s="337"/>
      <c r="J274" s="338"/>
      <c r="K274" s="339"/>
      <c r="L274" s="119"/>
      <c r="M274" s="120"/>
      <c r="N274" s="120"/>
      <c r="O274" s="120"/>
      <c r="P274" s="120"/>
      <c r="Q274" s="365"/>
      <c r="R274" s="365"/>
      <c r="S274" s="365"/>
      <c r="T274" s="365"/>
      <c r="U274" s="365"/>
      <c r="V274" s="95"/>
      <c r="W274" s="95"/>
      <c r="X274" s="95"/>
      <c r="Y274" s="96"/>
      <c r="Z274" s="96"/>
      <c r="AA274" s="96"/>
    </row>
    <row r="275" spans="1:27" ht="17.25" x14ac:dyDescent="0.3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9"/>
      <c r="M275" s="120"/>
      <c r="N275" s="120"/>
      <c r="O275" s="120"/>
      <c r="P275" s="120"/>
      <c r="Q275" s="120"/>
      <c r="R275" s="120"/>
      <c r="S275" s="120"/>
      <c r="T275" s="120"/>
      <c r="U275" s="120"/>
      <c r="V275" s="95"/>
      <c r="W275" s="95"/>
      <c r="X275" s="95"/>
      <c r="Y275" s="96"/>
      <c r="Z275" s="96"/>
      <c r="AA275" s="96"/>
    </row>
    <row r="276" spans="1:27" ht="17.25" x14ac:dyDescent="0.3">
      <c r="A276" s="118"/>
      <c r="B276" s="118" t="s">
        <v>808</v>
      </c>
      <c r="C276" s="118"/>
      <c r="D276" s="118"/>
      <c r="E276" s="118"/>
      <c r="F276" s="118"/>
      <c r="G276" s="118"/>
      <c r="H276" s="118"/>
      <c r="I276" s="384"/>
      <c r="J276" s="385"/>
      <c r="K276" s="386"/>
      <c r="L276" s="119"/>
      <c r="M276" s="384"/>
      <c r="N276" s="385"/>
      <c r="O276" s="386"/>
      <c r="P276" s="119"/>
      <c r="Q276" s="120"/>
      <c r="R276" s="120"/>
      <c r="S276" s="121"/>
      <c r="T276" s="121"/>
      <c r="U276" s="121"/>
      <c r="V276" s="95"/>
      <c r="W276" s="95"/>
      <c r="X276" s="95"/>
      <c r="Y276" s="96"/>
      <c r="Z276" s="96"/>
      <c r="AA276" s="96"/>
    </row>
    <row r="277" spans="1:27" ht="17.25" x14ac:dyDescent="0.3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9"/>
      <c r="M277" s="120"/>
      <c r="N277" s="120"/>
      <c r="O277" s="120"/>
      <c r="P277" s="120"/>
      <c r="Q277" s="121"/>
      <c r="R277" s="121"/>
      <c r="S277" s="121"/>
      <c r="T277" s="121"/>
      <c r="U277" s="121"/>
      <c r="V277" s="95"/>
      <c r="W277" s="95"/>
      <c r="X277" s="95"/>
      <c r="Y277" s="96"/>
      <c r="Z277" s="96"/>
      <c r="AA277" s="96"/>
    </row>
    <row r="278" spans="1:27" ht="17.25" x14ac:dyDescent="0.3">
      <c r="A278" s="118"/>
      <c r="B278" s="118" t="s">
        <v>810</v>
      </c>
      <c r="C278" s="118"/>
      <c r="D278" s="118"/>
      <c r="E278" s="118"/>
      <c r="F278" s="118"/>
      <c r="G278" s="118"/>
      <c r="H278" s="118"/>
      <c r="I278" s="337"/>
      <c r="J278" s="338"/>
      <c r="K278" s="339"/>
      <c r="L278" s="119"/>
      <c r="M278" s="120"/>
      <c r="N278" s="120"/>
      <c r="O278" s="120"/>
      <c r="P278" s="120"/>
      <c r="Q278" s="120"/>
      <c r="R278" s="120"/>
      <c r="S278" s="121"/>
      <c r="T278" s="121"/>
      <c r="U278" s="121"/>
      <c r="V278" s="95"/>
      <c r="W278" s="95"/>
      <c r="X278" s="95"/>
      <c r="Y278" s="96"/>
      <c r="Z278" s="96"/>
      <c r="AA278" s="96"/>
    </row>
    <row r="279" spans="1:27" ht="17.25" x14ac:dyDescent="0.3">
      <c r="A279" s="118"/>
      <c r="B279" s="118"/>
      <c r="C279" s="118"/>
      <c r="D279" s="118"/>
      <c r="E279" s="118"/>
      <c r="F279" s="118"/>
      <c r="G279" s="118"/>
      <c r="H279" s="118"/>
      <c r="I279" s="121"/>
      <c r="J279" s="121"/>
      <c r="K279" s="121"/>
      <c r="L279" s="119"/>
      <c r="M279" s="120"/>
      <c r="N279" s="120"/>
      <c r="O279" s="120"/>
      <c r="P279" s="120"/>
      <c r="Q279" s="121"/>
      <c r="R279" s="121"/>
      <c r="S279" s="121"/>
      <c r="T279" s="121"/>
      <c r="U279" s="121"/>
      <c r="V279" s="95"/>
      <c r="W279" s="95"/>
      <c r="X279" s="95"/>
      <c r="Y279" s="96"/>
      <c r="Z279" s="96"/>
      <c r="AA279" s="96"/>
    </row>
    <row r="280" spans="1:27" ht="17.25" x14ac:dyDescent="0.3">
      <c r="A280" s="118"/>
      <c r="B280" s="118" t="s">
        <v>811</v>
      </c>
      <c r="C280" s="118"/>
      <c r="D280" s="118"/>
      <c r="E280" s="118"/>
      <c r="F280" s="118"/>
      <c r="G280" s="118"/>
      <c r="H280" s="118"/>
      <c r="I280" s="337"/>
      <c r="J280" s="338"/>
      <c r="K280" s="339"/>
      <c r="L280" s="119"/>
      <c r="M280" s="120"/>
      <c r="N280" s="120"/>
      <c r="O280" s="120"/>
      <c r="P280" s="120"/>
      <c r="Q280" s="120"/>
      <c r="R280" s="120"/>
      <c r="S280" s="121"/>
      <c r="T280" s="121"/>
      <c r="U280" s="121"/>
      <c r="V280" s="95"/>
      <c r="W280" s="95"/>
      <c r="X280" s="95"/>
      <c r="Y280" s="96"/>
      <c r="Z280" s="96"/>
      <c r="AA280" s="96"/>
    </row>
    <row r="281" spans="1:27" ht="17.25" x14ac:dyDescent="0.3">
      <c r="A281" s="118"/>
      <c r="B281" s="118"/>
      <c r="C281" s="118"/>
      <c r="D281" s="118"/>
      <c r="E281" s="118"/>
      <c r="F281" s="118"/>
      <c r="G281" s="118"/>
      <c r="H281" s="118"/>
      <c r="I281" s="121"/>
      <c r="J281" s="121"/>
      <c r="K281" s="121"/>
      <c r="L281" s="119"/>
      <c r="M281" s="120"/>
      <c r="N281" s="120"/>
      <c r="O281" s="120"/>
      <c r="P281" s="120"/>
      <c r="Q281" s="121"/>
      <c r="R281" s="121"/>
      <c r="S281" s="121"/>
      <c r="T281" s="121"/>
      <c r="U281" s="121"/>
      <c r="V281" s="95"/>
      <c r="W281" s="95"/>
      <c r="X281" s="95"/>
      <c r="Y281" s="96"/>
      <c r="Z281" s="96"/>
      <c r="AA281" s="96"/>
    </row>
    <row r="282" spans="1:27" ht="17.25" x14ac:dyDescent="0.3">
      <c r="A282" s="118"/>
      <c r="B282" s="118" t="s">
        <v>812</v>
      </c>
      <c r="C282" s="118"/>
      <c r="D282" s="118"/>
      <c r="E282" s="118"/>
      <c r="F282" s="118"/>
      <c r="G282" s="118"/>
      <c r="H282" s="118"/>
      <c r="I282" s="168"/>
      <c r="J282" s="168"/>
      <c r="K282" s="168"/>
      <c r="L282" s="168"/>
      <c r="M282" s="120"/>
      <c r="N282" s="120"/>
      <c r="O282" s="120"/>
      <c r="P282" s="120"/>
      <c r="Q282" s="120"/>
      <c r="R282" s="120"/>
      <c r="S282" s="120"/>
      <c r="T282" s="121"/>
      <c r="U282" s="121"/>
      <c r="V282" s="95"/>
      <c r="W282" s="95"/>
      <c r="X282" s="95"/>
      <c r="Y282" s="96"/>
      <c r="Z282" s="96"/>
      <c r="AA282" s="96"/>
    </row>
    <row r="283" spans="1:27" ht="17.25" x14ac:dyDescent="0.3">
      <c r="A283" s="118"/>
      <c r="B283" s="118"/>
      <c r="C283" s="118"/>
      <c r="D283" s="118"/>
      <c r="E283" s="118"/>
      <c r="F283" s="118"/>
      <c r="G283" s="118"/>
      <c r="H283" s="118"/>
      <c r="I283" s="121"/>
      <c r="J283" s="121"/>
      <c r="K283" s="121"/>
      <c r="L283" s="119"/>
      <c r="M283" s="120"/>
      <c r="N283" s="120"/>
      <c r="O283" s="120"/>
      <c r="P283" s="120"/>
      <c r="Q283" s="121"/>
      <c r="R283" s="121"/>
      <c r="S283" s="121"/>
      <c r="T283" s="121"/>
      <c r="U283" s="121"/>
      <c r="V283" s="95"/>
      <c r="W283" s="95"/>
      <c r="X283" s="95"/>
      <c r="Y283" s="96"/>
      <c r="Z283" s="96"/>
      <c r="AA283" s="96"/>
    </row>
    <row r="284" spans="1:27" ht="17.25" x14ac:dyDescent="0.3">
      <c r="A284" s="118"/>
      <c r="B284" s="118" t="s">
        <v>813</v>
      </c>
      <c r="C284" s="118"/>
      <c r="D284" s="118"/>
      <c r="E284" s="118"/>
      <c r="F284" s="118"/>
      <c r="G284" s="118"/>
      <c r="H284" s="118"/>
      <c r="I284" s="387"/>
      <c r="J284" s="388"/>
      <c r="K284" s="337"/>
      <c r="L284" s="339"/>
      <c r="M284" s="119"/>
      <c r="N284" s="120"/>
      <c r="O284" s="120"/>
      <c r="P284" s="120"/>
      <c r="Q284" s="120"/>
      <c r="R284" s="120"/>
      <c r="S284" s="121"/>
      <c r="T284" s="121"/>
      <c r="U284" s="121"/>
      <c r="V284" s="95"/>
      <c r="W284" s="95"/>
      <c r="X284" s="95"/>
      <c r="Y284" s="96"/>
      <c r="Z284" s="96"/>
      <c r="AA284" s="96"/>
    </row>
    <row r="285" spans="1:27" ht="17.25" x14ac:dyDescent="0.3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19"/>
      <c r="M285" s="120"/>
      <c r="N285" s="120"/>
      <c r="O285" s="120"/>
      <c r="P285" s="120"/>
      <c r="Q285" s="121"/>
      <c r="R285" s="121"/>
      <c r="S285" s="121"/>
      <c r="T285" s="121"/>
      <c r="U285" s="121"/>
      <c r="V285" s="95"/>
      <c r="W285" s="95"/>
      <c r="X285" s="95"/>
      <c r="Y285" s="96"/>
      <c r="Z285" s="96"/>
      <c r="AA285" s="96"/>
    </row>
    <row r="286" spans="1:27" ht="17.25" x14ac:dyDescent="0.3">
      <c r="A286" s="134"/>
      <c r="B286" s="134" t="s">
        <v>814</v>
      </c>
      <c r="C286" s="134"/>
      <c r="D286" s="134"/>
      <c r="E286" s="134"/>
      <c r="F286" s="134"/>
      <c r="G286" s="134"/>
      <c r="H286" s="134"/>
      <c r="I286" s="134"/>
      <c r="J286" s="380"/>
      <c r="K286" s="380"/>
      <c r="L286" s="119"/>
      <c r="M286" s="120"/>
      <c r="N286" s="120"/>
      <c r="O286" s="120"/>
      <c r="P286" s="120"/>
      <c r="Q286" s="120"/>
      <c r="R286" s="120"/>
      <c r="S286" s="121"/>
      <c r="T286" s="121"/>
      <c r="U286" s="121"/>
      <c r="V286" s="95"/>
      <c r="W286" s="95"/>
      <c r="X286" s="95"/>
      <c r="Y286" s="96"/>
      <c r="Z286" s="96"/>
      <c r="AA286" s="96"/>
    </row>
    <row r="287" spans="1:27" ht="17.25" x14ac:dyDescent="0.3">
      <c r="A287" s="118"/>
      <c r="B287" s="118"/>
      <c r="C287" s="118"/>
      <c r="D287" s="118"/>
      <c r="E287" s="118"/>
      <c r="F287" s="118"/>
      <c r="G287" s="118"/>
      <c r="H287" s="118"/>
      <c r="I287" s="121"/>
      <c r="J287" s="121"/>
      <c r="K287" s="121"/>
      <c r="L287" s="119"/>
      <c r="M287" s="120"/>
      <c r="N287" s="120"/>
      <c r="O287" s="120"/>
      <c r="P287" s="120"/>
      <c r="Q287" s="121"/>
      <c r="R287" s="121"/>
      <c r="S287" s="121"/>
      <c r="T287" s="121"/>
      <c r="U287" s="121"/>
      <c r="V287" s="95"/>
      <c r="W287" s="95"/>
      <c r="X287" s="95"/>
      <c r="Y287" s="96"/>
      <c r="Z287" s="96"/>
      <c r="AA287" s="96"/>
    </row>
    <row r="288" spans="1:27" ht="17.25" x14ac:dyDescent="0.3">
      <c r="A288" s="118"/>
      <c r="B288" s="118" t="s">
        <v>815</v>
      </c>
      <c r="C288" s="118"/>
      <c r="D288" s="118"/>
      <c r="E288" s="118"/>
      <c r="F288" s="118"/>
      <c r="G288" s="118"/>
      <c r="H288" s="118"/>
      <c r="I288" s="121"/>
      <c r="J288" s="380"/>
      <c r="K288" s="380"/>
      <c r="L288" s="119"/>
      <c r="M288" s="120"/>
      <c r="N288" s="120"/>
      <c r="O288" s="120"/>
      <c r="P288" s="120"/>
      <c r="Q288" s="120"/>
      <c r="R288" s="120"/>
      <c r="S288" s="121"/>
      <c r="T288" s="121"/>
      <c r="U288" s="121"/>
      <c r="V288" s="95"/>
      <c r="W288" s="95"/>
      <c r="X288" s="95"/>
      <c r="Y288" s="96"/>
      <c r="Z288" s="96"/>
      <c r="AA288" s="96"/>
    </row>
    <row r="289" spans="1:27" ht="17.25" x14ac:dyDescent="0.3">
      <c r="A289" s="118"/>
      <c r="B289" s="118"/>
      <c r="C289" s="118"/>
      <c r="D289" s="118"/>
      <c r="E289" s="118"/>
      <c r="F289" s="118"/>
      <c r="G289" s="118"/>
      <c r="H289" s="118"/>
      <c r="I289" s="121"/>
      <c r="J289" s="121"/>
      <c r="K289" s="121"/>
      <c r="L289" s="119"/>
      <c r="M289" s="120"/>
      <c r="N289" s="120"/>
      <c r="O289" s="120"/>
      <c r="P289" s="120"/>
      <c r="Q289" s="121"/>
      <c r="R289" s="121"/>
      <c r="S289" s="121"/>
      <c r="T289" s="121"/>
      <c r="U289" s="121"/>
      <c r="V289" s="95"/>
      <c r="W289" s="95"/>
      <c r="X289" s="95"/>
      <c r="Y289" s="96"/>
      <c r="Z289" s="96"/>
      <c r="AA289" s="96"/>
    </row>
    <row r="290" spans="1:27" ht="17.25" x14ac:dyDescent="0.3">
      <c r="A290" s="118"/>
      <c r="B290" s="118" t="s">
        <v>816</v>
      </c>
      <c r="C290" s="118"/>
      <c r="D290" s="118"/>
      <c r="E290" s="118"/>
      <c r="F290" s="118"/>
      <c r="G290" s="118"/>
      <c r="H290" s="118"/>
      <c r="I290" s="121"/>
      <c r="J290" s="121"/>
      <c r="K290" s="168"/>
      <c r="L290" s="119"/>
      <c r="M290" s="120"/>
      <c r="N290" s="120"/>
      <c r="O290" s="120"/>
      <c r="P290" s="120"/>
      <c r="Q290" s="120"/>
      <c r="R290" s="120"/>
      <c r="S290" s="121"/>
      <c r="T290" s="121"/>
      <c r="U290" s="121"/>
      <c r="V290" s="95"/>
      <c r="W290" s="95"/>
      <c r="X290" s="95"/>
      <c r="Y290" s="96"/>
      <c r="Z290" s="96"/>
      <c r="AA290" s="96"/>
    </row>
    <row r="291" spans="1:27" ht="17.25" x14ac:dyDescent="0.3">
      <c r="A291" s="118"/>
      <c r="B291" s="118"/>
      <c r="C291" s="118"/>
      <c r="D291" s="118"/>
      <c r="E291" s="118"/>
      <c r="F291" s="118"/>
      <c r="G291" s="118"/>
      <c r="H291" s="118"/>
      <c r="I291" s="121"/>
      <c r="J291" s="121"/>
      <c r="K291" s="121"/>
      <c r="L291" s="119"/>
      <c r="M291" s="120"/>
      <c r="N291" s="120"/>
      <c r="O291" s="120"/>
      <c r="P291" s="120"/>
      <c r="Q291" s="121"/>
      <c r="R291" s="121"/>
      <c r="S291" s="121"/>
      <c r="T291" s="121"/>
      <c r="U291" s="121"/>
      <c r="V291" s="95"/>
      <c r="W291" s="95"/>
      <c r="X291" s="95"/>
      <c r="Y291" s="96"/>
      <c r="Z291" s="96"/>
      <c r="AA291" s="96"/>
    </row>
    <row r="292" spans="1:27" ht="17.25" x14ac:dyDescent="0.3">
      <c r="A292" s="118"/>
      <c r="B292" s="118" t="s">
        <v>817</v>
      </c>
      <c r="C292" s="118"/>
      <c r="D292" s="118"/>
      <c r="E292" s="118"/>
      <c r="F292" s="118"/>
      <c r="G292" s="118"/>
      <c r="H292" s="118"/>
      <c r="I292" s="337"/>
      <c r="J292" s="338"/>
      <c r="K292" s="339"/>
      <c r="L292" s="119"/>
      <c r="M292" s="120"/>
      <c r="N292" s="120"/>
      <c r="O292" s="120"/>
      <c r="P292" s="120"/>
      <c r="Q292" s="120"/>
      <c r="R292" s="120"/>
      <c r="S292" s="121"/>
      <c r="T292" s="121"/>
      <c r="U292" s="121"/>
      <c r="V292" s="95"/>
      <c r="W292" s="95"/>
      <c r="X292" s="95"/>
      <c r="Y292" s="96"/>
      <c r="Z292" s="96"/>
      <c r="AA292" s="96"/>
    </row>
    <row r="293" spans="1:27" ht="17.25" x14ac:dyDescent="0.3">
      <c r="A293" s="118"/>
      <c r="B293" s="118"/>
      <c r="C293" s="118"/>
      <c r="D293" s="118"/>
      <c r="E293" s="118"/>
      <c r="F293" s="118"/>
      <c r="G293" s="118"/>
      <c r="H293" s="118"/>
      <c r="I293" s="121"/>
      <c r="J293" s="121"/>
      <c r="K293" s="121"/>
      <c r="L293" s="119"/>
      <c r="M293" s="120"/>
      <c r="N293" s="120"/>
      <c r="O293" s="120"/>
      <c r="P293" s="120"/>
      <c r="Q293" s="120"/>
      <c r="R293" s="120"/>
      <c r="S293" s="121"/>
      <c r="T293" s="121"/>
      <c r="U293" s="121"/>
      <c r="V293" s="95"/>
      <c r="W293" s="95"/>
      <c r="X293" s="95"/>
      <c r="Y293" s="96"/>
      <c r="Z293" s="96"/>
      <c r="AA293" s="96"/>
    </row>
    <row r="294" spans="1:27" ht="17.25" x14ac:dyDescent="0.3">
      <c r="A294" s="118"/>
      <c r="B294" s="118" t="s">
        <v>818</v>
      </c>
      <c r="C294" s="118"/>
      <c r="D294" s="118"/>
      <c r="E294" s="118"/>
      <c r="F294" s="118"/>
      <c r="G294" s="118"/>
      <c r="H294" s="118"/>
      <c r="I294" s="337"/>
      <c r="J294" s="338"/>
      <c r="K294" s="339"/>
      <c r="L294" s="119"/>
      <c r="M294" s="120"/>
      <c r="N294" s="120"/>
      <c r="O294" s="120"/>
      <c r="P294" s="120"/>
      <c r="Q294" s="120"/>
      <c r="R294" s="120"/>
      <c r="S294" s="121"/>
      <c r="T294" s="121"/>
      <c r="U294" s="121"/>
      <c r="V294" s="95"/>
      <c r="W294" s="95"/>
      <c r="X294" s="95"/>
      <c r="Y294" s="96"/>
      <c r="Z294" s="96"/>
      <c r="AA294" s="96"/>
    </row>
    <row r="295" spans="1:27" ht="17.25" x14ac:dyDescent="0.3">
      <c r="A295" s="118"/>
      <c r="B295" s="118"/>
      <c r="C295" s="118"/>
      <c r="D295" s="118"/>
      <c r="E295" s="118"/>
      <c r="F295" s="118"/>
      <c r="G295" s="118"/>
      <c r="H295" s="118"/>
      <c r="I295" s="121"/>
      <c r="J295" s="121"/>
      <c r="K295" s="121"/>
      <c r="L295" s="119"/>
      <c r="M295" s="120"/>
      <c r="N295" s="120"/>
      <c r="O295" s="120"/>
      <c r="P295" s="120"/>
      <c r="Q295" s="121"/>
      <c r="R295" s="121"/>
      <c r="S295" s="121"/>
      <c r="T295" s="121"/>
      <c r="U295" s="121"/>
      <c r="V295" s="95"/>
      <c r="W295" s="95"/>
      <c r="X295" s="95"/>
      <c r="Y295" s="96"/>
      <c r="Z295" s="96"/>
      <c r="AA295" s="96"/>
    </row>
    <row r="296" spans="1:27" ht="17.25" x14ac:dyDescent="0.3">
      <c r="A296" s="118"/>
      <c r="B296" s="118" t="s">
        <v>819</v>
      </c>
      <c r="C296" s="118"/>
      <c r="D296" s="118"/>
      <c r="E296" s="118"/>
      <c r="F296" s="118"/>
      <c r="G296" s="118"/>
      <c r="H296" s="118"/>
      <c r="I296" s="337"/>
      <c r="J296" s="338"/>
      <c r="K296" s="339"/>
      <c r="L296" s="119"/>
      <c r="M296" s="120"/>
      <c r="N296" s="120"/>
      <c r="O296" s="120"/>
      <c r="P296" s="120"/>
      <c r="Q296" s="120"/>
      <c r="R296" s="120"/>
      <c r="S296" s="121"/>
      <c r="T296" s="121"/>
      <c r="U296" s="121"/>
      <c r="V296" s="95"/>
      <c r="W296" s="95"/>
      <c r="X296" s="95"/>
      <c r="Y296" s="96"/>
      <c r="Z296" s="96"/>
      <c r="AA296" s="96"/>
    </row>
    <row r="297" spans="1:27" ht="17.25" x14ac:dyDescent="0.3">
      <c r="A297" s="118"/>
      <c r="B297" s="118"/>
      <c r="C297" s="118"/>
      <c r="D297" s="118"/>
      <c r="E297" s="118"/>
      <c r="F297" s="118"/>
      <c r="G297" s="118"/>
      <c r="H297" s="118"/>
      <c r="I297" s="121"/>
      <c r="J297" s="121"/>
      <c r="K297" s="121"/>
      <c r="L297" s="119"/>
      <c r="M297" s="120"/>
      <c r="N297" s="120"/>
      <c r="O297" s="120"/>
      <c r="P297" s="120"/>
      <c r="Q297" s="121"/>
      <c r="R297" s="121"/>
      <c r="S297" s="121"/>
      <c r="T297" s="121"/>
      <c r="U297" s="121"/>
      <c r="V297" s="95"/>
      <c r="W297" s="95"/>
      <c r="X297" s="95"/>
      <c r="Y297" s="96"/>
      <c r="Z297" s="96"/>
      <c r="AA297" s="96"/>
    </row>
    <row r="298" spans="1:27" ht="17.25" x14ac:dyDescent="0.3">
      <c r="A298" s="118"/>
      <c r="B298" s="118" t="s">
        <v>820</v>
      </c>
      <c r="C298" s="118"/>
      <c r="D298" s="118"/>
      <c r="E298" s="380"/>
      <c r="F298" s="380"/>
      <c r="G298" s="380"/>
      <c r="H298" s="380"/>
      <c r="I298" s="380"/>
      <c r="J298" s="380"/>
      <c r="K298" s="380"/>
      <c r="L298" s="119"/>
      <c r="M298" s="120"/>
      <c r="N298" s="120"/>
      <c r="O298" s="120"/>
      <c r="P298" s="120"/>
      <c r="Q298" s="120"/>
      <c r="R298" s="120"/>
      <c r="S298" s="121"/>
      <c r="T298" s="121"/>
      <c r="U298" s="121"/>
      <c r="V298" s="95"/>
      <c r="W298" s="95"/>
      <c r="X298" s="95"/>
      <c r="Y298" s="96"/>
      <c r="Z298" s="96"/>
      <c r="AA298" s="96"/>
    </row>
    <row r="299" spans="1:27" ht="17.25" x14ac:dyDescent="0.3">
      <c r="A299" s="118"/>
      <c r="B299" s="118"/>
      <c r="C299" s="118"/>
      <c r="D299" s="118"/>
      <c r="E299" s="118"/>
      <c r="F299" s="118"/>
      <c r="G299" s="118"/>
      <c r="H299" s="118"/>
      <c r="I299" s="121"/>
      <c r="J299" s="121"/>
      <c r="K299" s="121"/>
      <c r="L299" s="119"/>
      <c r="M299" s="120"/>
      <c r="N299" s="120"/>
      <c r="O299" s="120"/>
      <c r="P299" s="120"/>
      <c r="Q299" s="121"/>
      <c r="R299" s="121"/>
      <c r="S299" s="121"/>
      <c r="T299" s="121"/>
      <c r="U299" s="121"/>
      <c r="V299" s="95"/>
      <c r="W299" s="95"/>
      <c r="X299" s="95"/>
      <c r="Y299" s="96"/>
      <c r="Z299" s="96"/>
      <c r="AA299" s="96"/>
    </row>
    <row r="300" spans="1:27" ht="17.25" x14ac:dyDescent="0.3">
      <c r="A300" s="118"/>
      <c r="B300" s="118" t="s">
        <v>821</v>
      </c>
      <c r="C300" s="118"/>
      <c r="D300" s="118"/>
      <c r="E300" s="380"/>
      <c r="F300" s="380"/>
      <c r="G300" s="380"/>
      <c r="H300" s="380"/>
      <c r="I300" s="380"/>
      <c r="J300" s="380"/>
      <c r="K300" s="380"/>
      <c r="L300" s="119"/>
      <c r="M300" s="120"/>
      <c r="N300" s="120"/>
      <c r="O300" s="120"/>
      <c r="P300" s="120"/>
      <c r="Q300" s="120"/>
      <c r="R300" s="120"/>
      <c r="S300" s="121"/>
      <c r="T300" s="121"/>
      <c r="U300" s="121"/>
      <c r="V300" s="95"/>
      <c r="W300" s="95"/>
      <c r="X300" s="95"/>
      <c r="Y300" s="96"/>
      <c r="Z300" s="96"/>
      <c r="AA300" s="96"/>
    </row>
    <row r="301" spans="1:27" ht="17.25" x14ac:dyDescent="0.3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9"/>
      <c r="M301" s="120"/>
      <c r="N301" s="120"/>
      <c r="O301" s="120"/>
      <c r="P301" s="119"/>
      <c r="Q301" s="118"/>
      <c r="R301" s="118"/>
      <c r="S301" s="118"/>
      <c r="T301" s="118"/>
      <c r="U301" s="118"/>
      <c r="V301" s="95"/>
      <c r="W301" s="95"/>
      <c r="X301" s="95"/>
      <c r="Y301" s="96"/>
      <c r="Z301" s="96"/>
      <c r="AA301" s="96"/>
    </row>
    <row r="302" spans="1:27" ht="17.25" x14ac:dyDescent="0.3">
      <c r="A302" s="137"/>
      <c r="B302" s="132" t="s">
        <v>822</v>
      </c>
      <c r="C302" s="118"/>
      <c r="D302" s="118"/>
      <c r="E302" s="118"/>
      <c r="F302" s="118"/>
      <c r="G302" s="118"/>
      <c r="H302" s="118"/>
      <c r="I302" s="118"/>
      <c r="J302" s="118"/>
      <c r="K302" s="118"/>
      <c r="L302" s="119"/>
      <c r="M302" s="119"/>
      <c r="N302" s="119"/>
      <c r="O302" s="119"/>
      <c r="P302" s="119"/>
      <c r="Q302" s="120"/>
      <c r="R302" s="120"/>
      <c r="S302" s="120"/>
      <c r="T302" s="121"/>
      <c r="U302" s="121"/>
      <c r="V302" s="95"/>
      <c r="W302" s="95"/>
      <c r="X302" s="95"/>
      <c r="Y302" s="96"/>
      <c r="Z302" s="96"/>
      <c r="AA302" s="96"/>
    </row>
    <row r="303" spans="1:27" ht="17.25" x14ac:dyDescent="0.3">
      <c r="A303" s="137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9"/>
      <c r="M303" s="120"/>
      <c r="N303" s="120"/>
      <c r="O303" s="120"/>
      <c r="P303" s="120"/>
      <c r="Q303" s="120"/>
      <c r="R303" s="120"/>
      <c r="S303" s="120"/>
      <c r="T303" s="121"/>
      <c r="U303" s="121"/>
      <c r="V303" s="95"/>
      <c r="W303" s="95"/>
      <c r="X303" s="95"/>
      <c r="Y303" s="96"/>
      <c r="Z303" s="96"/>
      <c r="AA303" s="96"/>
    </row>
    <row r="304" spans="1:27" ht="17.25" x14ac:dyDescent="0.3">
      <c r="A304" s="118"/>
      <c r="B304" s="118"/>
      <c r="C304" s="118" t="s">
        <v>823</v>
      </c>
      <c r="D304" s="118"/>
      <c r="E304" s="118"/>
      <c r="F304" s="118"/>
      <c r="G304" s="118"/>
      <c r="H304" s="118"/>
      <c r="I304" s="337"/>
      <c r="J304" s="338"/>
      <c r="K304" s="339"/>
      <c r="L304" s="119"/>
      <c r="M304" s="120"/>
      <c r="N304" s="120"/>
      <c r="O304" s="120"/>
      <c r="P304" s="120"/>
      <c r="Q304" s="120"/>
      <c r="R304" s="120"/>
      <c r="S304" s="120"/>
      <c r="T304" s="121"/>
      <c r="U304" s="121"/>
      <c r="V304" s="95"/>
      <c r="W304" s="95"/>
      <c r="X304" s="95"/>
      <c r="Y304" s="96"/>
      <c r="Z304" s="96"/>
      <c r="AA304" s="96"/>
    </row>
    <row r="305" spans="1:27" ht="17.25" x14ac:dyDescent="0.3">
      <c r="A305" s="118"/>
      <c r="B305" s="118"/>
      <c r="C305" s="118"/>
      <c r="D305" s="118"/>
      <c r="E305" s="118"/>
      <c r="F305" s="118"/>
      <c r="G305" s="118"/>
      <c r="H305" s="118"/>
      <c r="I305" s="337"/>
      <c r="J305" s="338"/>
      <c r="K305" s="339"/>
      <c r="L305" s="119"/>
      <c r="M305" s="120"/>
      <c r="N305" s="120"/>
      <c r="O305" s="120"/>
      <c r="P305" s="120"/>
      <c r="Q305" s="120"/>
      <c r="R305" s="120"/>
      <c r="S305" s="120"/>
      <c r="T305" s="121"/>
      <c r="U305" s="121"/>
      <c r="V305" s="95"/>
      <c r="W305" s="95"/>
      <c r="X305" s="95"/>
      <c r="Y305" s="96"/>
      <c r="Z305" s="96"/>
      <c r="AA305" s="96"/>
    </row>
    <row r="306" spans="1:27" ht="17.25" x14ac:dyDescent="0.3">
      <c r="A306" s="118"/>
      <c r="B306" s="118"/>
      <c r="C306" s="118"/>
      <c r="D306" s="118"/>
      <c r="E306" s="118"/>
      <c r="F306" s="118"/>
      <c r="G306" s="118"/>
      <c r="H306" s="118"/>
      <c r="I306" s="337"/>
      <c r="J306" s="338"/>
      <c r="K306" s="339"/>
      <c r="L306" s="119"/>
      <c r="M306" s="120"/>
      <c r="N306" s="120"/>
      <c r="O306" s="120"/>
      <c r="P306" s="120"/>
      <c r="Q306" s="120"/>
      <c r="R306" s="120"/>
      <c r="S306" s="120"/>
      <c r="T306" s="121"/>
      <c r="U306" s="121"/>
      <c r="V306" s="95"/>
      <c r="W306" s="95"/>
      <c r="X306" s="95"/>
      <c r="Y306" s="96"/>
      <c r="Z306" s="96"/>
      <c r="AA306" s="96"/>
    </row>
    <row r="307" spans="1:27" ht="17.25" x14ac:dyDescent="0.3">
      <c r="A307" s="118"/>
      <c r="B307" s="118"/>
      <c r="C307" s="118"/>
      <c r="D307" s="118"/>
      <c r="E307" s="118"/>
      <c r="F307" s="118"/>
      <c r="G307" s="118"/>
      <c r="H307" s="118"/>
      <c r="I307" s="121"/>
      <c r="J307" s="121"/>
      <c r="K307" s="121"/>
      <c r="L307" s="119"/>
      <c r="M307" s="120"/>
      <c r="N307" s="120"/>
      <c r="O307" s="120"/>
      <c r="P307" s="120"/>
      <c r="Q307" s="120"/>
      <c r="R307" s="120"/>
      <c r="S307" s="120"/>
      <c r="T307" s="121"/>
      <c r="U307" s="121"/>
      <c r="V307" s="95"/>
      <c r="W307" s="95"/>
      <c r="X307" s="95"/>
      <c r="Y307" s="96"/>
      <c r="Z307" s="96"/>
      <c r="AA307" s="96"/>
    </row>
    <row r="308" spans="1:27" ht="17.25" x14ac:dyDescent="0.3">
      <c r="A308" s="131"/>
      <c r="B308" s="131"/>
      <c r="C308" s="131" t="s">
        <v>824</v>
      </c>
      <c r="D308" s="131"/>
      <c r="E308" s="131" t="s">
        <v>825</v>
      </c>
      <c r="F308" s="131"/>
      <c r="G308" s="118"/>
      <c r="H308" s="118"/>
      <c r="I308" s="337"/>
      <c r="J308" s="338"/>
      <c r="K308" s="339"/>
      <c r="L308" s="169"/>
      <c r="M308" s="120"/>
      <c r="N308" s="121"/>
      <c r="O308" s="121"/>
      <c r="P308" s="121"/>
      <c r="Q308" s="146"/>
      <c r="R308" s="146"/>
      <c r="S308" s="146"/>
      <c r="T308" s="170"/>
      <c r="U308" s="170"/>
      <c r="V308" s="148"/>
      <c r="W308" s="148"/>
      <c r="X308" s="148"/>
      <c r="Y308" s="149"/>
      <c r="Z308" s="149"/>
      <c r="AA308" s="149"/>
    </row>
    <row r="309" spans="1:27" ht="17.25" x14ac:dyDescent="0.3">
      <c r="A309" s="131"/>
      <c r="B309" s="131"/>
      <c r="C309" s="131"/>
      <c r="D309" s="131"/>
      <c r="E309" s="131" t="s">
        <v>826</v>
      </c>
      <c r="F309" s="131"/>
      <c r="G309" s="118"/>
      <c r="H309" s="118"/>
      <c r="I309" s="337"/>
      <c r="J309" s="338"/>
      <c r="K309" s="339"/>
      <c r="L309" s="169"/>
      <c r="M309" s="120"/>
      <c r="N309" s="120"/>
      <c r="O309" s="120"/>
      <c r="P309" s="169"/>
      <c r="Q309" s="146"/>
      <c r="R309" s="146"/>
      <c r="S309" s="146"/>
      <c r="T309" s="170"/>
      <c r="U309" s="170"/>
      <c r="V309" s="148"/>
      <c r="W309" s="148"/>
      <c r="X309" s="148"/>
      <c r="Y309" s="149"/>
      <c r="Z309" s="149"/>
      <c r="AA309" s="149"/>
    </row>
    <row r="310" spans="1:27" ht="17.25" x14ac:dyDescent="0.3">
      <c r="A310" s="131"/>
      <c r="B310" s="131"/>
      <c r="C310" s="131"/>
      <c r="D310" s="131"/>
      <c r="E310" s="131" t="s">
        <v>827</v>
      </c>
      <c r="F310" s="131"/>
      <c r="G310" s="118"/>
      <c r="H310" s="118"/>
      <c r="I310" s="380"/>
      <c r="J310" s="380"/>
      <c r="K310" s="380"/>
      <c r="L310" s="169"/>
      <c r="M310" s="120"/>
      <c r="N310" s="120"/>
      <c r="O310" s="120"/>
      <c r="P310" s="169"/>
      <c r="Q310" s="146"/>
      <c r="R310" s="146"/>
      <c r="S310" s="146"/>
      <c r="T310" s="170"/>
      <c r="U310" s="170"/>
      <c r="V310" s="148"/>
      <c r="W310" s="148"/>
      <c r="X310" s="148"/>
      <c r="Y310" s="149"/>
      <c r="Z310" s="149"/>
      <c r="AA310" s="149"/>
    </row>
    <row r="311" spans="1:27" ht="17.25" x14ac:dyDescent="0.3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0"/>
      <c r="M311" s="120"/>
      <c r="N311" s="120"/>
      <c r="O311" s="120"/>
      <c r="P311" s="120"/>
      <c r="Q311" s="121"/>
      <c r="R311" s="121"/>
      <c r="S311" s="121"/>
      <c r="T311" s="121"/>
      <c r="U311" s="121"/>
      <c r="V311" s="159"/>
      <c r="W311" s="159"/>
      <c r="X311" s="159"/>
      <c r="Y311" s="160"/>
      <c r="Z311" s="160"/>
      <c r="AA311" s="160"/>
    </row>
    <row r="312" spans="1:27" x14ac:dyDescent="0.25">
      <c r="E312" s="170" t="s">
        <v>828</v>
      </c>
      <c r="I312" s="389"/>
      <c r="J312" s="389"/>
      <c r="K312" s="389"/>
    </row>
    <row r="313" spans="1:27" ht="15.75" x14ac:dyDescent="0.25">
      <c r="B313" s="171" t="s">
        <v>829</v>
      </c>
    </row>
    <row r="315" spans="1:27" ht="15.75" x14ac:dyDescent="0.25">
      <c r="B315" s="172" t="s">
        <v>830</v>
      </c>
    </row>
    <row r="317" spans="1:27" ht="15.75" x14ac:dyDescent="0.25">
      <c r="C317" s="164" t="s">
        <v>831</v>
      </c>
      <c r="I317" s="337"/>
      <c r="J317" s="338"/>
      <c r="K317" s="339"/>
    </row>
    <row r="319" spans="1:27" ht="15.75" x14ac:dyDescent="0.25">
      <c r="C319" s="164" t="s">
        <v>832</v>
      </c>
      <c r="I319" s="337"/>
      <c r="J319" s="338"/>
      <c r="K319" s="339"/>
    </row>
    <row r="321" spans="2:11" ht="15.75" x14ac:dyDescent="0.25">
      <c r="C321" s="164" t="s">
        <v>833</v>
      </c>
      <c r="I321" s="337"/>
      <c r="J321" s="338"/>
      <c r="K321" s="339"/>
    </row>
    <row r="323" spans="2:11" ht="15.75" x14ac:dyDescent="0.25">
      <c r="C323" s="164" t="s">
        <v>834</v>
      </c>
      <c r="I323" s="337"/>
      <c r="J323" s="338"/>
      <c r="K323" s="339"/>
    </row>
    <row r="325" spans="2:11" ht="15.75" x14ac:dyDescent="0.25">
      <c r="C325" s="164" t="s">
        <v>835</v>
      </c>
      <c r="I325" s="337"/>
      <c r="J325" s="338"/>
      <c r="K325" s="339"/>
    </row>
    <row r="327" spans="2:11" ht="15.75" x14ac:dyDescent="0.25">
      <c r="C327" s="164" t="s">
        <v>836</v>
      </c>
      <c r="I327" s="337"/>
      <c r="J327" s="338"/>
      <c r="K327" s="339"/>
    </row>
    <row r="329" spans="2:11" ht="15.75" x14ac:dyDescent="0.25">
      <c r="B329" s="172" t="s">
        <v>837</v>
      </c>
    </row>
    <row r="331" spans="2:11" ht="15.75" x14ac:dyDescent="0.25">
      <c r="C331" s="164" t="s">
        <v>838</v>
      </c>
      <c r="I331" s="337"/>
      <c r="J331" s="338"/>
      <c r="K331" s="339"/>
    </row>
    <row r="333" spans="2:11" ht="15.75" x14ac:dyDescent="0.25">
      <c r="C333" s="164" t="s">
        <v>839</v>
      </c>
      <c r="I333" s="337"/>
      <c r="J333" s="338"/>
      <c r="K333" s="339"/>
    </row>
    <row r="335" spans="2:11" ht="15.75" x14ac:dyDescent="0.25">
      <c r="C335" s="164" t="s">
        <v>840</v>
      </c>
      <c r="I335" s="337"/>
      <c r="J335" s="338"/>
      <c r="K335" s="339"/>
    </row>
    <row r="337" spans="1:27" ht="15.75" x14ac:dyDescent="0.25">
      <c r="C337" s="164" t="s">
        <v>841</v>
      </c>
      <c r="I337" s="337"/>
      <c r="J337" s="338"/>
      <c r="K337" s="339"/>
    </row>
    <row r="339" spans="1:27" ht="17.25" x14ac:dyDescent="0.3">
      <c r="A339" s="366" t="s">
        <v>842</v>
      </c>
      <c r="B339" s="367"/>
      <c r="C339" s="367"/>
      <c r="D339" s="367"/>
      <c r="E339" s="367"/>
      <c r="F339" s="367"/>
      <c r="G339" s="367"/>
      <c r="H339" s="367"/>
      <c r="I339" s="367"/>
      <c r="J339" s="367"/>
      <c r="K339" s="367"/>
      <c r="L339" s="367"/>
      <c r="M339" s="367"/>
      <c r="N339" s="367"/>
      <c r="O339" s="367"/>
      <c r="P339" s="367"/>
      <c r="Q339" s="367"/>
      <c r="R339" s="367"/>
      <c r="S339" s="367"/>
      <c r="T339" s="367"/>
      <c r="U339" s="368"/>
      <c r="V339" s="95"/>
      <c r="W339" s="95"/>
      <c r="X339" s="95"/>
      <c r="Y339" s="96"/>
      <c r="Z339" s="96"/>
      <c r="AA339" s="96"/>
    </row>
    <row r="340" spans="1:27" ht="17.25" x14ac:dyDescent="0.3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95"/>
      <c r="W340" s="95"/>
      <c r="X340" s="95"/>
      <c r="Y340" s="96"/>
      <c r="Z340" s="96"/>
      <c r="AA340" s="96"/>
    </row>
    <row r="341" spans="1:27" ht="18" x14ac:dyDescent="0.3">
      <c r="A341" s="390"/>
      <c r="B341" s="391"/>
      <c r="C341" s="173"/>
      <c r="D341" s="390"/>
      <c r="E341" s="394"/>
      <c r="F341" s="390"/>
      <c r="G341" s="394"/>
      <c r="H341" s="395"/>
      <c r="I341" s="396"/>
      <c r="J341" s="397" t="s">
        <v>843</v>
      </c>
      <c r="K341" s="398"/>
      <c r="L341" s="399" t="s">
        <v>844</v>
      </c>
      <c r="M341" s="400"/>
      <c r="N341" s="401" t="s">
        <v>845</v>
      </c>
      <c r="O341" s="402"/>
      <c r="P341" s="174" t="s">
        <v>846</v>
      </c>
      <c r="Q341" s="174" t="s">
        <v>847</v>
      </c>
      <c r="R341" s="403" t="s">
        <v>848</v>
      </c>
      <c r="S341" s="404"/>
      <c r="T341" s="403" t="s">
        <v>849</v>
      </c>
      <c r="U341" s="404"/>
      <c r="V341" s="175" t="s">
        <v>850</v>
      </c>
      <c r="W341" s="175" t="s">
        <v>851</v>
      </c>
      <c r="X341" s="175" t="s">
        <v>852</v>
      </c>
      <c r="Y341" s="96"/>
      <c r="Z341" s="96"/>
      <c r="AA341" s="96"/>
    </row>
    <row r="342" spans="1:27" ht="18" x14ac:dyDescent="0.3">
      <c r="A342" s="390" t="s">
        <v>853</v>
      </c>
      <c r="B342" s="391"/>
      <c r="C342" s="173" t="s">
        <v>854</v>
      </c>
      <c r="D342" s="392" t="s">
        <v>855</v>
      </c>
      <c r="E342" s="393"/>
      <c r="F342" s="392" t="s">
        <v>856</v>
      </c>
      <c r="G342" s="393"/>
      <c r="H342" s="392" t="s">
        <v>857</v>
      </c>
      <c r="I342" s="393"/>
      <c r="J342" s="176" t="s">
        <v>858</v>
      </c>
      <c r="K342" s="176" t="s">
        <v>859</v>
      </c>
      <c r="L342" s="177" t="s">
        <v>860</v>
      </c>
      <c r="M342" s="177" t="s">
        <v>861</v>
      </c>
      <c r="N342" s="176"/>
      <c r="O342" s="176" t="s">
        <v>862</v>
      </c>
      <c r="P342" s="176"/>
      <c r="Q342" s="178"/>
      <c r="R342" s="174" t="s">
        <v>863</v>
      </c>
      <c r="S342" s="174" t="s">
        <v>864</v>
      </c>
      <c r="T342" s="179" t="s">
        <v>865</v>
      </c>
      <c r="U342" s="179" t="s">
        <v>866</v>
      </c>
      <c r="V342" s="178"/>
      <c r="W342" s="178"/>
      <c r="X342" s="178"/>
      <c r="Y342" s="96"/>
      <c r="Z342" s="96"/>
      <c r="AA342" s="96"/>
    </row>
    <row r="343" spans="1:27" ht="17.25" x14ac:dyDescent="0.3">
      <c r="A343" s="150"/>
      <c r="B343" s="184"/>
      <c r="C343" s="330"/>
      <c r="D343" s="390"/>
      <c r="E343" s="394"/>
      <c r="F343" s="390"/>
      <c r="G343" s="394"/>
      <c r="H343" s="405"/>
      <c r="I343" s="406"/>
      <c r="J343" s="330"/>
      <c r="K343" s="177"/>
      <c r="L343" s="177"/>
      <c r="M343" s="181"/>
      <c r="N343" s="182"/>
      <c r="O343" s="330"/>
      <c r="P343" s="331"/>
      <c r="Q343" s="183"/>
      <c r="R343" s="183"/>
      <c r="S343" s="183"/>
      <c r="T343" s="183"/>
      <c r="U343" s="183"/>
      <c r="V343" s="183"/>
      <c r="W343" s="183"/>
      <c r="X343" s="183"/>
      <c r="Y343" s="96"/>
      <c r="Z343" s="96"/>
      <c r="AA343" s="96"/>
    </row>
    <row r="344" spans="1:27" ht="17.25" x14ac:dyDescent="0.3">
      <c r="A344" s="150"/>
      <c r="B344" s="184"/>
      <c r="C344" s="330"/>
      <c r="D344" s="390"/>
      <c r="E344" s="394"/>
      <c r="F344" s="390"/>
      <c r="G344" s="394"/>
      <c r="H344" s="405"/>
      <c r="I344" s="406"/>
      <c r="J344" s="330"/>
      <c r="K344" s="177"/>
      <c r="L344" s="177"/>
      <c r="M344" s="181"/>
      <c r="N344" s="182"/>
      <c r="O344" s="330"/>
      <c r="P344" s="331"/>
      <c r="Q344" s="183"/>
      <c r="R344" s="183"/>
      <c r="S344" s="183"/>
      <c r="T344" s="183"/>
      <c r="U344" s="183"/>
      <c r="V344" s="183"/>
      <c r="W344" s="183"/>
      <c r="X344" s="183"/>
      <c r="Y344" s="96"/>
      <c r="Z344" s="96"/>
      <c r="AA344" s="96"/>
    </row>
    <row r="345" spans="1:27" ht="17.25" x14ac:dyDescent="0.3">
      <c r="A345" s="150"/>
      <c r="B345" s="184"/>
      <c r="C345" s="330"/>
      <c r="D345" s="390"/>
      <c r="E345" s="394"/>
      <c r="F345" s="390"/>
      <c r="G345" s="394"/>
      <c r="H345" s="405"/>
      <c r="I345" s="406"/>
      <c r="J345" s="330"/>
      <c r="K345" s="177"/>
      <c r="L345" s="177"/>
      <c r="M345" s="181"/>
      <c r="N345" s="182"/>
      <c r="O345" s="330"/>
      <c r="P345" s="331"/>
      <c r="Q345" s="183"/>
      <c r="R345" s="183"/>
      <c r="S345" s="183"/>
      <c r="T345" s="183"/>
      <c r="U345" s="183"/>
      <c r="V345" s="183"/>
      <c r="W345" s="183"/>
      <c r="X345" s="183"/>
      <c r="Y345" s="96"/>
      <c r="Z345" s="96"/>
      <c r="AA345" s="96"/>
    </row>
    <row r="346" spans="1:27" ht="17.25" x14ac:dyDescent="0.3">
      <c r="A346" s="150"/>
      <c r="B346" s="184"/>
      <c r="C346" s="180"/>
      <c r="D346" s="390"/>
      <c r="E346" s="394"/>
      <c r="F346" s="390"/>
      <c r="G346" s="394"/>
      <c r="H346" s="405"/>
      <c r="I346" s="406"/>
      <c r="J346" s="180"/>
      <c r="K346" s="177"/>
      <c r="L346" s="177"/>
      <c r="M346" s="181"/>
      <c r="N346" s="182"/>
      <c r="O346" s="180"/>
      <c r="P346" s="165"/>
      <c r="Q346" s="183"/>
      <c r="R346" s="183"/>
      <c r="S346" s="183"/>
      <c r="T346" s="183"/>
      <c r="U346" s="183"/>
      <c r="V346" s="183"/>
      <c r="W346" s="183"/>
      <c r="X346" s="183"/>
      <c r="Y346" s="96"/>
      <c r="Z346" s="96"/>
      <c r="AA346" s="96"/>
    </row>
    <row r="347" spans="1:27" ht="17.25" x14ac:dyDescent="0.3">
      <c r="A347" s="150"/>
      <c r="B347" s="184"/>
      <c r="C347" s="180"/>
      <c r="D347" s="390"/>
      <c r="E347" s="394"/>
      <c r="F347" s="390"/>
      <c r="G347" s="394"/>
      <c r="H347" s="405"/>
      <c r="I347" s="406"/>
      <c r="J347" s="180"/>
      <c r="K347" s="177"/>
      <c r="L347" s="177"/>
      <c r="M347" s="181"/>
      <c r="N347" s="182"/>
      <c r="O347" s="180"/>
      <c r="P347" s="165"/>
      <c r="Q347" s="183"/>
      <c r="R347" s="183"/>
      <c r="S347" s="183"/>
      <c r="T347" s="183"/>
      <c r="U347" s="183"/>
      <c r="V347" s="183"/>
      <c r="W347" s="183"/>
      <c r="X347" s="183"/>
      <c r="Y347" s="96"/>
      <c r="Z347" s="96"/>
      <c r="AA347" s="96"/>
    </row>
    <row r="348" spans="1:27" ht="17.25" x14ac:dyDescent="0.3">
      <c r="A348" s="150"/>
      <c r="B348" s="184"/>
      <c r="C348" s="180"/>
      <c r="D348" s="390"/>
      <c r="E348" s="394"/>
      <c r="F348" s="390"/>
      <c r="G348" s="394"/>
      <c r="H348" s="405"/>
      <c r="I348" s="406"/>
      <c r="J348" s="180"/>
      <c r="K348" s="177"/>
      <c r="L348" s="177"/>
      <c r="M348" s="181"/>
      <c r="N348" s="182"/>
      <c r="O348" s="180"/>
      <c r="P348" s="165"/>
      <c r="Q348" s="183"/>
      <c r="R348" s="183"/>
      <c r="S348" s="183"/>
      <c r="T348" s="183"/>
      <c r="U348" s="183"/>
      <c r="V348" s="183"/>
      <c r="W348" s="183"/>
      <c r="X348" s="183"/>
      <c r="Y348" s="96"/>
      <c r="Z348" s="96"/>
      <c r="AA348" s="96"/>
    </row>
    <row r="349" spans="1:27" ht="17.25" x14ac:dyDescent="0.3">
      <c r="A349" s="118"/>
      <c r="B349" s="118"/>
      <c r="C349" s="118"/>
      <c r="D349" s="121"/>
      <c r="E349" s="407"/>
      <c r="F349" s="407"/>
      <c r="G349" s="407"/>
      <c r="H349" s="118"/>
      <c r="I349" s="118"/>
      <c r="J349" s="118"/>
      <c r="K349" s="118"/>
      <c r="L349" s="119"/>
      <c r="M349" s="119"/>
      <c r="N349" s="119"/>
      <c r="O349" s="119"/>
      <c r="P349" s="119"/>
      <c r="Q349" s="408"/>
      <c r="R349" s="408"/>
      <c r="S349" s="408"/>
      <c r="T349" s="408"/>
      <c r="U349" s="408"/>
      <c r="V349" s="95"/>
      <c r="W349" s="95"/>
      <c r="X349" s="95"/>
      <c r="Y349" s="96"/>
      <c r="Z349" s="96"/>
      <c r="AA349" s="96"/>
    </row>
    <row r="350" spans="1:27" ht="17.25" x14ac:dyDescent="0.3">
      <c r="A350" s="118"/>
      <c r="B350" s="409" t="s">
        <v>867</v>
      </c>
      <c r="C350" s="408"/>
      <c r="D350" s="410"/>
      <c r="E350" s="380" t="s">
        <v>868</v>
      </c>
      <c r="F350" s="380"/>
      <c r="G350" s="380"/>
      <c r="H350" s="380"/>
      <c r="I350" s="380"/>
      <c r="J350" s="380"/>
      <c r="K350" s="380"/>
      <c r="L350" s="380"/>
      <c r="M350" s="380"/>
      <c r="N350" s="380"/>
      <c r="O350" s="380"/>
      <c r="P350" s="380"/>
      <c r="Q350" s="380"/>
      <c r="R350" s="380"/>
      <c r="S350" s="380"/>
      <c r="T350" s="380"/>
      <c r="U350" s="120"/>
      <c r="V350" s="95"/>
      <c r="W350" s="95"/>
      <c r="X350" s="95"/>
      <c r="Y350" s="96"/>
      <c r="Z350" s="96"/>
      <c r="AA350" s="96"/>
    </row>
    <row r="351" spans="1:27" ht="17.25" x14ac:dyDescent="0.3">
      <c r="A351" s="118"/>
      <c r="B351" s="411"/>
      <c r="C351" s="336"/>
      <c r="D351" s="412"/>
      <c r="E351" s="337">
        <v>1</v>
      </c>
      <c r="F351" s="339"/>
      <c r="G351" s="337">
        <v>2</v>
      </c>
      <c r="H351" s="339"/>
      <c r="I351" s="337">
        <v>3</v>
      </c>
      <c r="J351" s="339"/>
      <c r="K351" s="337">
        <v>4</v>
      </c>
      <c r="L351" s="339"/>
      <c r="M351" s="337">
        <v>5</v>
      </c>
      <c r="N351" s="339"/>
      <c r="O351" s="337">
        <v>6</v>
      </c>
      <c r="P351" s="339"/>
      <c r="Q351" s="337">
        <v>7</v>
      </c>
      <c r="R351" s="339"/>
      <c r="S351" s="337">
        <v>8</v>
      </c>
      <c r="T351" s="339"/>
      <c r="U351" s="120"/>
      <c r="V351" s="95"/>
      <c r="W351" s="95"/>
      <c r="X351" s="95"/>
      <c r="Y351" s="96"/>
      <c r="Z351" s="96"/>
      <c r="AA351" s="96"/>
    </row>
    <row r="352" spans="1:27" ht="17.25" x14ac:dyDescent="0.3">
      <c r="A352" s="118"/>
      <c r="B352" s="337"/>
      <c r="C352" s="338"/>
      <c r="D352" s="339"/>
      <c r="E352" s="384"/>
      <c r="F352" s="386"/>
      <c r="G352" s="413"/>
      <c r="H352" s="414"/>
      <c r="I352" s="413"/>
      <c r="J352" s="414"/>
      <c r="K352" s="413"/>
      <c r="L352" s="414"/>
      <c r="M352" s="413"/>
      <c r="N352" s="414"/>
      <c r="O352" s="413"/>
      <c r="P352" s="414"/>
      <c r="Q352" s="413"/>
      <c r="R352" s="414"/>
      <c r="S352" s="413"/>
      <c r="T352" s="414"/>
      <c r="U352" s="120"/>
      <c r="V352" s="95"/>
      <c r="W352" s="95"/>
      <c r="X352" s="95"/>
      <c r="Y352" s="96"/>
      <c r="Z352" s="96"/>
      <c r="AA352" s="96"/>
    </row>
    <row r="353" spans="1:27" ht="17.25" x14ac:dyDescent="0.3">
      <c r="A353" s="118"/>
      <c r="B353" s="337"/>
      <c r="C353" s="338"/>
      <c r="D353" s="339"/>
      <c r="E353" s="413"/>
      <c r="F353" s="414"/>
      <c r="G353" s="413"/>
      <c r="H353" s="414"/>
      <c r="I353" s="413"/>
      <c r="J353" s="414"/>
      <c r="K353" s="413"/>
      <c r="L353" s="414"/>
      <c r="M353" s="413"/>
      <c r="N353" s="414"/>
      <c r="O353" s="413"/>
      <c r="P353" s="414"/>
      <c r="Q353" s="413"/>
      <c r="R353" s="414"/>
      <c r="S353" s="413"/>
      <c r="T353" s="414"/>
      <c r="U353" s="120"/>
      <c r="V353" s="95"/>
      <c r="W353" s="95"/>
      <c r="X353" s="95"/>
      <c r="Y353" s="96"/>
      <c r="Z353" s="96"/>
      <c r="AA353" s="96"/>
    </row>
    <row r="354" spans="1:27" ht="17.25" x14ac:dyDescent="0.3">
      <c r="A354" s="118"/>
      <c r="B354" s="337"/>
      <c r="C354" s="338"/>
      <c r="D354" s="339"/>
      <c r="E354" s="413"/>
      <c r="F354" s="414"/>
      <c r="G354" s="413"/>
      <c r="H354" s="414"/>
      <c r="I354" s="413"/>
      <c r="J354" s="414"/>
      <c r="K354" s="413"/>
      <c r="L354" s="414"/>
      <c r="M354" s="413"/>
      <c r="N354" s="414"/>
      <c r="O354" s="413"/>
      <c r="P354" s="414"/>
      <c r="Q354" s="413"/>
      <c r="R354" s="414"/>
      <c r="S354" s="413"/>
      <c r="T354" s="414"/>
      <c r="U354" s="120"/>
      <c r="V354" s="95"/>
      <c r="W354" s="95"/>
      <c r="X354" s="95"/>
      <c r="Y354" s="96"/>
      <c r="Z354" s="96"/>
      <c r="AA354" s="96"/>
    </row>
    <row r="355" spans="1:27" ht="17.25" x14ac:dyDescent="0.3">
      <c r="A355" s="118"/>
      <c r="B355" s="337"/>
      <c r="C355" s="338"/>
      <c r="D355" s="339"/>
      <c r="E355" s="413"/>
      <c r="F355" s="414"/>
      <c r="G355" s="413"/>
      <c r="H355" s="414"/>
      <c r="I355" s="413"/>
      <c r="J355" s="414"/>
      <c r="K355" s="413"/>
      <c r="L355" s="414"/>
      <c r="M355" s="413"/>
      <c r="N355" s="414"/>
      <c r="O355" s="413"/>
      <c r="P355" s="414"/>
      <c r="Q355" s="413"/>
      <c r="R355" s="414"/>
      <c r="S355" s="413"/>
      <c r="T355" s="414"/>
      <c r="U355" s="120"/>
      <c r="V355" s="95"/>
      <c r="W355" s="95"/>
      <c r="X355" s="95"/>
      <c r="Y355" s="96"/>
      <c r="Z355" s="96"/>
      <c r="AA355" s="96"/>
    </row>
    <row r="356" spans="1:27" ht="17.25" x14ac:dyDescent="0.3">
      <c r="A356" s="118"/>
      <c r="B356" s="337"/>
      <c r="C356" s="338"/>
      <c r="D356" s="339"/>
      <c r="E356" s="413"/>
      <c r="F356" s="414"/>
      <c r="G356" s="413"/>
      <c r="H356" s="414"/>
      <c r="I356" s="413"/>
      <c r="J356" s="414"/>
      <c r="K356" s="413"/>
      <c r="L356" s="414"/>
      <c r="M356" s="413"/>
      <c r="N356" s="414"/>
      <c r="O356" s="413"/>
      <c r="P356" s="414"/>
      <c r="Q356" s="413"/>
      <c r="R356" s="414"/>
      <c r="S356" s="413"/>
      <c r="T356" s="414"/>
      <c r="U356" s="120"/>
      <c r="V356" s="95"/>
      <c r="W356" s="95"/>
      <c r="X356" s="95"/>
      <c r="Y356" s="96"/>
      <c r="Z356" s="96"/>
      <c r="AA356" s="96"/>
    </row>
    <row r="357" spans="1:27" ht="17.25" x14ac:dyDescent="0.3">
      <c r="A357" s="118"/>
      <c r="B357" s="337"/>
      <c r="C357" s="338"/>
      <c r="D357" s="339"/>
      <c r="E357" s="413"/>
      <c r="F357" s="414"/>
      <c r="G357" s="413"/>
      <c r="H357" s="414"/>
      <c r="I357" s="413"/>
      <c r="J357" s="414"/>
      <c r="K357" s="413"/>
      <c r="L357" s="414"/>
      <c r="M357" s="413"/>
      <c r="N357" s="414"/>
      <c r="O357" s="413"/>
      <c r="P357" s="414"/>
      <c r="Q357" s="413"/>
      <c r="R357" s="414"/>
      <c r="S357" s="413"/>
      <c r="T357" s="414"/>
      <c r="U357" s="120"/>
      <c r="V357" s="95"/>
      <c r="W357" s="95"/>
      <c r="X357" s="95"/>
      <c r="Y357" s="96"/>
      <c r="Z357" s="96"/>
      <c r="AA357" s="96"/>
    </row>
    <row r="358" spans="1:27" ht="17.25" x14ac:dyDescent="0.3">
      <c r="A358" s="118"/>
      <c r="B358" s="337"/>
      <c r="C358" s="338"/>
      <c r="D358" s="339"/>
      <c r="E358" s="413"/>
      <c r="F358" s="414"/>
      <c r="G358" s="413"/>
      <c r="H358" s="414"/>
      <c r="I358" s="413"/>
      <c r="J358" s="414"/>
      <c r="K358" s="413"/>
      <c r="L358" s="414"/>
      <c r="M358" s="413"/>
      <c r="N358" s="414"/>
      <c r="O358" s="413"/>
      <c r="P358" s="414"/>
      <c r="Q358" s="413"/>
      <c r="R358" s="414"/>
      <c r="S358" s="413"/>
      <c r="T358" s="414"/>
      <c r="U358" s="120"/>
      <c r="V358" s="95"/>
      <c r="W358" s="95"/>
      <c r="X358" s="95"/>
      <c r="Y358" s="96"/>
      <c r="Z358" s="96"/>
      <c r="AA358" s="96"/>
    </row>
    <row r="359" spans="1:27" ht="17.25" x14ac:dyDescent="0.3">
      <c r="A359" s="118"/>
      <c r="B359" s="120"/>
      <c r="C359" s="120"/>
      <c r="D359" s="120"/>
      <c r="E359" s="121"/>
      <c r="F359" s="121"/>
      <c r="G359" s="121"/>
      <c r="H359" s="121"/>
      <c r="I359" s="121"/>
      <c r="J359" s="121"/>
      <c r="K359" s="121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95"/>
      <c r="W359" s="95"/>
      <c r="X359" s="95"/>
      <c r="Y359" s="96"/>
      <c r="Z359" s="96"/>
      <c r="AA359" s="96"/>
    </row>
    <row r="360" spans="1:27" ht="17.25" x14ac:dyDescent="0.3">
      <c r="A360" s="118"/>
      <c r="B360" s="409" t="s">
        <v>867</v>
      </c>
      <c r="C360" s="408"/>
      <c r="D360" s="410"/>
      <c r="E360" s="337" t="s">
        <v>868</v>
      </c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  <c r="R360" s="338"/>
      <c r="S360" s="338"/>
      <c r="T360" s="339"/>
      <c r="U360" s="120"/>
      <c r="V360" s="95"/>
      <c r="W360" s="95"/>
      <c r="X360" s="95"/>
      <c r="Y360" s="96"/>
      <c r="Z360" s="96"/>
      <c r="AA360" s="96"/>
    </row>
    <row r="361" spans="1:27" ht="17.25" x14ac:dyDescent="0.3">
      <c r="A361" s="118"/>
      <c r="B361" s="411"/>
      <c r="C361" s="336"/>
      <c r="D361" s="412"/>
      <c r="E361" s="337">
        <v>9</v>
      </c>
      <c r="F361" s="339"/>
      <c r="G361" s="337">
        <v>10</v>
      </c>
      <c r="H361" s="339"/>
      <c r="I361" s="337">
        <v>11</v>
      </c>
      <c r="J361" s="339"/>
      <c r="K361" s="337">
        <v>12</v>
      </c>
      <c r="L361" s="339"/>
      <c r="M361" s="337">
        <v>13</v>
      </c>
      <c r="N361" s="339"/>
      <c r="O361" s="337">
        <v>14</v>
      </c>
      <c r="P361" s="339"/>
      <c r="Q361" s="337">
        <v>15</v>
      </c>
      <c r="R361" s="339"/>
      <c r="S361" s="337">
        <v>16</v>
      </c>
      <c r="T361" s="339"/>
      <c r="U361" s="120"/>
      <c r="V361" s="95"/>
      <c r="W361" s="95"/>
      <c r="X361" s="95"/>
      <c r="Y361" s="96"/>
      <c r="Z361" s="96"/>
      <c r="AA361" s="96"/>
    </row>
    <row r="362" spans="1:27" ht="17.25" x14ac:dyDescent="0.3">
      <c r="A362" s="118"/>
      <c r="B362" s="337"/>
      <c r="C362" s="338"/>
      <c r="D362" s="339"/>
      <c r="E362" s="413"/>
      <c r="F362" s="414"/>
      <c r="G362" s="413"/>
      <c r="H362" s="414"/>
      <c r="I362" s="413"/>
      <c r="J362" s="414"/>
      <c r="K362" s="413"/>
      <c r="L362" s="414"/>
      <c r="M362" s="413"/>
      <c r="N362" s="414"/>
      <c r="O362" s="413"/>
      <c r="P362" s="414"/>
      <c r="Q362" s="413"/>
      <c r="R362" s="414"/>
      <c r="S362" s="413"/>
      <c r="T362" s="414"/>
      <c r="U362" s="120"/>
      <c r="V362" s="95"/>
      <c r="W362" s="95"/>
      <c r="X362" s="95"/>
      <c r="Y362" s="96"/>
      <c r="Z362" s="96"/>
      <c r="AA362" s="96"/>
    </row>
    <row r="363" spans="1:27" ht="17.25" x14ac:dyDescent="0.3">
      <c r="A363" s="118"/>
      <c r="B363" s="337"/>
      <c r="C363" s="338"/>
      <c r="D363" s="339"/>
      <c r="E363" s="413"/>
      <c r="F363" s="414"/>
      <c r="G363" s="413"/>
      <c r="H363" s="414"/>
      <c r="I363" s="413"/>
      <c r="J363" s="414"/>
      <c r="K363" s="413"/>
      <c r="L363" s="414"/>
      <c r="M363" s="413"/>
      <c r="N363" s="414"/>
      <c r="O363" s="413"/>
      <c r="P363" s="414"/>
      <c r="Q363" s="413"/>
      <c r="R363" s="414"/>
      <c r="S363" s="413"/>
      <c r="T363" s="414"/>
      <c r="U363" s="120"/>
      <c r="V363" s="95"/>
      <c r="W363" s="95"/>
      <c r="X363" s="95"/>
      <c r="Y363" s="96"/>
      <c r="Z363" s="96"/>
      <c r="AA363" s="96"/>
    </row>
    <row r="364" spans="1:27" ht="17.25" x14ac:dyDescent="0.3">
      <c r="A364" s="118"/>
      <c r="B364" s="337"/>
      <c r="C364" s="338"/>
      <c r="D364" s="339"/>
      <c r="E364" s="413"/>
      <c r="F364" s="414"/>
      <c r="G364" s="413"/>
      <c r="H364" s="414"/>
      <c r="I364" s="413"/>
      <c r="J364" s="414"/>
      <c r="K364" s="413"/>
      <c r="L364" s="414"/>
      <c r="M364" s="413"/>
      <c r="N364" s="414"/>
      <c r="O364" s="413"/>
      <c r="P364" s="414"/>
      <c r="Q364" s="413"/>
      <c r="R364" s="414"/>
      <c r="S364" s="413"/>
      <c r="T364" s="414"/>
      <c r="U364" s="120"/>
      <c r="V364" s="95"/>
      <c r="W364" s="95"/>
      <c r="X364" s="95"/>
      <c r="Y364" s="96"/>
      <c r="Z364" s="96"/>
      <c r="AA364" s="96"/>
    </row>
    <row r="365" spans="1:27" ht="17.25" x14ac:dyDescent="0.3">
      <c r="A365" s="118"/>
      <c r="B365" s="337"/>
      <c r="C365" s="338"/>
      <c r="D365" s="339"/>
      <c r="E365" s="413"/>
      <c r="F365" s="414"/>
      <c r="G365" s="413"/>
      <c r="H365" s="414"/>
      <c r="I365" s="413"/>
      <c r="J365" s="414"/>
      <c r="K365" s="413"/>
      <c r="L365" s="414"/>
      <c r="M365" s="413"/>
      <c r="N365" s="414"/>
      <c r="O365" s="413"/>
      <c r="P365" s="414"/>
      <c r="Q365" s="413"/>
      <c r="R365" s="414"/>
      <c r="S365" s="413"/>
      <c r="T365" s="414"/>
      <c r="U365" s="120"/>
      <c r="V365" s="95"/>
      <c r="W365" s="95"/>
      <c r="X365" s="95"/>
      <c r="Y365" s="96"/>
      <c r="Z365" s="96"/>
      <c r="AA365" s="96"/>
    </row>
    <row r="366" spans="1:27" ht="17.25" x14ac:dyDescent="0.3">
      <c r="A366" s="118"/>
      <c r="B366" s="337"/>
      <c r="C366" s="338"/>
      <c r="D366" s="339"/>
      <c r="E366" s="413"/>
      <c r="F366" s="414"/>
      <c r="G366" s="413"/>
      <c r="H366" s="414"/>
      <c r="I366" s="413"/>
      <c r="J366" s="414"/>
      <c r="K366" s="413"/>
      <c r="L366" s="414"/>
      <c r="M366" s="413"/>
      <c r="N366" s="414"/>
      <c r="O366" s="413"/>
      <c r="P366" s="414"/>
      <c r="Q366" s="413"/>
      <c r="R366" s="414"/>
      <c r="S366" s="413"/>
      <c r="T366" s="414"/>
      <c r="U366" s="120"/>
      <c r="V366" s="95"/>
      <c r="W366" s="95"/>
      <c r="X366" s="95"/>
      <c r="Y366" s="96"/>
      <c r="Z366" s="96"/>
      <c r="AA366" s="96"/>
    </row>
    <row r="367" spans="1:27" ht="17.25" x14ac:dyDescent="0.3">
      <c r="A367" s="118"/>
      <c r="B367" s="337"/>
      <c r="C367" s="338"/>
      <c r="D367" s="339"/>
      <c r="E367" s="413"/>
      <c r="F367" s="414"/>
      <c r="G367" s="413"/>
      <c r="H367" s="414"/>
      <c r="I367" s="413"/>
      <c r="J367" s="414"/>
      <c r="K367" s="413"/>
      <c r="L367" s="414"/>
      <c r="M367" s="413"/>
      <c r="N367" s="414"/>
      <c r="O367" s="413"/>
      <c r="P367" s="414"/>
      <c r="Q367" s="413"/>
      <c r="R367" s="414"/>
      <c r="S367" s="413"/>
      <c r="T367" s="414"/>
      <c r="U367" s="120"/>
      <c r="V367" s="95"/>
      <c r="W367" s="95"/>
      <c r="X367" s="95"/>
      <c r="Y367" s="96"/>
      <c r="Z367" s="96"/>
      <c r="AA367" s="96"/>
    </row>
    <row r="368" spans="1:27" ht="17.25" x14ac:dyDescent="0.3">
      <c r="A368" s="118"/>
      <c r="B368" s="337"/>
      <c r="C368" s="338"/>
      <c r="D368" s="339"/>
      <c r="E368" s="413"/>
      <c r="F368" s="414"/>
      <c r="G368" s="413"/>
      <c r="H368" s="414"/>
      <c r="I368" s="413"/>
      <c r="J368" s="414"/>
      <c r="K368" s="413"/>
      <c r="L368" s="414"/>
      <c r="M368" s="413"/>
      <c r="N368" s="414"/>
      <c r="O368" s="413"/>
      <c r="P368" s="414"/>
      <c r="Q368" s="413"/>
      <c r="R368" s="414"/>
      <c r="S368" s="413"/>
      <c r="T368" s="414"/>
      <c r="U368" s="120"/>
      <c r="V368" s="95"/>
      <c r="W368" s="95"/>
      <c r="X368" s="95"/>
      <c r="Y368" s="96"/>
      <c r="Z368" s="96"/>
      <c r="AA368" s="96"/>
    </row>
    <row r="369" spans="1:27" ht="17.25" x14ac:dyDescent="0.3">
      <c r="A369" s="118"/>
      <c r="B369" s="120"/>
      <c r="C369" s="120"/>
      <c r="D369" s="120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20"/>
      <c r="V369" s="95"/>
      <c r="W369" s="95"/>
      <c r="X369" s="95"/>
      <c r="Y369" s="96"/>
      <c r="Z369" s="96"/>
      <c r="AA369" s="96"/>
    </row>
    <row r="370" spans="1:27" ht="17.25" x14ac:dyDescent="0.3">
      <c r="A370" s="118"/>
      <c r="B370" s="409" t="s">
        <v>867</v>
      </c>
      <c r="C370" s="408"/>
      <c r="D370" s="410"/>
      <c r="E370" s="337" t="s">
        <v>868</v>
      </c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  <c r="R370" s="338"/>
      <c r="S370" s="338"/>
      <c r="T370" s="339"/>
      <c r="U370" s="120"/>
      <c r="V370" s="95"/>
      <c r="W370" s="95"/>
      <c r="X370" s="95"/>
      <c r="Y370" s="96"/>
      <c r="Z370" s="96"/>
      <c r="AA370" s="96"/>
    </row>
    <row r="371" spans="1:27" ht="17.25" x14ac:dyDescent="0.3">
      <c r="A371" s="118"/>
      <c r="B371" s="411"/>
      <c r="C371" s="336"/>
      <c r="D371" s="412"/>
      <c r="E371" s="337">
        <v>17</v>
      </c>
      <c r="F371" s="339"/>
      <c r="G371" s="337">
        <v>18</v>
      </c>
      <c r="H371" s="339"/>
      <c r="I371" s="337">
        <v>19</v>
      </c>
      <c r="J371" s="339"/>
      <c r="K371" s="337">
        <v>20</v>
      </c>
      <c r="L371" s="339"/>
      <c r="M371" s="337">
        <v>21</v>
      </c>
      <c r="N371" s="339"/>
      <c r="O371" s="337">
        <v>22</v>
      </c>
      <c r="P371" s="339"/>
      <c r="Q371" s="337">
        <v>23</v>
      </c>
      <c r="R371" s="339"/>
      <c r="S371" s="337">
        <v>24</v>
      </c>
      <c r="T371" s="339"/>
      <c r="U371" s="120"/>
      <c r="V371" s="95"/>
      <c r="W371" s="95"/>
      <c r="X371" s="95"/>
      <c r="Y371" s="96"/>
      <c r="Z371" s="96"/>
      <c r="AA371" s="96"/>
    </row>
    <row r="372" spans="1:27" ht="17.25" x14ac:dyDescent="0.3">
      <c r="A372" s="118"/>
      <c r="B372" s="337"/>
      <c r="C372" s="338"/>
      <c r="D372" s="339"/>
      <c r="E372" s="95"/>
      <c r="F372" s="95"/>
      <c r="G372" s="413"/>
      <c r="H372" s="414"/>
      <c r="I372" s="413"/>
      <c r="J372" s="414"/>
      <c r="K372" s="413"/>
      <c r="L372" s="414"/>
      <c r="M372" s="413"/>
      <c r="N372" s="414"/>
      <c r="O372" s="413"/>
      <c r="P372" s="414"/>
      <c r="Q372" s="413"/>
      <c r="R372" s="414"/>
      <c r="S372" s="413"/>
      <c r="T372" s="414"/>
      <c r="U372" s="120"/>
      <c r="V372" s="95"/>
      <c r="W372" s="95"/>
      <c r="X372" s="95"/>
      <c r="Y372" s="96"/>
      <c r="Z372" s="96"/>
      <c r="AA372" s="96"/>
    </row>
    <row r="373" spans="1:27" ht="17.25" x14ac:dyDescent="0.3">
      <c r="A373" s="118"/>
      <c r="B373" s="337"/>
      <c r="C373" s="338"/>
      <c r="D373" s="339"/>
      <c r="E373" s="413"/>
      <c r="F373" s="414"/>
      <c r="G373" s="413"/>
      <c r="H373" s="414"/>
      <c r="I373" s="413"/>
      <c r="J373" s="414"/>
      <c r="K373" s="413"/>
      <c r="L373" s="414"/>
      <c r="M373" s="413"/>
      <c r="N373" s="414"/>
      <c r="O373" s="413"/>
      <c r="P373" s="414"/>
      <c r="Q373" s="413"/>
      <c r="R373" s="414"/>
      <c r="S373" s="413"/>
      <c r="T373" s="414"/>
      <c r="U373" s="120"/>
      <c r="V373" s="95"/>
      <c r="W373" s="95"/>
      <c r="X373" s="95"/>
      <c r="Y373" s="96"/>
      <c r="Z373" s="96"/>
      <c r="AA373" s="96"/>
    </row>
    <row r="374" spans="1:27" ht="17.25" x14ac:dyDescent="0.3">
      <c r="A374" s="118"/>
      <c r="B374" s="337"/>
      <c r="C374" s="338"/>
      <c r="D374" s="339"/>
      <c r="E374" s="413"/>
      <c r="F374" s="414"/>
      <c r="G374" s="413"/>
      <c r="H374" s="414"/>
      <c r="I374" s="413"/>
      <c r="J374" s="414"/>
      <c r="K374" s="413"/>
      <c r="L374" s="414"/>
      <c r="M374" s="413"/>
      <c r="N374" s="414"/>
      <c r="O374" s="413"/>
      <c r="P374" s="414"/>
      <c r="Q374" s="413"/>
      <c r="R374" s="414"/>
      <c r="S374" s="413"/>
      <c r="T374" s="414"/>
      <c r="U374" s="120"/>
      <c r="V374" s="95"/>
      <c r="W374" s="95"/>
      <c r="X374" s="95"/>
      <c r="Y374" s="96"/>
      <c r="Z374" s="96"/>
      <c r="AA374" s="96"/>
    </row>
    <row r="375" spans="1:27" ht="17.25" x14ac:dyDescent="0.3">
      <c r="A375" s="118"/>
      <c r="B375" s="337"/>
      <c r="C375" s="338"/>
      <c r="D375" s="339"/>
      <c r="E375" s="413"/>
      <c r="F375" s="414"/>
      <c r="G375" s="413"/>
      <c r="H375" s="414"/>
      <c r="I375" s="413"/>
      <c r="J375" s="414"/>
      <c r="K375" s="413"/>
      <c r="L375" s="414"/>
      <c r="M375" s="413"/>
      <c r="N375" s="414"/>
      <c r="O375" s="413"/>
      <c r="P375" s="414"/>
      <c r="Q375" s="413"/>
      <c r="R375" s="414"/>
      <c r="S375" s="413"/>
      <c r="T375" s="414"/>
      <c r="U375" s="120"/>
      <c r="V375" s="95"/>
      <c r="W375" s="95"/>
      <c r="X375" s="95"/>
      <c r="Y375" s="96"/>
      <c r="Z375" s="96"/>
      <c r="AA375" s="96"/>
    </row>
    <row r="376" spans="1:27" ht="17.25" x14ac:dyDescent="0.3">
      <c r="A376" s="118"/>
      <c r="B376" s="337"/>
      <c r="C376" s="338"/>
      <c r="D376" s="339"/>
      <c r="E376" s="413"/>
      <c r="F376" s="414"/>
      <c r="G376" s="413"/>
      <c r="H376" s="414"/>
      <c r="I376" s="413"/>
      <c r="J376" s="414"/>
      <c r="K376" s="413"/>
      <c r="L376" s="414"/>
      <c r="M376" s="413"/>
      <c r="N376" s="414"/>
      <c r="O376" s="413"/>
      <c r="P376" s="414"/>
      <c r="Q376" s="413"/>
      <c r="R376" s="414"/>
      <c r="S376" s="413"/>
      <c r="T376" s="414"/>
      <c r="U376" s="120"/>
      <c r="V376" s="95"/>
      <c r="W376" s="95"/>
      <c r="X376" s="95"/>
      <c r="Y376" s="96"/>
      <c r="Z376" s="96"/>
      <c r="AA376" s="96"/>
    </row>
    <row r="377" spans="1:27" ht="17.25" x14ac:dyDescent="0.3">
      <c r="A377" s="118"/>
      <c r="B377" s="337"/>
      <c r="C377" s="338"/>
      <c r="D377" s="339"/>
      <c r="E377" s="413"/>
      <c r="F377" s="414"/>
      <c r="G377" s="413"/>
      <c r="H377" s="414"/>
      <c r="I377" s="413"/>
      <c r="J377" s="414"/>
      <c r="K377" s="413"/>
      <c r="L377" s="414"/>
      <c r="M377" s="413"/>
      <c r="N377" s="414"/>
      <c r="O377" s="413"/>
      <c r="P377" s="414"/>
      <c r="Q377" s="413"/>
      <c r="R377" s="414"/>
      <c r="S377" s="413"/>
      <c r="T377" s="414"/>
      <c r="U377" s="120"/>
      <c r="V377" s="95"/>
      <c r="W377" s="95"/>
      <c r="X377" s="95"/>
      <c r="Y377" s="96"/>
      <c r="Z377" s="96"/>
      <c r="AA377" s="96"/>
    </row>
    <row r="378" spans="1:27" ht="17.25" x14ac:dyDescent="0.3">
      <c r="A378" s="118"/>
      <c r="B378" s="337"/>
      <c r="C378" s="338"/>
      <c r="D378" s="339"/>
      <c r="E378" s="413"/>
      <c r="F378" s="414"/>
      <c r="G378" s="413"/>
      <c r="H378" s="414"/>
      <c r="I378" s="413"/>
      <c r="J378" s="414"/>
      <c r="K378" s="413"/>
      <c r="L378" s="414"/>
      <c r="M378" s="413"/>
      <c r="N378" s="414"/>
      <c r="O378" s="413"/>
      <c r="P378" s="414"/>
      <c r="Q378" s="413"/>
      <c r="R378" s="414"/>
      <c r="S378" s="413"/>
      <c r="T378" s="414"/>
      <c r="U378" s="120"/>
      <c r="V378" s="95"/>
      <c r="W378" s="95"/>
      <c r="X378" s="95"/>
      <c r="Y378" s="96"/>
      <c r="Z378" s="96"/>
      <c r="AA378" s="96"/>
    </row>
    <row r="379" spans="1:27" ht="17.25" x14ac:dyDescent="0.3">
      <c r="A379" s="118"/>
      <c r="B379" s="120"/>
      <c r="C379" s="120"/>
      <c r="D379" s="120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20"/>
      <c r="V379" s="95"/>
      <c r="W379" s="95"/>
      <c r="X379" s="95"/>
      <c r="Y379" s="96"/>
      <c r="Z379" s="96"/>
      <c r="AA379" s="96"/>
    </row>
    <row r="380" spans="1:27" ht="17.25" x14ac:dyDescent="0.3">
      <c r="A380" s="118"/>
      <c r="B380" s="409" t="s">
        <v>867</v>
      </c>
      <c r="C380" s="408"/>
      <c r="D380" s="410"/>
      <c r="E380" s="337" t="s">
        <v>868</v>
      </c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9"/>
      <c r="U380" s="120"/>
      <c r="V380" s="95"/>
      <c r="W380" s="95"/>
      <c r="X380" s="95"/>
      <c r="Y380" s="96"/>
      <c r="Z380" s="96"/>
      <c r="AA380" s="96"/>
    </row>
    <row r="381" spans="1:27" ht="17.25" x14ac:dyDescent="0.3">
      <c r="A381" s="118"/>
      <c r="B381" s="411"/>
      <c r="C381" s="336"/>
      <c r="D381" s="412"/>
      <c r="E381" s="337">
        <v>25</v>
      </c>
      <c r="F381" s="339"/>
      <c r="G381" s="337">
        <v>26</v>
      </c>
      <c r="H381" s="339"/>
      <c r="I381" s="337">
        <v>27</v>
      </c>
      <c r="J381" s="339"/>
      <c r="K381" s="337">
        <v>28</v>
      </c>
      <c r="L381" s="339"/>
      <c r="M381" s="337">
        <v>29</v>
      </c>
      <c r="N381" s="339"/>
      <c r="O381" s="337">
        <v>30</v>
      </c>
      <c r="P381" s="339"/>
      <c r="Q381" s="337">
        <v>31</v>
      </c>
      <c r="R381" s="339"/>
      <c r="S381" s="337">
        <v>32</v>
      </c>
      <c r="T381" s="339"/>
      <c r="U381" s="120"/>
      <c r="V381" s="95"/>
      <c r="W381" s="95"/>
      <c r="X381" s="95"/>
      <c r="Y381" s="96"/>
      <c r="Z381" s="96"/>
      <c r="AA381" s="96"/>
    </row>
    <row r="382" spans="1:27" ht="17.25" x14ac:dyDescent="0.3">
      <c r="A382" s="118"/>
      <c r="B382" s="337"/>
      <c r="C382" s="338"/>
      <c r="D382" s="339"/>
      <c r="E382" s="413"/>
      <c r="F382" s="414"/>
      <c r="G382" s="413"/>
      <c r="H382" s="414"/>
      <c r="I382" s="413"/>
      <c r="J382" s="414"/>
      <c r="K382" s="413"/>
      <c r="L382" s="414"/>
      <c r="M382" s="413"/>
      <c r="N382" s="414"/>
      <c r="O382" s="413"/>
      <c r="P382" s="414"/>
      <c r="Q382" s="413"/>
      <c r="R382" s="414"/>
      <c r="S382" s="413"/>
      <c r="T382" s="414"/>
      <c r="U382" s="120"/>
      <c r="V382" s="95"/>
      <c r="W382" s="95"/>
      <c r="X382" s="95"/>
      <c r="Y382" s="96"/>
      <c r="Z382" s="96"/>
      <c r="AA382" s="96"/>
    </row>
    <row r="383" spans="1:27" ht="17.25" x14ac:dyDescent="0.3">
      <c r="A383" s="118"/>
      <c r="B383" s="337"/>
      <c r="C383" s="338"/>
      <c r="D383" s="339"/>
      <c r="E383" s="413"/>
      <c r="F383" s="414"/>
      <c r="G383" s="413"/>
      <c r="H383" s="414"/>
      <c r="I383" s="413"/>
      <c r="J383" s="414"/>
      <c r="K383" s="413"/>
      <c r="L383" s="414"/>
      <c r="M383" s="413"/>
      <c r="N383" s="414"/>
      <c r="O383" s="413"/>
      <c r="P383" s="414"/>
      <c r="Q383" s="413"/>
      <c r="R383" s="414"/>
      <c r="S383" s="413"/>
      <c r="T383" s="414"/>
      <c r="U383" s="120"/>
      <c r="V383" s="95"/>
      <c r="W383" s="95"/>
      <c r="X383" s="95"/>
      <c r="Y383" s="96"/>
      <c r="Z383" s="96"/>
      <c r="AA383" s="96"/>
    </row>
    <row r="384" spans="1:27" ht="17.25" x14ac:dyDescent="0.3">
      <c r="A384" s="118"/>
      <c r="B384" s="337"/>
      <c r="C384" s="338"/>
      <c r="D384" s="339"/>
      <c r="E384" s="413"/>
      <c r="F384" s="414"/>
      <c r="G384" s="413"/>
      <c r="H384" s="414"/>
      <c r="I384" s="413"/>
      <c r="J384" s="414"/>
      <c r="K384" s="413"/>
      <c r="L384" s="414"/>
      <c r="M384" s="413"/>
      <c r="N384" s="414"/>
      <c r="O384" s="413"/>
      <c r="P384" s="414"/>
      <c r="Q384" s="413"/>
      <c r="R384" s="414"/>
      <c r="S384" s="413"/>
      <c r="T384" s="414"/>
      <c r="U384" s="120"/>
      <c r="V384" s="95"/>
      <c r="W384" s="95"/>
      <c r="X384" s="95"/>
      <c r="Y384" s="96"/>
      <c r="Z384" s="96"/>
      <c r="AA384" s="96"/>
    </row>
    <row r="385" spans="1:27" ht="17.25" x14ac:dyDescent="0.3">
      <c r="A385" s="118"/>
      <c r="B385" s="337"/>
      <c r="C385" s="338"/>
      <c r="D385" s="339"/>
      <c r="E385" s="413"/>
      <c r="F385" s="414"/>
      <c r="G385" s="413"/>
      <c r="H385" s="414"/>
      <c r="I385" s="413"/>
      <c r="J385" s="414"/>
      <c r="K385" s="413"/>
      <c r="L385" s="414"/>
      <c r="M385" s="413"/>
      <c r="N385" s="414"/>
      <c r="O385" s="413"/>
      <c r="P385" s="414"/>
      <c r="Q385" s="413"/>
      <c r="R385" s="414"/>
      <c r="S385" s="413"/>
      <c r="T385" s="414"/>
      <c r="U385" s="120"/>
      <c r="V385" s="95"/>
      <c r="W385" s="95"/>
      <c r="X385" s="95"/>
      <c r="Y385" s="96"/>
      <c r="Z385" s="96"/>
      <c r="AA385" s="96"/>
    </row>
    <row r="386" spans="1:27" ht="17.25" x14ac:dyDescent="0.3">
      <c r="A386" s="118"/>
      <c r="B386" s="337"/>
      <c r="C386" s="338"/>
      <c r="D386" s="339"/>
      <c r="E386" s="413"/>
      <c r="F386" s="414"/>
      <c r="G386" s="413"/>
      <c r="H386" s="414"/>
      <c r="I386" s="413"/>
      <c r="J386" s="414"/>
      <c r="K386" s="413"/>
      <c r="L386" s="414"/>
      <c r="M386" s="413"/>
      <c r="N386" s="414"/>
      <c r="O386" s="413"/>
      <c r="P386" s="414"/>
      <c r="Q386" s="413"/>
      <c r="R386" s="414"/>
      <c r="S386" s="413"/>
      <c r="T386" s="414"/>
      <c r="U386" s="120"/>
      <c r="V386" s="95"/>
      <c r="W386" s="95"/>
      <c r="X386" s="95"/>
      <c r="Y386" s="96"/>
      <c r="Z386" s="96"/>
      <c r="AA386" s="96"/>
    </row>
    <row r="387" spans="1:27" ht="17.25" x14ac:dyDescent="0.3">
      <c r="A387" s="118"/>
      <c r="B387" s="337"/>
      <c r="C387" s="338"/>
      <c r="D387" s="339"/>
      <c r="E387" s="413"/>
      <c r="F387" s="414"/>
      <c r="G387" s="413"/>
      <c r="H387" s="414"/>
      <c r="I387" s="413"/>
      <c r="J387" s="414"/>
      <c r="K387" s="413"/>
      <c r="L387" s="414"/>
      <c r="M387" s="413"/>
      <c r="N387" s="414"/>
      <c r="O387" s="413"/>
      <c r="P387" s="414"/>
      <c r="Q387" s="413"/>
      <c r="R387" s="414"/>
      <c r="S387" s="413"/>
      <c r="T387" s="414"/>
      <c r="U387" s="120"/>
      <c r="V387" s="95"/>
      <c r="W387" s="95"/>
      <c r="X387" s="95"/>
      <c r="Y387" s="96"/>
      <c r="Z387" s="96"/>
      <c r="AA387" s="96"/>
    </row>
    <row r="388" spans="1:27" ht="17.25" x14ac:dyDescent="0.3">
      <c r="A388" s="118"/>
      <c r="B388" s="337"/>
      <c r="C388" s="338"/>
      <c r="D388" s="339"/>
      <c r="E388" s="413"/>
      <c r="F388" s="414"/>
      <c r="G388" s="413"/>
      <c r="H388" s="414"/>
      <c r="I388" s="413"/>
      <c r="J388" s="414"/>
      <c r="K388" s="413"/>
      <c r="L388" s="414"/>
      <c r="M388" s="413"/>
      <c r="N388" s="414"/>
      <c r="O388" s="413"/>
      <c r="P388" s="414"/>
      <c r="Q388" s="413"/>
      <c r="R388" s="414"/>
      <c r="S388" s="413"/>
      <c r="T388" s="414"/>
      <c r="U388" s="120"/>
      <c r="V388" s="95"/>
      <c r="W388" s="95"/>
      <c r="X388" s="95"/>
      <c r="Y388" s="96"/>
      <c r="Z388" s="96"/>
      <c r="AA388" s="96"/>
    </row>
    <row r="389" spans="1:27" ht="17.25" x14ac:dyDescent="0.3">
      <c r="A389" s="118"/>
      <c r="B389" s="120"/>
      <c r="C389" s="120"/>
      <c r="D389" s="120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20"/>
      <c r="V389" s="95"/>
      <c r="W389" s="95"/>
      <c r="X389" s="95"/>
      <c r="Y389" s="96"/>
      <c r="Z389" s="96"/>
      <c r="AA389" s="96"/>
    </row>
    <row r="390" spans="1:27" ht="17.25" x14ac:dyDescent="0.3">
      <c r="A390" s="118"/>
      <c r="B390" s="409" t="s">
        <v>867</v>
      </c>
      <c r="C390" s="408"/>
      <c r="D390" s="410"/>
      <c r="E390" s="337" t="s">
        <v>868</v>
      </c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  <c r="R390" s="338"/>
      <c r="S390" s="338"/>
      <c r="T390" s="339"/>
      <c r="U390" s="120"/>
      <c r="V390" s="95"/>
      <c r="W390" s="95"/>
      <c r="X390" s="95"/>
      <c r="Y390" s="96"/>
      <c r="Z390" s="96"/>
      <c r="AA390" s="96"/>
    </row>
    <row r="391" spans="1:27" ht="17.25" x14ac:dyDescent="0.3">
      <c r="A391" s="118"/>
      <c r="B391" s="411"/>
      <c r="C391" s="336"/>
      <c r="D391" s="412"/>
      <c r="E391" s="337">
        <v>33</v>
      </c>
      <c r="F391" s="339"/>
      <c r="G391" s="337">
        <v>34</v>
      </c>
      <c r="H391" s="339"/>
      <c r="I391" s="337">
        <v>35</v>
      </c>
      <c r="J391" s="339"/>
      <c r="K391" s="337">
        <v>36</v>
      </c>
      <c r="L391" s="339"/>
      <c r="M391" s="337">
        <v>37</v>
      </c>
      <c r="N391" s="339"/>
      <c r="O391" s="337">
        <v>38</v>
      </c>
      <c r="P391" s="339"/>
      <c r="Q391" s="337">
        <v>39</v>
      </c>
      <c r="R391" s="339"/>
      <c r="S391" s="337">
        <v>40</v>
      </c>
      <c r="T391" s="339"/>
      <c r="U391" s="120"/>
      <c r="V391" s="95"/>
      <c r="W391" s="95"/>
      <c r="X391" s="95"/>
      <c r="Y391" s="96"/>
      <c r="Z391" s="96"/>
      <c r="AA391" s="96"/>
    </row>
    <row r="392" spans="1:27" ht="17.25" x14ac:dyDescent="0.3">
      <c r="A392" s="118"/>
      <c r="B392" s="337"/>
      <c r="C392" s="338"/>
      <c r="D392" s="339"/>
      <c r="E392" s="413"/>
      <c r="F392" s="414"/>
      <c r="G392" s="413"/>
      <c r="H392" s="414"/>
      <c r="I392" s="413"/>
      <c r="J392" s="414"/>
      <c r="K392" s="413"/>
      <c r="L392" s="414"/>
      <c r="M392" s="413"/>
      <c r="N392" s="414"/>
      <c r="O392" s="413"/>
      <c r="P392" s="414"/>
      <c r="Q392" s="413"/>
      <c r="R392" s="414"/>
      <c r="S392" s="413"/>
      <c r="T392" s="414"/>
      <c r="U392" s="120"/>
      <c r="V392" s="95"/>
      <c r="W392" s="95"/>
      <c r="X392" s="95"/>
      <c r="Y392" s="96"/>
      <c r="Z392" s="96"/>
      <c r="AA392" s="96"/>
    </row>
    <row r="393" spans="1:27" ht="17.25" x14ac:dyDescent="0.3">
      <c r="A393" s="118"/>
      <c r="B393" s="337"/>
      <c r="C393" s="338"/>
      <c r="D393" s="339"/>
      <c r="E393" s="413"/>
      <c r="F393" s="414"/>
      <c r="G393" s="413"/>
      <c r="H393" s="414"/>
      <c r="I393" s="413"/>
      <c r="J393" s="414"/>
      <c r="K393" s="413"/>
      <c r="L393" s="414"/>
      <c r="M393" s="413"/>
      <c r="N393" s="414"/>
      <c r="O393" s="413"/>
      <c r="P393" s="414"/>
      <c r="Q393" s="413"/>
      <c r="R393" s="414"/>
      <c r="S393" s="413"/>
      <c r="T393" s="414"/>
      <c r="U393" s="120"/>
      <c r="V393" s="95"/>
      <c r="W393" s="95"/>
      <c r="X393" s="95"/>
      <c r="Y393" s="96"/>
      <c r="Z393" s="96"/>
      <c r="AA393" s="96"/>
    </row>
    <row r="394" spans="1:27" ht="17.25" x14ac:dyDescent="0.3">
      <c r="A394" s="118"/>
      <c r="B394" s="337"/>
      <c r="C394" s="338"/>
      <c r="D394" s="339"/>
      <c r="E394" s="413"/>
      <c r="F394" s="414"/>
      <c r="G394" s="413"/>
      <c r="H394" s="414"/>
      <c r="I394" s="413"/>
      <c r="J394" s="414"/>
      <c r="K394" s="413"/>
      <c r="L394" s="414"/>
      <c r="M394" s="413"/>
      <c r="N394" s="414"/>
      <c r="O394" s="413"/>
      <c r="P394" s="414"/>
      <c r="Q394" s="413"/>
      <c r="R394" s="414"/>
      <c r="S394" s="413"/>
      <c r="T394" s="414"/>
      <c r="U394" s="120"/>
      <c r="V394" s="95"/>
      <c r="W394" s="95"/>
      <c r="X394" s="95"/>
      <c r="Y394" s="96"/>
      <c r="Z394" s="96"/>
      <c r="AA394" s="96"/>
    </row>
    <row r="395" spans="1:27" ht="17.25" x14ac:dyDescent="0.3">
      <c r="A395" s="118"/>
      <c r="B395" s="337"/>
      <c r="C395" s="338"/>
      <c r="D395" s="339"/>
      <c r="E395" s="413"/>
      <c r="F395" s="414"/>
      <c r="G395" s="413"/>
      <c r="H395" s="414"/>
      <c r="I395" s="413"/>
      <c r="J395" s="414"/>
      <c r="K395" s="413"/>
      <c r="L395" s="414"/>
      <c r="M395" s="413"/>
      <c r="N395" s="414"/>
      <c r="O395" s="413"/>
      <c r="P395" s="414"/>
      <c r="Q395" s="413"/>
      <c r="R395" s="414"/>
      <c r="S395" s="413"/>
      <c r="T395" s="414"/>
      <c r="U395" s="120"/>
      <c r="V395" s="95"/>
      <c r="W395" s="95"/>
      <c r="X395" s="95"/>
      <c r="Y395" s="96"/>
      <c r="Z395" s="96"/>
      <c r="AA395" s="96"/>
    </row>
    <row r="396" spans="1:27" ht="17.25" x14ac:dyDescent="0.3">
      <c r="A396" s="118"/>
      <c r="B396" s="337"/>
      <c r="C396" s="338"/>
      <c r="D396" s="339"/>
      <c r="E396" s="413"/>
      <c r="F396" s="414"/>
      <c r="G396" s="413"/>
      <c r="H396" s="414"/>
      <c r="I396" s="413"/>
      <c r="J396" s="414"/>
      <c r="K396" s="413"/>
      <c r="L396" s="414"/>
      <c r="M396" s="413"/>
      <c r="N396" s="414"/>
      <c r="O396" s="413"/>
      <c r="P396" s="414"/>
      <c r="Q396" s="413"/>
      <c r="R396" s="414"/>
      <c r="S396" s="413"/>
      <c r="T396" s="414"/>
      <c r="U396" s="120"/>
      <c r="V396" s="95"/>
      <c r="W396" s="95"/>
      <c r="X396" s="95"/>
      <c r="Y396" s="96"/>
      <c r="Z396" s="96"/>
      <c r="AA396" s="96"/>
    </row>
    <row r="397" spans="1:27" ht="17.25" x14ac:dyDescent="0.3">
      <c r="A397" s="118"/>
      <c r="B397" s="337"/>
      <c r="C397" s="338"/>
      <c r="D397" s="339"/>
      <c r="E397" s="413"/>
      <c r="F397" s="414"/>
      <c r="G397" s="413"/>
      <c r="H397" s="414"/>
      <c r="I397" s="413"/>
      <c r="J397" s="414"/>
      <c r="K397" s="413"/>
      <c r="L397" s="414"/>
      <c r="M397" s="413"/>
      <c r="N397" s="414"/>
      <c r="O397" s="413"/>
      <c r="P397" s="414"/>
      <c r="Q397" s="413"/>
      <c r="R397" s="414"/>
      <c r="S397" s="413"/>
      <c r="T397" s="414"/>
      <c r="U397" s="120"/>
      <c r="V397" s="95"/>
      <c r="W397" s="95"/>
      <c r="X397" s="95"/>
      <c r="Y397" s="96"/>
      <c r="Z397" s="96"/>
      <c r="AA397" s="96"/>
    </row>
    <row r="398" spans="1:27" ht="17.25" x14ac:dyDescent="0.3">
      <c r="A398" s="118"/>
      <c r="B398" s="337"/>
      <c r="C398" s="338"/>
      <c r="D398" s="339"/>
      <c r="E398" s="413"/>
      <c r="F398" s="414"/>
      <c r="G398" s="413"/>
      <c r="H398" s="414"/>
      <c r="I398" s="413"/>
      <c r="J398" s="414"/>
      <c r="K398" s="413"/>
      <c r="L398" s="414"/>
      <c r="M398" s="413"/>
      <c r="N398" s="414"/>
      <c r="O398" s="413"/>
      <c r="P398" s="414"/>
      <c r="Q398" s="413"/>
      <c r="R398" s="414"/>
      <c r="S398" s="413"/>
      <c r="T398" s="414"/>
      <c r="U398" s="120"/>
      <c r="V398" s="95"/>
      <c r="W398" s="95"/>
      <c r="X398" s="95"/>
      <c r="Y398" s="96"/>
      <c r="Z398" s="96"/>
      <c r="AA398" s="96"/>
    </row>
    <row r="399" spans="1:27" ht="17.25" x14ac:dyDescent="0.3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9"/>
      <c r="M399" s="120"/>
      <c r="N399" s="119"/>
      <c r="O399" s="120"/>
      <c r="P399" s="119"/>
      <c r="Q399" s="120"/>
      <c r="R399" s="119"/>
      <c r="S399" s="120"/>
      <c r="T399" s="120"/>
      <c r="U399" s="120"/>
      <c r="V399" s="95"/>
      <c r="W399" s="95"/>
      <c r="X399" s="95"/>
      <c r="Y399" s="96"/>
      <c r="Z399" s="96"/>
      <c r="AA399" s="96"/>
    </row>
    <row r="400" spans="1:27" ht="17.25" x14ac:dyDescent="0.3">
      <c r="A400" s="118"/>
      <c r="B400" s="409" t="s">
        <v>867</v>
      </c>
      <c r="C400" s="408"/>
      <c r="D400" s="410"/>
      <c r="E400" s="337" t="s">
        <v>868</v>
      </c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9"/>
      <c r="U400" s="120"/>
      <c r="V400" s="95"/>
      <c r="W400" s="95"/>
      <c r="X400" s="95"/>
      <c r="Y400" s="96"/>
      <c r="Z400" s="96"/>
      <c r="AA400" s="96"/>
    </row>
    <row r="401" spans="1:27" ht="17.25" x14ac:dyDescent="0.3">
      <c r="A401" s="118"/>
      <c r="B401" s="411"/>
      <c r="C401" s="336"/>
      <c r="D401" s="412"/>
      <c r="E401" s="337">
        <v>41</v>
      </c>
      <c r="F401" s="339"/>
      <c r="G401" s="337">
        <v>42</v>
      </c>
      <c r="H401" s="339"/>
      <c r="I401" s="337">
        <v>43</v>
      </c>
      <c r="J401" s="339"/>
      <c r="K401" s="337">
        <v>44</v>
      </c>
      <c r="L401" s="339"/>
      <c r="M401" s="337">
        <v>45</v>
      </c>
      <c r="N401" s="339"/>
      <c r="O401" s="337">
        <v>46</v>
      </c>
      <c r="P401" s="339"/>
      <c r="Q401" s="337">
        <v>47</v>
      </c>
      <c r="R401" s="339"/>
      <c r="S401" s="337">
        <v>48</v>
      </c>
      <c r="T401" s="339"/>
      <c r="U401" s="120"/>
      <c r="V401" s="95"/>
      <c r="W401" s="95"/>
      <c r="X401" s="95"/>
      <c r="Y401" s="96"/>
      <c r="Z401" s="96"/>
      <c r="AA401" s="96"/>
    </row>
    <row r="402" spans="1:27" ht="17.25" x14ac:dyDescent="0.3">
      <c r="A402" s="118"/>
      <c r="B402" s="337"/>
      <c r="C402" s="338"/>
      <c r="D402" s="339"/>
      <c r="E402" s="413"/>
      <c r="F402" s="414"/>
      <c r="G402" s="413"/>
      <c r="H402" s="414"/>
      <c r="I402" s="413"/>
      <c r="J402" s="414"/>
      <c r="K402" s="413"/>
      <c r="L402" s="414"/>
      <c r="M402" s="413"/>
      <c r="N402" s="414"/>
      <c r="O402" s="413"/>
      <c r="P402" s="414"/>
      <c r="Q402" s="413"/>
      <c r="R402" s="414"/>
      <c r="S402" s="413"/>
      <c r="T402" s="414"/>
      <c r="U402" s="120"/>
      <c r="V402" s="95"/>
      <c r="W402" s="95"/>
      <c r="X402" s="95"/>
      <c r="Y402" s="96"/>
      <c r="Z402" s="96"/>
      <c r="AA402" s="96"/>
    </row>
    <row r="403" spans="1:27" ht="17.25" x14ac:dyDescent="0.3">
      <c r="A403" s="118"/>
      <c r="B403" s="337"/>
      <c r="C403" s="338"/>
      <c r="D403" s="339"/>
      <c r="E403" s="413"/>
      <c r="F403" s="414"/>
      <c r="G403" s="413"/>
      <c r="H403" s="414"/>
      <c r="I403" s="413"/>
      <c r="J403" s="414"/>
      <c r="K403" s="413"/>
      <c r="L403" s="414"/>
      <c r="M403" s="413"/>
      <c r="N403" s="414"/>
      <c r="O403" s="413"/>
      <c r="P403" s="414"/>
      <c r="Q403" s="413"/>
      <c r="R403" s="414"/>
      <c r="S403" s="413"/>
      <c r="T403" s="414"/>
      <c r="U403" s="120"/>
      <c r="V403" s="95"/>
      <c r="W403" s="95"/>
      <c r="X403" s="95"/>
      <c r="Y403" s="96"/>
      <c r="Z403" s="96"/>
      <c r="AA403" s="96"/>
    </row>
    <row r="404" spans="1:27" ht="17.25" x14ac:dyDescent="0.3">
      <c r="A404" s="118"/>
      <c r="B404" s="337"/>
      <c r="C404" s="338"/>
      <c r="D404" s="339"/>
      <c r="E404" s="413"/>
      <c r="F404" s="414"/>
      <c r="G404" s="413"/>
      <c r="H404" s="414"/>
      <c r="I404" s="413"/>
      <c r="J404" s="414"/>
      <c r="K404" s="413"/>
      <c r="L404" s="414"/>
      <c r="M404" s="413"/>
      <c r="N404" s="414"/>
      <c r="O404" s="413"/>
      <c r="P404" s="414"/>
      <c r="Q404" s="413"/>
      <c r="R404" s="414"/>
      <c r="S404" s="413"/>
      <c r="T404" s="414"/>
      <c r="U404" s="120"/>
      <c r="V404" s="95"/>
      <c r="W404" s="95"/>
      <c r="X404" s="95"/>
      <c r="Y404" s="96"/>
      <c r="Z404" s="96"/>
      <c r="AA404" s="96"/>
    </row>
    <row r="405" spans="1:27" ht="17.25" x14ac:dyDescent="0.3">
      <c r="A405" s="118"/>
      <c r="B405" s="337"/>
      <c r="C405" s="338"/>
      <c r="D405" s="339"/>
      <c r="E405" s="413"/>
      <c r="F405" s="414"/>
      <c r="G405" s="413"/>
      <c r="H405" s="414"/>
      <c r="I405" s="413"/>
      <c r="J405" s="414"/>
      <c r="K405" s="413"/>
      <c r="L405" s="414"/>
      <c r="M405" s="413"/>
      <c r="N405" s="414"/>
      <c r="O405" s="413"/>
      <c r="P405" s="414"/>
      <c r="Q405" s="413"/>
      <c r="R405" s="414"/>
      <c r="S405" s="413"/>
      <c r="T405" s="414"/>
      <c r="U405" s="120"/>
      <c r="V405" s="95"/>
      <c r="W405" s="95"/>
      <c r="X405" s="95"/>
      <c r="Y405" s="96"/>
      <c r="Z405" s="96"/>
      <c r="AA405" s="96"/>
    </row>
    <row r="406" spans="1:27" ht="17.25" x14ac:dyDescent="0.3">
      <c r="A406" s="118"/>
      <c r="B406" s="337"/>
      <c r="C406" s="338"/>
      <c r="D406" s="339"/>
      <c r="E406" s="413"/>
      <c r="F406" s="414"/>
      <c r="G406" s="413"/>
      <c r="H406" s="414"/>
      <c r="I406" s="413"/>
      <c r="J406" s="414"/>
      <c r="K406" s="413"/>
      <c r="L406" s="414"/>
      <c r="M406" s="413"/>
      <c r="N406" s="414"/>
      <c r="O406" s="413"/>
      <c r="P406" s="414"/>
      <c r="Q406" s="413"/>
      <c r="R406" s="414"/>
      <c r="S406" s="413"/>
      <c r="T406" s="414"/>
      <c r="U406" s="120"/>
      <c r="V406" s="95"/>
      <c r="W406" s="95"/>
      <c r="X406" s="95"/>
      <c r="Y406" s="96"/>
      <c r="Z406" s="96"/>
      <c r="AA406" s="96"/>
    </row>
    <row r="407" spans="1:27" ht="17.25" x14ac:dyDescent="0.3">
      <c r="A407" s="118"/>
      <c r="B407" s="337"/>
      <c r="C407" s="338"/>
      <c r="D407" s="339"/>
      <c r="E407" s="413"/>
      <c r="F407" s="414"/>
      <c r="G407" s="413"/>
      <c r="H407" s="414"/>
      <c r="I407" s="413"/>
      <c r="J407" s="414"/>
      <c r="K407" s="413"/>
      <c r="L407" s="414"/>
      <c r="M407" s="413"/>
      <c r="N407" s="414"/>
      <c r="O407" s="413"/>
      <c r="P407" s="414"/>
      <c r="Q407" s="413"/>
      <c r="R407" s="414"/>
      <c r="S407" s="413"/>
      <c r="T407" s="414"/>
      <c r="U407" s="120"/>
      <c r="V407" s="95"/>
      <c r="W407" s="95"/>
      <c r="X407" s="95"/>
      <c r="Y407" s="96"/>
      <c r="Z407" s="96"/>
      <c r="AA407" s="96"/>
    </row>
    <row r="408" spans="1:27" ht="17.25" x14ac:dyDescent="0.3">
      <c r="A408" s="118"/>
      <c r="B408" s="337"/>
      <c r="C408" s="338"/>
      <c r="D408" s="339"/>
      <c r="E408" s="413"/>
      <c r="F408" s="414"/>
      <c r="G408" s="413"/>
      <c r="H408" s="414"/>
      <c r="I408" s="413"/>
      <c r="J408" s="414"/>
      <c r="K408" s="413"/>
      <c r="L408" s="414"/>
      <c r="M408" s="413"/>
      <c r="N408" s="414"/>
      <c r="O408" s="413"/>
      <c r="P408" s="414"/>
      <c r="Q408" s="413"/>
      <c r="R408" s="414"/>
      <c r="S408" s="413"/>
      <c r="T408" s="414"/>
      <c r="U408" s="120"/>
      <c r="V408" s="95"/>
      <c r="W408" s="95"/>
      <c r="X408" s="95"/>
      <c r="Y408" s="96"/>
      <c r="Z408" s="96"/>
      <c r="AA408" s="96"/>
    </row>
    <row r="409" spans="1:27" ht="17.25" x14ac:dyDescent="0.3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9"/>
      <c r="M409" s="120"/>
      <c r="N409" s="119"/>
      <c r="O409" s="120"/>
      <c r="P409" s="119"/>
      <c r="Q409" s="120"/>
      <c r="R409" s="119"/>
      <c r="S409" s="120"/>
      <c r="T409" s="120"/>
      <c r="U409" s="120"/>
      <c r="V409" s="95"/>
      <c r="W409" s="95"/>
      <c r="X409" s="95"/>
      <c r="Y409" s="96"/>
      <c r="Z409" s="96"/>
      <c r="AA409" s="96"/>
    </row>
    <row r="410" spans="1:27" ht="17.25" x14ac:dyDescent="0.3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9"/>
      <c r="M410" s="120"/>
      <c r="N410" s="119"/>
      <c r="O410" s="120"/>
      <c r="P410" s="119"/>
      <c r="Q410" s="120"/>
      <c r="R410" s="119"/>
      <c r="S410" s="120"/>
      <c r="T410" s="120"/>
      <c r="U410" s="120"/>
      <c r="V410" s="95"/>
      <c r="W410" s="95"/>
      <c r="X410" s="95"/>
      <c r="Y410" s="96"/>
      <c r="Z410" s="96"/>
      <c r="AA410" s="96"/>
    </row>
    <row r="411" spans="1:27" ht="17.25" x14ac:dyDescent="0.3">
      <c r="A411" s="366" t="s">
        <v>869</v>
      </c>
      <c r="B411" s="367"/>
      <c r="C411" s="367"/>
      <c r="D411" s="367"/>
      <c r="E411" s="367"/>
      <c r="F411" s="367"/>
      <c r="G411" s="367"/>
      <c r="H411" s="367"/>
      <c r="I411" s="367"/>
      <c r="J411" s="367"/>
      <c r="K411" s="367"/>
      <c r="L411" s="367"/>
      <c r="M411" s="367"/>
      <c r="N411" s="367"/>
      <c r="O411" s="367"/>
      <c r="P411" s="367"/>
      <c r="Q411" s="367"/>
      <c r="R411" s="367"/>
      <c r="S411" s="367"/>
      <c r="T411" s="367"/>
      <c r="U411" s="368"/>
      <c r="V411" s="95"/>
      <c r="W411" s="95"/>
      <c r="X411" s="95"/>
      <c r="Y411" s="96"/>
      <c r="Z411" s="96"/>
      <c r="AA411" s="96"/>
    </row>
    <row r="412" spans="1:27" ht="17.25" x14ac:dyDescent="0.3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54"/>
      <c r="W412" s="154"/>
      <c r="X412" s="154"/>
      <c r="Y412" s="155"/>
      <c r="Z412" s="155"/>
      <c r="AA412" s="155"/>
    </row>
    <row r="413" spans="1:27" ht="17.25" x14ac:dyDescent="0.3">
      <c r="A413" s="157" t="s">
        <v>870</v>
      </c>
      <c r="B413" s="95"/>
      <c r="C413" s="146"/>
      <c r="D413" s="146"/>
      <c r="E413" s="146"/>
      <c r="F413" s="146"/>
      <c r="G413" s="369" t="s">
        <v>871</v>
      </c>
      <c r="H413" s="369"/>
      <c r="I413" s="146"/>
      <c r="J413" s="146"/>
      <c r="K413" s="146"/>
      <c r="L413" s="369" t="s">
        <v>872</v>
      </c>
      <c r="M413" s="369"/>
      <c r="N413" s="146"/>
      <c r="O413" s="146"/>
      <c r="P413" s="146"/>
      <c r="Q413" s="369" t="s">
        <v>873</v>
      </c>
      <c r="R413" s="369"/>
      <c r="S413" s="146"/>
      <c r="T413" s="146"/>
      <c r="U413" s="146"/>
      <c r="V413" s="95"/>
      <c r="W413" s="95"/>
      <c r="X413" s="95"/>
      <c r="Y413" s="96"/>
      <c r="Z413" s="96"/>
      <c r="AA413" s="96"/>
    </row>
    <row r="414" spans="1:27" ht="17.25" x14ac:dyDescent="0.3">
      <c r="A414" s="118"/>
      <c r="B414" s="146"/>
      <c r="C414" s="146"/>
      <c r="D414" s="146"/>
      <c r="E414" s="146"/>
      <c r="F414" s="146"/>
      <c r="G414" s="415"/>
      <c r="H414" s="415"/>
      <c r="I414" s="146"/>
      <c r="J414" s="146"/>
      <c r="K414" s="146"/>
      <c r="L414" s="415"/>
      <c r="M414" s="415"/>
      <c r="N414" s="146"/>
      <c r="O414" s="146"/>
      <c r="P414" s="130"/>
      <c r="Q414" s="415"/>
      <c r="R414" s="415"/>
      <c r="S414" s="130"/>
      <c r="T414" s="130"/>
      <c r="U414" s="130"/>
      <c r="V414" s="95"/>
      <c r="W414" s="95"/>
      <c r="X414" s="95"/>
      <c r="Y414" s="96"/>
      <c r="Z414" s="96"/>
      <c r="AA414" s="96"/>
    </row>
    <row r="415" spans="1:27" ht="17.25" x14ac:dyDescent="0.3">
      <c r="A415" s="118"/>
      <c r="B415" s="118"/>
      <c r="C415" s="118"/>
      <c r="D415" s="118"/>
      <c r="E415" s="118"/>
      <c r="F415" s="118"/>
      <c r="G415" s="120"/>
      <c r="H415" s="120"/>
      <c r="I415" s="120"/>
      <c r="J415" s="120"/>
      <c r="K415" s="118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95"/>
      <c r="W415" s="95"/>
      <c r="X415" s="95"/>
      <c r="Y415" s="96"/>
      <c r="Z415" s="96"/>
      <c r="AA415" s="96"/>
    </row>
    <row r="416" spans="1:27" ht="17.25" x14ac:dyDescent="0.3">
      <c r="A416" s="15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95"/>
      <c r="W416" s="95"/>
      <c r="X416" s="95"/>
      <c r="Y416" s="96"/>
      <c r="Z416" s="96"/>
      <c r="AA416" s="96"/>
    </row>
    <row r="417" spans="1:27" ht="17.25" x14ac:dyDescent="0.3">
      <c r="A417" s="157" t="s">
        <v>874</v>
      </c>
      <c r="B417" s="118"/>
      <c r="C417" s="118"/>
      <c r="D417" s="369" t="s">
        <v>875</v>
      </c>
      <c r="E417" s="369"/>
      <c r="F417" s="118"/>
      <c r="G417" s="120"/>
      <c r="H417" s="369" t="s">
        <v>876</v>
      </c>
      <c r="I417" s="369"/>
      <c r="J417" s="120"/>
      <c r="K417" s="369" t="s">
        <v>877</v>
      </c>
      <c r="L417" s="369"/>
      <c r="M417" s="369"/>
      <c r="N417" s="369"/>
      <c r="O417" s="120"/>
      <c r="P417" s="369" t="s">
        <v>878</v>
      </c>
      <c r="Q417" s="369"/>
      <c r="R417" s="120"/>
      <c r="S417" s="120"/>
      <c r="T417" s="369" t="s">
        <v>879</v>
      </c>
      <c r="U417" s="369"/>
      <c r="V417" s="95"/>
      <c r="W417" s="95"/>
      <c r="X417" s="95"/>
      <c r="Y417" s="96"/>
      <c r="Z417" s="96"/>
      <c r="AA417" s="96"/>
    </row>
    <row r="418" spans="1:27" ht="17.25" x14ac:dyDescent="0.3">
      <c r="A418" s="156"/>
      <c r="B418" s="146"/>
      <c r="C418" s="146"/>
      <c r="D418" s="415"/>
      <c r="E418" s="415"/>
      <c r="F418" s="146"/>
      <c r="G418" s="146"/>
      <c r="H418" s="415"/>
      <c r="I418" s="415"/>
      <c r="J418" s="146"/>
      <c r="K418" s="146"/>
      <c r="L418" s="415"/>
      <c r="M418" s="415"/>
      <c r="N418" s="146"/>
      <c r="O418" s="146"/>
      <c r="P418" s="415"/>
      <c r="Q418" s="415"/>
      <c r="R418" s="146"/>
      <c r="S418" s="146"/>
      <c r="T418" s="415"/>
      <c r="U418" s="415"/>
      <c r="V418" s="95"/>
      <c r="W418" s="95"/>
      <c r="X418" s="95"/>
      <c r="Y418" s="96"/>
      <c r="Z418" s="96"/>
      <c r="AA418" s="96"/>
    </row>
    <row r="419" spans="1:27" ht="17.25" x14ac:dyDescent="0.3">
      <c r="A419" s="118"/>
      <c r="B419" s="118"/>
      <c r="C419" s="118"/>
      <c r="D419" s="118"/>
      <c r="E419" s="118"/>
      <c r="F419" s="118"/>
      <c r="G419" s="120"/>
      <c r="H419" s="120"/>
      <c r="I419" s="120"/>
      <c r="J419" s="120"/>
      <c r="K419" s="118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95"/>
      <c r="W419" s="95"/>
      <c r="X419" s="95"/>
      <c r="Y419" s="96"/>
      <c r="Z419" s="96"/>
      <c r="AA419" s="96"/>
    </row>
    <row r="421" spans="1:27" ht="17.25" x14ac:dyDescent="0.3">
      <c r="A421" s="366" t="s">
        <v>880</v>
      </c>
      <c r="B421" s="367"/>
      <c r="C421" s="367"/>
      <c r="D421" s="367"/>
      <c r="E421" s="367"/>
      <c r="F421" s="367"/>
      <c r="G421" s="367"/>
      <c r="H421" s="367"/>
      <c r="I421" s="367"/>
      <c r="J421" s="367"/>
      <c r="K421" s="367"/>
      <c r="L421" s="367"/>
      <c r="M421" s="367"/>
      <c r="N421" s="367"/>
      <c r="O421" s="367"/>
      <c r="P421" s="367"/>
      <c r="Q421" s="367"/>
      <c r="R421" s="367"/>
      <c r="S421" s="367"/>
      <c r="T421" s="367"/>
      <c r="U421" s="368"/>
      <c r="V421" s="95"/>
      <c r="W421" s="95"/>
      <c r="X421" s="95"/>
      <c r="Y421" s="96"/>
      <c r="Z421" s="96"/>
      <c r="AA421" s="96"/>
    </row>
    <row r="422" spans="1:27" ht="17.25" x14ac:dyDescent="0.3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59"/>
      <c r="W422" s="159"/>
      <c r="X422" s="159"/>
      <c r="Y422" s="160"/>
      <c r="Z422" s="160"/>
      <c r="AA422" s="160"/>
    </row>
    <row r="423" spans="1:27" ht="17.25" x14ac:dyDescent="0.3">
      <c r="A423" s="118"/>
      <c r="B423" s="139" t="s">
        <v>881</v>
      </c>
      <c r="C423" s="118"/>
      <c r="D423" s="118"/>
      <c r="E423" s="118"/>
      <c r="F423" s="118"/>
      <c r="G423" s="118"/>
      <c r="H423" s="118"/>
      <c r="I423" s="118"/>
      <c r="J423" s="118"/>
      <c r="K423" s="118"/>
      <c r="L423" s="119"/>
      <c r="M423" s="119"/>
      <c r="N423" s="119"/>
      <c r="O423" s="119"/>
      <c r="P423" s="119"/>
      <c r="Q423" s="336" t="s">
        <v>882</v>
      </c>
      <c r="R423" s="336"/>
      <c r="S423" s="416" t="s">
        <v>883</v>
      </c>
      <c r="T423" s="416"/>
      <c r="U423" s="119"/>
      <c r="V423" s="95"/>
      <c r="W423" s="95"/>
      <c r="X423" s="95"/>
      <c r="Y423" s="96"/>
      <c r="Z423" s="96"/>
      <c r="AA423" s="96"/>
    </row>
    <row r="424" spans="1:27" ht="17.25" x14ac:dyDescent="0.3">
      <c r="A424" s="121"/>
      <c r="B424" s="337" t="s">
        <v>884</v>
      </c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9"/>
      <c r="Q424" s="337" t="s">
        <v>667</v>
      </c>
      <c r="R424" s="339"/>
      <c r="S424" s="337"/>
      <c r="T424" s="339"/>
      <c r="U424" s="120"/>
      <c r="V424" s="159"/>
      <c r="W424" s="159"/>
      <c r="X424" s="159"/>
      <c r="Y424" s="160"/>
      <c r="Z424" s="160"/>
      <c r="AA424" s="160"/>
    </row>
    <row r="425" spans="1:27" ht="17.25" x14ac:dyDescent="0.3">
      <c r="A425" s="121"/>
      <c r="B425" s="337" t="s">
        <v>885</v>
      </c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9"/>
      <c r="Q425" s="337" t="s">
        <v>667</v>
      </c>
      <c r="R425" s="339"/>
      <c r="S425" s="337"/>
      <c r="T425" s="339"/>
      <c r="U425" s="120"/>
      <c r="V425" s="159"/>
      <c r="W425" s="159"/>
      <c r="X425" s="159"/>
      <c r="Y425" s="160"/>
      <c r="Z425" s="160"/>
      <c r="AA425" s="160"/>
    </row>
    <row r="426" spans="1:27" ht="17.25" x14ac:dyDescent="0.3">
      <c r="A426" s="121"/>
      <c r="B426" s="166"/>
      <c r="C426" s="185"/>
      <c r="D426" s="185"/>
      <c r="E426" s="185"/>
      <c r="F426" s="185"/>
      <c r="G426" s="185"/>
      <c r="H426" s="185"/>
      <c r="I426" s="185"/>
      <c r="J426" s="185"/>
      <c r="K426" s="185"/>
      <c r="L426" s="186"/>
      <c r="M426" s="186"/>
      <c r="N426" s="186"/>
      <c r="O426" s="186"/>
      <c r="P426" s="186"/>
      <c r="Q426" s="337"/>
      <c r="R426" s="339"/>
      <c r="S426" s="337"/>
      <c r="T426" s="339"/>
      <c r="U426" s="120"/>
      <c r="V426" s="159"/>
      <c r="W426" s="159"/>
      <c r="X426" s="159"/>
      <c r="Y426" s="160"/>
      <c r="Z426" s="160"/>
      <c r="AA426" s="160"/>
    </row>
    <row r="427" spans="1:27" ht="17.25" x14ac:dyDescent="0.3">
      <c r="A427" s="121"/>
      <c r="B427" s="166"/>
      <c r="C427" s="185"/>
      <c r="D427" s="185"/>
      <c r="E427" s="185"/>
      <c r="F427" s="185"/>
      <c r="G427" s="185"/>
      <c r="H427" s="185"/>
      <c r="I427" s="185"/>
      <c r="J427" s="185"/>
      <c r="K427" s="185"/>
      <c r="L427" s="186"/>
      <c r="M427" s="186"/>
      <c r="N427" s="186"/>
      <c r="O427" s="186"/>
      <c r="P427" s="186"/>
      <c r="Q427" s="337"/>
      <c r="R427" s="339"/>
      <c r="S427" s="337"/>
      <c r="T427" s="339"/>
      <c r="U427" s="120"/>
      <c r="V427" s="159"/>
      <c r="W427" s="159"/>
      <c r="X427" s="159"/>
      <c r="Y427" s="160"/>
      <c r="Z427" s="160"/>
      <c r="AA427" s="160"/>
    </row>
    <row r="428" spans="1:27" ht="17.25" x14ac:dyDescent="0.3">
      <c r="A428" s="121"/>
      <c r="B428" s="166"/>
      <c r="C428" s="185"/>
      <c r="D428" s="185"/>
      <c r="E428" s="185"/>
      <c r="F428" s="185"/>
      <c r="G428" s="185"/>
      <c r="H428" s="185"/>
      <c r="I428" s="185"/>
      <c r="J428" s="185"/>
      <c r="K428" s="185"/>
      <c r="L428" s="186"/>
      <c r="M428" s="186"/>
      <c r="N428" s="186"/>
      <c r="O428" s="186"/>
      <c r="P428" s="186"/>
      <c r="Q428" s="337"/>
      <c r="R428" s="339"/>
      <c r="S428" s="337"/>
      <c r="T428" s="339"/>
      <c r="U428" s="120"/>
      <c r="V428" s="159"/>
      <c r="W428" s="159"/>
      <c r="X428" s="159"/>
      <c r="Y428" s="160"/>
      <c r="Z428" s="160"/>
      <c r="AA428" s="160"/>
    </row>
    <row r="429" spans="1:27" ht="17.25" x14ac:dyDescent="0.3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59"/>
      <c r="W429" s="159"/>
      <c r="X429" s="159"/>
      <c r="Y429" s="160"/>
      <c r="Z429" s="160"/>
      <c r="AA429" s="160"/>
    </row>
    <row r="430" spans="1:27" ht="17.25" x14ac:dyDescent="0.3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59"/>
      <c r="W430" s="159"/>
      <c r="X430" s="159"/>
      <c r="Y430" s="160"/>
      <c r="Z430" s="160"/>
      <c r="AA430" s="160"/>
    </row>
    <row r="431" spans="1:27" ht="17.25" x14ac:dyDescent="0.3">
      <c r="A431" s="121"/>
      <c r="B431" s="187" t="s">
        <v>886</v>
      </c>
      <c r="C431" s="121"/>
      <c r="D431" s="121"/>
      <c r="E431" s="121"/>
      <c r="F431" s="121"/>
      <c r="G431" s="121"/>
      <c r="H431" s="121"/>
      <c r="I431" s="121"/>
      <c r="J431" s="121"/>
      <c r="K431" s="121"/>
      <c r="L431" s="120"/>
      <c r="M431" s="120"/>
      <c r="N431" s="120"/>
      <c r="O431" s="120"/>
      <c r="P431" s="120"/>
      <c r="Q431" s="336" t="s">
        <v>882</v>
      </c>
      <c r="R431" s="336"/>
      <c r="S431" s="416" t="s">
        <v>883</v>
      </c>
      <c r="T431" s="416"/>
      <c r="U431" s="120"/>
      <c r="V431" s="159"/>
      <c r="W431" s="159"/>
      <c r="X431" s="159"/>
      <c r="Y431" s="160"/>
      <c r="Z431" s="160"/>
      <c r="AA431" s="160"/>
    </row>
    <row r="432" spans="1:27" ht="17.25" x14ac:dyDescent="0.3">
      <c r="A432" s="121"/>
      <c r="B432" s="337" t="s">
        <v>887</v>
      </c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9"/>
      <c r="Q432" s="337" t="s">
        <v>664</v>
      </c>
      <c r="R432" s="339"/>
      <c r="S432" s="337"/>
      <c r="T432" s="339"/>
      <c r="U432" s="120"/>
      <c r="V432" s="159"/>
      <c r="W432" s="159"/>
      <c r="X432" s="159"/>
      <c r="Y432" s="160"/>
      <c r="Z432" s="160"/>
      <c r="AA432" s="160"/>
    </row>
    <row r="433" spans="1:27" ht="17.25" x14ac:dyDescent="0.3">
      <c r="A433" s="121"/>
      <c r="B433" s="166"/>
      <c r="C433" s="185"/>
      <c r="D433" s="185"/>
      <c r="E433" s="185"/>
      <c r="F433" s="185"/>
      <c r="G433" s="185"/>
      <c r="H433" s="185"/>
      <c r="I433" s="185"/>
      <c r="J433" s="185"/>
      <c r="K433" s="185"/>
      <c r="L433" s="186"/>
      <c r="M433" s="186"/>
      <c r="N433" s="186"/>
      <c r="O433" s="186"/>
      <c r="P433" s="186"/>
      <c r="Q433" s="337"/>
      <c r="R433" s="339"/>
      <c r="S433" s="337"/>
      <c r="T433" s="339"/>
      <c r="U433" s="120"/>
      <c r="V433" s="159"/>
      <c r="W433" s="159"/>
      <c r="X433" s="159"/>
      <c r="Y433" s="160"/>
      <c r="Z433" s="160"/>
      <c r="AA433" s="160"/>
    </row>
    <row r="434" spans="1:27" ht="17.25" x14ac:dyDescent="0.3">
      <c r="A434" s="121"/>
      <c r="B434" s="166"/>
      <c r="C434" s="185"/>
      <c r="D434" s="185"/>
      <c r="E434" s="185"/>
      <c r="F434" s="185"/>
      <c r="G434" s="185"/>
      <c r="H434" s="185"/>
      <c r="I434" s="185"/>
      <c r="J434" s="185"/>
      <c r="K434" s="185"/>
      <c r="L434" s="186"/>
      <c r="M434" s="186"/>
      <c r="N434" s="186"/>
      <c r="O434" s="186"/>
      <c r="P434" s="186"/>
      <c r="Q434" s="337"/>
      <c r="R434" s="339"/>
      <c r="S434" s="337"/>
      <c r="T434" s="339"/>
      <c r="U434" s="120"/>
      <c r="V434" s="159"/>
      <c r="W434" s="159"/>
      <c r="X434" s="159"/>
      <c r="Y434" s="160"/>
      <c r="Z434" s="160"/>
      <c r="AA434" s="160"/>
    </row>
    <row r="435" spans="1:27" ht="17.25" x14ac:dyDescent="0.3">
      <c r="A435" s="121"/>
      <c r="B435" s="166"/>
      <c r="C435" s="185"/>
      <c r="D435" s="185"/>
      <c r="E435" s="185"/>
      <c r="F435" s="185"/>
      <c r="G435" s="185"/>
      <c r="H435" s="185"/>
      <c r="I435" s="185"/>
      <c r="J435" s="185"/>
      <c r="K435" s="185"/>
      <c r="L435" s="186"/>
      <c r="M435" s="186"/>
      <c r="N435" s="186"/>
      <c r="O435" s="186"/>
      <c r="P435" s="186"/>
      <c r="Q435" s="337"/>
      <c r="R435" s="339"/>
      <c r="S435" s="337"/>
      <c r="T435" s="339"/>
      <c r="U435" s="120"/>
      <c r="V435" s="159"/>
      <c r="W435" s="159"/>
      <c r="X435" s="159"/>
      <c r="Y435" s="160"/>
      <c r="Z435" s="160"/>
      <c r="AA435" s="160"/>
    </row>
    <row r="436" spans="1:27" ht="17.25" x14ac:dyDescent="0.3">
      <c r="A436" s="121"/>
      <c r="B436" s="166"/>
      <c r="C436" s="185"/>
      <c r="D436" s="185"/>
      <c r="E436" s="185"/>
      <c r="F436" s="185"/>
      <c r="G436" s="185"/>
      <c r="H436" s="185"/>
      <c r="I436" s="185"/>
      <c r="J436" s="185"/>
      <c r="K436" s="185"/>
      <c r="L436" s="186"/>
      <c r="M436" s="186"/>
      <c r="N436" s="186"/>
      <c r="O436" s="186"/>
      <c r="P436" s="186"/>
      <c r="Q436" s="337"/>
      <c r="R436" s="339"/>
      <c r="S436" s="337"/>
      <c r="T436" s="339"/>
      <c r="U436" s="120"/>
      <c r="V436" s="159"/>
      <c r="W436" s="159"/>
      <c r="X436" s="159"/>
      <c r="Y436" s="160"/>
      <c r="Z436" s="160"/>
      <c r="AA436" s="160"/>
    </row>
    <row r="437" spans="1:27" ht="17.25" x14ac:dyDescent="0.3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59"/>
      <c r="W437" s="159"/>
      <c r="X437" s="159"/>
      <c r="Y437" s="160"/>
      <c r="Z437" s="160"/>
      <c r="AA437" s="160"/>
    </row>
    <row r="438" spans="1:27" ht="17.25" x14ac:dyDescent="0.3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59"/>
      <c r="W438" s="159"/>
      <c r="X438" s="159"/>
      <c r="Y438" s="160"/>
      <c r="Z438" s="160"/>
      <c r="AA438" s="160"/>
    </row>
    <row r="439" spans="1:27" ht="17.25" x14ac:dyDescent="0.3">
      <c r="A439" s="121"/>
      <c r="B439" s="187" t="s">
        <v>888</v>
      </c>
      <c r="C439" s="121"/>
      <c r="D439" s="121"/>
      <c r="E439" s="121"/>
      <c r="F439" s="121"/>
      <c r="G439" s="121"/>
      <c r="H439" s="121"/>
      <c r="I439" s="121"/>
      <c r="J439" s="121"/>
      <c r="K439" s="121"/>
      <c r="L439" s="120"/>
      <c r="M439" s="120"/>
      <c r="N439" s="120"/>
      <c r="O439" s="120"/>
      <c r="P439" s="120"/>
      <c r="Q439" s="336" t="s">
        <v>882</v>
      </c>
      <c r="R439" s="336"/>
      <c r="S439" s="416" t="s">
        <v>883</v>
      </c>
      <c r="T439" s="416"/>
      <c r="U439" s="120"/>
      <c r="V439" s="159"/>
      <c r="W439" s="159"/>
      <c r="X439" s="159"/>
      <c r="Y439" s="160"/>
      <c r="Z439" s="160"/>
      <c r="AA439" s="160"/>
    </row>
    <row r="440" spans="1:27" ht="17.25" x14ac:dyDescent="0.3">
      <c r="A440" s="121"/>
      <c r="B440" s="337" t="s">
        <v>889</v>
      </c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9"/>
      <c r="Q440" s="337" t="s">
        <v>667</v>
      </c>
      <c r="R440" s="339"/>
      <c r="S440" s="337"/>
      <c r="T440" s="339"/>
      <c r="U440" s="120"/>
      <c r="V440" s="159"/>
      <c r="W440" s="159"/>
      <c r="X440" s="159"/>
      <c r="Y440" s="160"/>
      <c r="Z440" s="160"/>
      <c r="AA440" s="160"/>
    </row>
    <row r="441" spans="1:27" ht="17.25" x14ac:dyDescent="0.3">
      <c r="A441" s="121"/>
      <c r="B441" s="337" t="s">
        <v>890</v>
      </c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9"/>
      <c r="Q441" s="337" t="s">
        <v>667</v>
      </c>
      <c r="R441" s="339"/>
      <c r="S441" s="337"/>
      <c r="T441" s="339"/>
      <c r="U441" s="120"/>
      <c r="V441" s="159"/>
      <c r="W441" s="159"/>
      <c r="X441" s="159"/>
      <c r="Y441" s="160"/>
      <c r="Z441" s="160"/>
      <c r="AA441" s="160"/>
    </row>
    <row r="442" spans="1:27" ht="17.25" x14ac:dyDescent="0.3">
      <c r="A442" s="121"/>
      <c r="B442" s="166"/>
      <c r="C442" s="185"/>
      <c r="D442" s="185"/>
      <c r="E442" s="185"/>
      <c r="F442" s="185"/>
      <c r="G442" s="185"/>
      <c r="H442" s="185"/>
      <c r="I442" s="185"/>
      <c r="J442" s="185"/>
      <c r="K442" s="185"/>
      <c r="L442" s="186"/>
      <c r="M442" s="186"/>
      <c r="N442" s="186"/>
      <c r="O442" s="186"/>
      <c r="P442" s="186"/>
      <c r="Q442" s="337"/>
      <c r="R442" s="339"/>
      <c r="S442" s="337"/>
      <c r="T442" s="339"/>
      <c r="U442" s="120"/>
      <c r="V442" s="159"/>
      <c r="W442" s="159"/>
      <c r="X442" s="159"/>
      <c r="Y442" s="160"/>
      <c r="Z442" s="160"/>
      <c r="AA442" s="160"/>
    </row>
    <row r="443" spans="1:27" ht="17.25" x14ac:dyDescent="0.3">
      <c r="A443" s="121"/>
      <c r="B443" s="166"/>
      <c r="C443" s="185"/>
      <c r="D443" s="185"/>
      <c r="E443" s="185"/>
      <c r="F443" s="185"/>
      <c r="G443" s="185"/>
      <c r="H443" s="185"/>
      <c r="I443" s="185"/>
      <c r="J443" s="185"/>
      <c r="K443" s="185"/>
      <c r="L443" s="186"/>
      <c r="M443" s="186"/>
      <c r="N443" s="186"/>
      <c r="O443" s="186"/>
      <c r="P443" s="186"/>
      <c r="Q443" s="337"/>
      <c r="R443" s="339"/>
      <c r="S443" s="337"/>
      <c r="T443" s="339"/>
      <c r="U443" s="120"/>
      <c r="V443" s="159"/>
      <c r="W443" s="159"/>
      <c r="X443" s="159"/>
      <c r="Y443" s="160"/>
      <c r="Z443" s="160"/>
      <c r="AA443" s="160"/>
    </row>
    <row r="444" spans="1:27" ht="17.25" x14ac:dyDescent="0.3">
      <c r="A444" s="121"/>
      <c r="B444" s="166"/>
      <c r="C444" s="185"/>
      <c r="D444" s="185"/>
      <c r="E444" s="185"/>
      <c r="F444" s="185"/>
      <c r="G444" s="185"/>
      <c r="H444" s="185"/>
      <c r="I444" s="185"/>
      <c r="J444" s="185"/>
      <c r="K444" s="185"/>
      <c r="L444" s="186"/>
      <c r="M444" s="186"/>
      <c r="N444" s="186"/>
      <c r="O444" s="186"/>
      <c r="P444" s="186"/>
      <c r="Q444" s="337"/>
      <c r="R444" s="339"/>
      <c r="S444" s="337"/>
      <c r="T444" s="339"/>
      <c r="U444" s="120"/>
      <c r="V444" s="159"/>
      <c r="W444" s="159"/>
      <c r="X444" s="159"/>
      <c r="Y444" s="160"/>
      <c r="Z444" s="160"/>
      <c r="AA444" s="160"/>
    </row>
    <row r="445" spans="1:27" ht="17.25" x14ac:dyDescent="0.3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120"/>
      <c r="T445" s="120"/>
      <c r="U445" s="159"/>
      <c r="V445" s="95"/>
      <c r="W445" s="95"/>
      <c r="X445" s="95"/>
      <c r="Y445" s="96"/>
      <c r="Z445" s="96"/>
      <c r="AA445" s="96"/>
    </row>
    <row r="446" spans="1:27" ht="17.25" x14ac:dyDescent="0.3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120"/>
      <c r="T446" s="120"/>
      <c r="U446" s="159"/>
      <c r="V446" s="95"/>
      <c r="W446" s="95"/>
      <c r="X446" s="95"/>
      <c r="Y446" s="96"/>
      <c r="Z446" s="96"/>
      <c r="AA446" s="96"/>
    </row>
    <row r="447" spans="1:27" ht="17.25" x14ac:dyDescent="0.3">
      <c r="A447" s="95"/>
      <c r="B447" s="188" t="s">
        <v>259</v>
      </c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336" t="s">
        <v>882</v>
      </c>
      <c r="R447" s="336"/>
      <c r="S447" s="416" t="s">
        <v>883</v>
      </c>
      <c r="T447" s="416"/>
      <c r="U447" s="159"/>
      <c r="V447" s="95"/>
      <c r="W447" s="95"/>
      <c r="X447" s="95"/>
      <c r="Y447" s="96"/>
      <c r="Z447" s="96"/>
      <c r="AA447" s="96"/>
    </row>
    <row r="448" spans="1:27" ht="17.25" x14ac:dyDescent="0.3">
      <c r="A448" s="121"/>
      <c r="B448" s="166"/>
      <c r="C448" s="185"/>
      <c r="D448" s="185"/>
      <c r="E448" s="185"/>
      <c r="F448" s="185"/>
      <c r="G448" s="185"/>
      <c r="H448" s="185"/>
      <c r="I448" s="185"/>
      <c r="J448" s="185"/>
      <c r="K448" s="185"/>
      <c r="L448" s="186"/>
      <c r="M448" s="186"/>
      <c r="N448" s="186"/>
      <c r="O448" s="186"/>
      <c r="P448" s="186"/>
      <c r="Q448" s="337"/>
      <c r="R448" s="339"/>
      <c r="S448" s="337"/>
      <c r="T448" s="339"/>
      <c r="U448" s="120"/>
      <c r="V448" s="159"/>
      <c r="W448" s="159"/>
      <c r="X448" s="159"/>
      <c r="Y448" s="160"/>
      <c r="Z448" s="160"/>
      <c r="AA448" s="160"/>
    </row>
    <row r="449" spans="1:27" ht="17.25" x14ac:dyDescent="0.3">
      <c r="A449" s="121"/>
      <c r="B449" s="166"/>
      <c r="C449" s="185"/>
      <c r="D449" s="185"/>
      <c r="E449" s="185"/>
      <c r="F449" s="185"/>
      <c r="G449" s="185"/>
      <c r="H449" s="185"/>
      <c r="I449" s="185"/>
      <c r="J449" s="185"/>
      <c r="K449" s="185"/>
      <c r="L449" s="186"/>
      <c r="M449" s="186"/>
      <c r="N449" s="186"/>
      <c r="O449" s="186"/>
      <c r="P449" s="186"/>
      <c r="Q449" s="337"/>
      <c r="R449" s="339"/>
      <c r="S449" s="337"/>
      <c r="T449" s="339"/>
      <c r="U449" s="120"/>
      <c r="V449" s="159"/>
      <c r="W449" s="159"/>
      <c r="X449" s="159"/>
      <c r="Y449" s="160"/>
      <c r="Z449" s="160"/>
      <c r="AA449" s="160"/>
    </row>
    <row r="450" spans="1:27" ht="17.25" x14ac:dyDescent="0.3">
      <c r="A450" s="121"/>
      <c r="B450" s="166"/>
      <c r="C450" s="185"/>
      <c r="D450" s="185"/>
      <c r="E450" s="185"/>
      <c r="F450" s="185"/>
      <c r="G450" s="185"/>
      <c r="H450" s="185"/>
      <c r="I450" s="185"/>
      <c r="J450" s="185"/>
      <c r="K450" s="185"/>
      <c r="L450" s="186"/>
      <c r="M450" s="186"/>
      <c r="N450" s="186"/>
      <c r="O450" s="186"/>
      <c r="P450" s="186"/>
      <c r="Q450" s="337"/>
      <c r="R450" s="339"/>
      <c r="S450" s="337"/>
      <c r="T450" s="339"/>
      <c r="U450" s="120"/>
      <c r="V450" s="159"/>
      <c r="W450" s="159"/>
      <c r="X450" s="159"/>
      <c r="Y450" s="160"/>
      <c r="Z450" s="160"/>
      <c r="AA450" s="160"/>
    </row>
    <row r="451" spans="1:27" ht="17.25" x14ac:dyDescent="0.3">
      <c r="A451" s="121"/>
      <c r="B451" s="166"/>
      <c r="C451" s="185"/>
      <c r="D451" s="185"/>
      <c r="E451" s="185"/>
      <c r="F451" s="185"/>
      <c r="G451" s="185"/>
      <c r="H451" s="185"/>
      <c r="I451" s="185"/>
      <c r="J451" s="185"/>
      <c r="K451" s="185"/>
      <c r="L451" s="186"/>
      <c r="M451" s="186"/>
      <c r="N451" s="186"/>
      <c r="O451" s="186"/>
      <c r="P451" s="186"/>
      <c r="Q451" s="337"/>
      <c r="R451" s="339"/>
      <c r="S451" s="337"/>
      <c r="T451" s="339"/>
      <c r="U451" s="120"/>
      <c r="V451" s="159"/>
      <c r="W451" s="159"/>
      <c r="X451" s="159"/>
      <c r="Y451" s="160"/>
      <c r="Z451" s="160"/>
      <c r="AA451" s="160"/>
    </row>
    <row r="452" spans="1:27" ht="17.25" x14ac:dyDescent="0.3">
      <c r="A452" s="121"/>
      <c r="B452" s="166"/>
      <c r="C452" s="185"/>
      <c r="D452" s="185"/>
      <c r="E452" s="185"/>
      <c r="F452" s="185"/>
      <c r="G452" s="185"/>
      <c r="H452" s="185"/>
      <c r="I452" s="185"/>
      <c r="J452" s="185"/>
      <c r="K452" s="185"/>
      <c r="L452" s="186"/>
      <c r="M452" s="186"/>
      <c r="N452" s="186"/>
      <c r="O452" s="186"/>
      <c r="P452" s="186"/>
      <c r="Q452" s="337"/>
      <c r="R452" s="339"/>
      <c r="S452" s="337"/>
      <c r="T452" s="339"/>
      <c r="U452" s="120"/>
      <c r="V452" s="159"/>
      <c r="W452" s="159"/>
      <c r="X452" s="159"/>
      <c r="Y452" s="160"/>
      <c r="Z452" s="160"/>
      <c r="AA452" s="160"/>
    </row>
    <row r="453" spans="1:27" ht="17.25" x14ac:dyDescent="0.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120"/>
      <c r="T453" s="120"/>
      <c r="U453" s="159"/>
      <c r="V453" s="95"/>
      <c r="W453" s="95"/>
      <c r="X453" s="95"/>
      <c r="Y453" s="96"/>
      <c r="Z453" s="96"/>
      <c r="AA453" s="96"/>
    </row>
    <row r="454" spans="1:27" ht="17.25" x14ac:dyDescent="0.3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120"/>
      <c r="T454" s="120"/>
      <c r="U454" s="159"/>
      <c r="V454" s="95"/>
      <c r="W454" s="95"/>
      <c r="X454" s="95"/>
      <c r="Y454" s="96"/>
      <c r="Z454" s="96"/>
      <c r="AA454" s="96"/>
    </row>
    <row r="455" spans="1:27" ht="17.25" x14ac:dyDescent="0.3">
      <c r="A455" s="95"/>
      <c r="B455" s="188" t="s">
        <v>822</v>
      </c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336" t="s">
        <v>882</v>
      </c>
      <c r="R455" s="336"/>
      <c r="S455" s="416" t="s">
        <v>883</v>
      </c>
      <c r="T455" s="416"/>
      <c r="U455" s="159"/>
      <c r="V455" s="95"/>
      <c r="W455" s="95"/>
      <c r="X455" s="95"/>
      <c r="Y455" s="96"/>
      <c r="Z455" s="96"/>
      <c r="AA455" s="96"/>
    </row>
    <row r="456" spans="1:27" ht="17.25" x14ac:dyDescent="0.3">
      <c r="A456" s="121"/>
      <c r="B456" s="337" t="s">
        <v>891</v>
      </c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9"/>
      <c r="Q456" s="337" t="s">
        <v>667</v>
      </c>
      <c r="R456" s="339"/>
      <c r="S456" s="337"/>
      <c r="T456" s="339"/>
      <c r="U456" s="120"/>
      <c r="V456" s="159"/>
      <c r="W456" s="159"/>
      <c r="X456" s="159"/>
      <c r="Y456" s="160"/>
      <c r="Z456" s="160"/>
      <c r="AA456" s="160"/>
    </row>
    <row r="457" spans="1:27" ht="17.25" x14ac:dyDescent="0.3">
      <c r="A457" s="121"/>
      <c r="B457" s="166"/>
      <c r="C457" s="185"/>
      <c r="D457" s="185"/>
      <c r="E457" s="185"/>
      <c r="F457" s="185"/>
      <c r="G457" s="185"/>
      <c r="H457" s="185"/>
      <c r="I457" s="185"/>
      <c r="J457" s="185"/>
      <c r="K457" s="185"/>
      <c r="L457" s="186"/>
      <c r="M457" s="186"/>
      <c r="N457" s="186"/>
      <c r="O457" s="186"/>
      <c r="P457" s="186"/>
      <c r="Q457" s="337"/>
      <c r="R457" s="339"/>
      <c r="S457" s="337"/>
      <c r="T457" s="339"/>
      <c r="U457" s="120"/>
      <c r="V457" s="159"/>
      <c r="W457" s="159"/>
      <c r="X457" s="159"/>
      <c r="Y457" s="160"/>
      <c r="Z457" s="160"/>
      <c r="AA457" s="160"/>
    </row>
    <row r="458" spans="1:27" ht="17.25" x14ac:dyDescent="0.3">
      <c r="A458" s="121"/>
      <c r="B458" s="166"/>
      <c r="C458" s="185"/>
      <c r="D458" s="185"/>
      <c r="E458" s="185"/>
      <c r="F458" s="185"/>
      <c r="G458" s="185"/>
      <c r="H458" s="185"/>
      <c r="I458" s="185"/>
      <c r="J458" s="185"/>
      <c r="K458" s="185"/>
      <c r="L458" s="186"/>
      <c r="M458" s="186"/>
      <c r="N458" s="186"/>
      <c r="O458" s="186"/>
      <c r="P458" s="186"/>
      <c r="Q458" s="337"/>
      <c r="R458" s="339"/>
      <c r="S458" s="337"/>
      <c r="T458" s="339"/>
      <c r="U458" s="120"/>
      <c r="V458" s="159"/>
      <c r="W458" s="159"/>
      <c r="X458" s="159"/>
      <c r="Y458" s="160"/>
      <c r="Z458" s="160"/>
      <c r="AA458" s="160"/>
    </row>
    <row r="459" spans="1:27" ht="17.25" x14ac:dyDescent="0.3">
      <c r="A459" s="121"/>
      <c r="B459" s="166"/>
      <c r="C459" s="185"/>
      <c r="D459" s="185"/>
      <c r="E459" s="185"/>
      <c r="F459" s="185"/>
      <c r="G459" s="185"/>
      <c r="H459" s="185"/>
      <c r="I459" s="185"/>
      <c r="J459" s="185"/>
      <c r="K459" s="185"/>
      <c r="L459" s="186"/>
      <c r="M459" s="186"/>
      <c r="N459" s="186"/>
      <c r="O459" s="186"/>
      <c r="P459" s="186"/>
      <c r="Q459" s="337"/>
      <c r="R459" s="339"/>
      <c r="S459" s="337"/>
      <c r="T459" s="339"/>
      <c r="U459" s="120"/>
      <c r="V459" s="159"/>
      <c r="W459" s="159"/>
      <c r="X459" s="159"/>
      <c r="Y459" s="160"/>
      <c r="Z459" s="160"/>
      <c r="AA459" s="160"/>
    </row>
    <row r="460" spans="1:27" ht="17.25" x14ac:dyDescent="0.3">
      <c r="A460" s="121"/>
      <c r="B460" s="166"/>
      <c r="C460" s="185"/>
      <c r="D460" s="185"/>
      <c r="E460" s="185"/>
      <c r="F460" s="185"/>
      <c r="G460" s="185"/>
      <c r="H460" s="185"/>
      <c r="I460" s="185"/>
      <c r="J460" s="185"/>
      <c r="K460" s="185"/>
      <c r="L460" s="186"/>
      <c r="M460" s="186"/>
      <c r="N460" s="186"/>
      <c r="O460" s="186"/>
      <c r="P460" s="186"/>
      <c r="Q460" s="337"/>
      <c r="R460" s="339"/>
      <c r="S460" s="337"/>
      <c r="T460" s="339"/>
      <c r="U460" s="120"/>
      <c r="V460" s="159"/>
      <c r="W460" s="159"/>
      <c r="X460" s="159"/>
      <c r="Y460" s="160"/>
      <c r="Z460" s="160"/>
      <c r="AA460" s="160"/>
    </row>
    <row r="461" spans="1:27" ht="17.25" x14ac:dyDescent="0.3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120"/>
      <c r="T461" s="120"/>
      <c r="U461" s="159"/>
      <c r="V461" s="95"/>
      <c r="W461" s="95"/>
      <c r="X461" s="95"/>
      <c r="Y461" s="96"/>
      <c r="Z461" s="96"/>
      <c r="AA461" s="96"/>
    </row>
    <row r="462" spans="1:27" ht="17.25" x14ac:dyDescent="0.3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120"/>
      <c r="T462" s="120"/>
      <c r="U462" s="159"/>
      <c r="V462" s="95"/>
      <c r="W462" s="95"/>
      <c r="X462" s="95"/>
      <c r="Y462" s="96"/>
      <c r="Z462" s="96"/>
      <c r="AA462" s="96"/>
    </row>
    <row r="463" spans="1:27" ht="17.25" x14ac:dyDescent="0.3">
      <c r="A463" s="95"/>
      <c r="B463" s="188" t="s">
        <v>892</v>
      </c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336" t="s">
        <v>882</v>
      </c>
      <c r="R463" s="336"/>
      <c r="S463" s="416" t="s">
        <v>883</v>
      </c>
      <c r="T463" s="416"/>
      <c r="U463" s="159"/>
      <c r="V463" s="95"/>
      <c r="W463" s="95"/>
      <c r="X463" s="95"/>
      <c r="Y463" s="96"/>
      <c r="Z463" s="96"/>
      <c r="AA463" s="96"/>
    </row>
    <row r="464" spans="1:27" ht="17.25" x14ac:dyDescent="0.3">
      <c r="A464" s="121"/>
      <c r="B464" s="337" t="s">
        <v>893</v>
      </c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9"/>
      <c r="Q464" s="337" t="s">
        <v>664</v>
      </c>
      <c r="R464" s="339"/>
      <c r="S464" s="337"/>
      <c r="T464" s="339"/>
      <c r="U464" s="120"/>
      <c r="V464" s="159"/>
      <c r="W464" s="159"/>
      <c r="X464" s="159"/>
      <c r="Y464" s="160"/>
      <c r="Z464" s="160"/>
      <c r="AA464" s="160"/>
    </row>
    <row r="465" spans="1:27" ht="17.25" x14ac:dyDescent="0.3">
      <c r="A465" s="121"/>
      <c r="B465" s="166"/>
      <c r="C465" s="185"/>
      <c r="D465" s="185"/>
      <c r="E465" s="185"/>
      <c r="F465" s="185"/>
      <c r="G465" s="185"/>
      <c r="H465" s="185"/>
      <c r="I465" s="185"/>
      <c r="J465" s="185"/>
      <c r="K465" s="185"/>
      <c r="L465" s="186"/>
      <c r="M465" s="186"/>
      <c r="N465" s="186"/>
      <c r="O465" s="186"/>
      <c r="P465" s="186"/>
      <c r="Q465" s="337"/>
      <c r="R465" s="339"/>
      <c r="S465" s="337"/>
      <c r="T465" s="339"/>
      <c r="U465" s="120"/>
      <c r="V465" s="159"/>
      <c r="W465" s="159"/>
      <c r="X465" s="159"/>
      <c r="Y465" s="160"/>
      <c r="Z465" s="160"/>
      <c r="AA465" s="160"/>
    </row>
    <row r="466" spans="1:27" ht="17.25" x14ac:dyDescent="0.3">
      <c r="A466" s="121"/>
      <c r="B466" s="166"/>
      <c r="C466" s="185"/>
      <c r="D466" s="185"/>
      <c r="E466" s="185"/>
      <c r="F466" s="185"/>
      <c r="G466" s="185"/>
      <c r="H466" s="185"/>
      <c r="I466" s="185"/>
      <c r="J466" s="185"/>
      <c r="K466" s="185"/>
      <c r="L466" s="186"/>
      <c r="M466" s="186"/>
      <c r="N466" s="186"/>
      <c r="O466" s="186"/>
      <c r="P466" s="186"/>
      <c r="Q466" s="337"/>
      <c r="R466" s="339"/>
      <c r="S466" s="337"/>
      <c r="T466" s="339"/>
      <c r="U466" s="120"/>
      <c r="V466" s="159"/>
      <c r="W466" s="159"/>
      <c r="X466" s="159"/>
      <c r="Y466" s="160"/>
      <c r="Z466" s="160"/>
      <c r="AA466" s="160"/>
    </row>
    <row r="467" spans="1:27" ht="17.25" x14ac:dyDescent="0.3">
      <c r="A467" s="121"/>
      <c r="B467" s="166"/>
      <c r="C467" s="185"/>
      <c r="D467" s="185"/>
      <c r="E467" s="185"/>
      <c r="F467" s="185"/>
      <c r="G467" s="185"/>
      <c r="H467" s="185"/>
      <c r="I467" s="185"/>
      <c r="J467" s="185"/>
      <c r="K467" s="185"/>
      <c r="L467" s="186"/>
      <c r="M467" s="186"/>
      <c r="N467" s="186"/>
      <c r="O467" s="186"/>
      <c r="P467" s="186"/>
      <c r="Q467" s="337"/>
      <c r="R467" s="339"/>
      <c r="S467" s="337"/>
      <c r="T467" s="339"/>
      <c r="U467" s="120"/>
      <c r="V467" s="159"/>
      <c r="W467" s="159"/>
      <c r="X467" s="159"/>
      <c r="Y467" s="160"/>
      <c r="Z467" s="160"/>
      <c r="AA467" s="160"/>
    </row>
    <row r="468" spans="1:27" ht="17.25" x14ac:dyDescent="0.3">
      <c r="A468" s="121"/>
      <c r="B468" s="166"/>
      <c r="C468" s="185"/>
      <c r="D468" s="185"/>
      <c r="E468" s="185"/>
      <c r="F468" s="185"/>
      <c r="G468" s="185"/>
      <c r="H468" s="185"/>
      <c r="I468" s="185"/>
      <c r="J468" s="185"/>
      <c r="K468" s="185"/>
      <c r="L468" s="186"/>
      <c r="M468" s="186"/>
      <c r="N468" s="186"/>
      <c r="O468" s="186"/>
      <c r="P468" s="186"/>
      <c r="Q468" s="337"/>
      <c r="R468" s="339"/>
      <c r="S468" s="337"/>
      <c r="T468" s="339"/>
      <c r="U468" s="120"/>
      <c r="V468" s="159"/>
      <c r="W468" s="159"/>
      <c r="X468" s="159"/>
      <c r="Y468" s="160"/>
      <c r="Z468" s="160"/>
      <c r="AA468" s="160"/>
    </row>
    <row r="469" spans="1:27" ht="17.25" x14ac:dyDescent="0.3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6"/>
      <c r="Z469" s="96"/>
      <c r="AA469" s="96"/>
    </row>
    <row r="471" spans="1:27" ht="17.25" x14ac:dyDescent="0.3">
      <c r="A471" s="366" t="s">
        <v>894</v>
      </c>
      <c r="B471" s="367"/>
      <c r="C471" s="367"/>
      <c r="D471" s="367"/>
      <c r="E471" s="367"/>
      <c r="F471" s="367"/>
      <c r="G471" s="367"/>
      <c r="H471" s="367"/>
      <c r="I471" s="367"/>
      <c r="J471" s="367"/>
      <c r="K471" s="367"/>
      <c r="L471" s="367"/>
      <c r="M471" s="367"/>
      <c r="N471" s="367"/>
      <c r="O471" s="367"/>
      <c r="P471" s="367"/>
      <c r="Q471" s="367"/>
      <c r="R471" s="367"/>
      <c r="S471" s="367"/>
      <c r="T471" s="367"/>
      <c r="U471" s="368"/>
      <c r="V471" s="95"/>
      <c r="W471" s="95"/>
      <c r="X471" s="95"/>
      <c r="Y471" s="96"/>
      <c r="Z471" s="96"/>
      <c r="AA471" s="96"/>
    </row>
    <row r="472" spans="1:27" ht="17.25" x14ac:dyDescent="0.3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8"/>
      <c r="W472" s="148"/>
      <c r="X472" s="148"/>
      <c r="Y472" s="149"/>
      <c r="Z472" s="149"/>
      <c r="AA472" s="149"/>
    </row>
    <row r="473" spans="1:27" ht="17.25" x14ac:dyDescent="0.3">
      <c r="A473" s="118"/>
      <c r="B473" s="118" t="s">
        <v>895</v>
      </c>
      <c r="C473" s="118"/>
      <c r="D473" s="118" t="s">
        <v>662</v>
      </c>
      <c r="E473" s="118"/>
      <c r="F473" s="118"/>
      <c r="G473" s="166"/>
      <c r="H473" s="185"/>
      <c r="I473" s="167"/>
      <c r="J473" s="118"/>
      <c r="K473" s="118"/>
      <c r="L473" s="120"/>
      <c r="M473" s="120"/>
      <c r="N473" s="120"/>
      <c r="O473" s="120"/>
      <c r="P473" s="121"/>
      <c r="Q473" s="121"/>
      <c r="R473" s="121"/>
      <c r="S473" s="121"/>
      <c r="T473" s="121"/>
      <c r="U473" s="121"/>
      <c r="V473" s="95"/>
      <c r="W473" s="95"/>
      <c r="X473" s="95"/>
      <c r="Y473" s="96"/>
      <c r="Z473" s="96"/>
      <c r="AA473" s="96"/>
    </row>
    <row r="474" spans="1:27" ht="17.25" x14ac:dyDescent="0.3">
      <c r="A474" s="118"/>
      <c r="B474" s="118"/>
      <c r="C474" s="118"/>
      <c r="D474" s="118"/>
      <c r="E474" s="118"/>
      <c r="F474" s="118"/>
      <c r="G474" s="121"/>
      <c r="H474" s="121"/>
      <c r="I474" s="121"/>
      <c r="J474" s="118"/>
      <c r="K474" s="118"/>
      <c r="L474" s="120"/>
      <c r="M474" s="120"/>
      <c r="N474" s="120"/>
      <c r="O474" s="120"/>
      <c r="P474" s="121"/>
      <c r="Q474" s="121"/>
      <c r="R474" s="121"/>
      <c r="S474" s="121"/>
      <c r="T474" s="121"/>
      <c r="U474" s="121"/>
      <c r="V474" s="95"/>
      <c r="W474" s="95"/>
      <c r="X474" s="95"/>
      <c r="Y474" s="96"/>
      <c r="Z474" s="96"/>
      <c r="AA474" s="96"/>
    </row>
    <row r="475" spans="1:27" ht="18.75" x14ac:dyDescent="0.3">
      <c r="A475" s="118"/>
      <c r="B475" s="118"/>
      <c r="C475" s="118"/>
      <c r="D475" s="118"/>
      <c r="E475" s="118"/>
      <c r="F475" s="118"/>
      <c r="G475" s="121"/>
      <c r="H475" s="189" t="s">
        <v>896</v>
      </c>
      <c r="I475" s="121"/>
      <c r="J475" s="118"/>
      <c r="K475" s="118"/>
      <c r="L475" s="120"/>
      <c r="M475" s="120"/>
      <c r="N475" s="190" t="s">
        <v>897</v>
      </c>
      <c r="O475" s="120"/>
      <c r="P475" s="121"/>
      <c r="Q475" s="121"/>
      <c r="R475" s="121"/>
      <c r="S475" s="121"/>
      <c r="T475" s="121"/>
      <c r="U475" s="121"/>
      <c r="V475" s="95"/>
      <c r="W475" s="95"/>
      <c r="X475" s="95"/>
      <c r="Y475" s="96"/>
      <c r="Z475" s="96"/>
      <c r="AA475" s="96"/>
    </row>
    <row r="476" spans="1:27" ht="17.25" x14ac:dyDescent="0.3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95"/>
      <c r="W476" s="95"/>
      <c r="X476" s="95"/>
      <c r="Y476" s="96"/>
      <c r="Z476" s="96"/>
      <c r="AA476" s="96"/>
    </row>
    <row r="477" spans="1:27" ht="17.25" x14ac:dyDescent="0.3">
      <c r="A477" s="118"/>
      <c r="B477" s="118" t="s">
        <v>898</v>
      </c>
      <c r="C477" s="118"/>
      <c r="D477" s="118"/>
      <c r="E477" s="118"/>
      <c r="F477" s="118"/>
      <c r="G477" s="166"/>
      <c r="H477" s="185"/>
      <c r="I477" s="167"/>
      <c r="J477" s="118"/>
      <c r="K477" s="118"/>
      <c r="L477" s="120"/>
      <c r="M477" s="166"/>
      <c r="N477" s="185"/>
      <c r="O477" s="167"/>
      <c r="P477" s="118"/>
      <c r="Q477" s="118"/>
      <c r="R477" s="121"/>
      <c r="S477" s="121"/>
      <c r="T477" s="121"/>
      <c r="U477" s="121"/>
      <c r="V477" s="95"/>
      <c r="W477" s="95"/>
      <c r="X477" s="95"/>
      <c r="Y477" s="96"/>
      <c r="Z477" s="96"/>
      <c r="AA477" s="96"/>
    </row>
    <row r="478" spans="1:27" ht="17.25" x14ac:dyDescent="0.3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20"/>
      <c r="M478" s="118"/>
      <c r="N478" s="118"/>
      <c r="O478" s="118"/>
      <c r="P478" s="118"/>
      <c r="Q478" s="118"/>
      <c r="R478" s="121"/>
      <c r="S478" s="121"/>
      <c r="T478" s="121"/>
      <c r="U478" s="121"/>
      <c r="V478" s="95"/>
      <c r="W478" s="95"/>
      <c r="X478" s="95"/>
      <c r="Y478" s="96"/>
      <c r="Z478" s="96"/>
      <c r="AA478" s="96"/>
    </row>
    <row r="479" spans="1:27" ht="17.25" x14ac:dyDescent="0.3">
      <c r="A479" s="118"/>
      <c r="B479" s="118" t="s">
        <v>899</v>
      </c>
      <c r="C479" s="118"/>
      <c r="D479" s="118"/>
      <c r="E479" s="118"/>
      <c r="F479" s="118"/>
      <c r="G479" s="166"/>
      <c r="H479" s="185"/>
      <c r="I479" s="167"/>
      <c r="J479" s="118"/>
      <c r="K479" s="118"/>
      <c r="L479" s="120"/>
      <c r="M479" s="166"/>
      <c r="N479" s="185"/>
      <c r="O479" s="167"/>
      <c r="P479" s="118"/>
      <c r="Q479" s="118"/>
      <c r="R479" s="121"/>
      <c r="S479" s="121"/>
      <c r="T479" s="121"/>
      <c r="U479" s="121"/>
      <c r="V479" s="95"/>
      <c r="W479" s="95"/>
      <c r="X479" s="95"/>
      <c r="Y479" s="96"/>
      <c r="Z479" s="96"/>
      <c r="AA479" s="96"/>
    </row>
    <row r="480" spans="1:27" ht="17.25" x14ac:dyDescent="0.3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20"/>
      <c r="M480" s="118"/>
      <c r="N480" s="118"/>
      <c r="O480" s="118"/>
      <c r="P480" s="118"/>
      <c r="Q480" s="118"/>
      <c r="R480" s="121"/>
      <c r="S480" s="121"/>
      <c r="T480" s="121"/>
      <c r="U480" s="121"/>
      <c r="V480" s="95"/>
      <c r="W480" s="95"/>
      <c r="X480" s="95"/>
      <c r="Y480" s="96"/>
      <c r="Z480" s="96"/>
      <c r="AA480" s="96"/>
    </row>
    <row r="481" spans="1:27" ht="17.25" x14ac:dyDescent="0.3">
      <c r="A481" s="118"/>
      <c r="B481" s="118" t="s">
        <v>900</v>
      </c>
      <c r="C481" s="118"/>
      <c r="D481" s="118"/>
      <c r="E481" s="118"/>
      <c r="F481" s="118"/>
      <c r="G481" s="166"/>
      <c r="H481" s="185"/>
      <c r="I481" s="167"/>
      <c r="J481" s="118"/>
      <c r="K481" s="118"/>
      <c r="L481" s="120"/>
      <c r="M481" s="166"/>
      <c r="N481" s="185"/>
      <c r="O481" s="167"/>
      <c r="P481" s="118"/>
      <c r="Q481" s="118"/>
      <c r="R481" s="121"/>
      <c r="S481" s="121"/>
      <c r="T481" s="121"/>
      <c r="U481" s="121"/>
      <c r="V481" s="95"/>
      <c r="W481" s="95"/>
      <c r="X481" s="95"/>
      <c r="Y481" s="96"/>
      <c r="Z481" s="96"/>
      <c r="AA481" s="96"/>
    </row>
    <row r="482" spans="1:27" ht="17.25" x14ac:dyDescent="0.3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20"/>
      <c r="M482" s="118"/>
      <c r="N482" s="118"/>
      <c r="O482" s="118"/>
      <c r="P482" s="118"/>
      <c r="Q482" s="118"/>
      <c r="R482" s="121"/>
      <c r="S482" s="121"/>
      <c r="T482" s="121"/>
      <c r="U482" s="121"/>
      <c r="V482" s="95"/>
      <c r="W482" s="95"/>
      <c r="X482" s="95"/>
      <c r="Y482" s="96"/>
      <c r="Z482" s="96"/>
      <c r="AA482" s="96"/>
    </row>
    <row r="483" spans="1:27" ht="17.25" x14ac:dyDescent="0.3">
      <c r="A483" s="118"/>
      <c r="B483" s="118" t="s">
        <v>901</v>
      </c>
      <c r="C483" s="118"/>
      <c r="D483" s="118"/>
      <c r="E483" s="118"/>
      <c r="F483" s="118"/>
      <c r="G483" s="166"/>
      <c r="H483" s="185"/>
      <c r="I483" s="167"/>
      <c r="J483" s="118"/>
      <c r="K483" s="118"/>
      <c r="L483" s="120"/>
      <c r="M483" s="166"/>
      <c r="N483" s="185"/>
      <c r="O483" s="167"/>
      <c r="P483" s="118"/>
      <c r="Q483" s="118"/>
      <c r="R483" s="121"/>
      <c r="S483" s="121"/>
      <c r="T483" s="121"/>
      <c r="U483" s="121"/>
      <c r="V483" s="95"/>
      <c r="W483" s="95"/>
      <c r="X483" s="95"/>
      <c r="Y483" s="96"/>
      <c r="Z483" s="96"/>
      <c r="AA483" s="96"/>
    </row>
    <row r="484" spans="1:27" ht="17.25" x14ac:dyDescent="0.3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20"/>
      <c r="M484" s="118"/>
      <c r="N484" s="118"/>
      <c r="O484" s="118"/>
      <c r="P484" s="118"/>
      <c r="Q484" s="118"/>
      <c r="R484" s="121"/>
      <c r="S484" s="121"/>
      <c r="T484" s="121"/>
      <c r="U484" s="121"/>
      <c r="V484" s="95"/>
      <c r="W484" s="95"/>
      <c r="X484" s="95"/>
      <c r="Y484" s="96"/>
      <c r="Z484" s="96"/>
      <c r="AA484" s="96"/>
    </row>
    <row r="485" spans="1:27" ht="17.25" x14ac:dyDescent="0.3">
      <c r="A485" s="118"/>
      <c r="B485" s="118" t="s">
        <v>902</v>
      </c>
      <c r="C485" s="118"/>
      <c r="D485" s="118"/>
      <c r="E485" s="118"/>
      <c r="F485" s="118"/>
      <c r="G485" s="168"/>
      <c r="H485" s="168"/>
      <c r="I485" s="168"/>
      <c r="J485" s="118"/>
      <c r="K485" s="118"/>
      <c r="L485" s="120"/>
      <c r="M485" s="168"/>
      <c r="N485" s="168"/>
      <c r="O485" s="168"/>
      <c r="P485" s="118"/>
      <c r="Q485" s="118"/>
      <c r="R485" s="121"/>
      <c r="S485" s="121"/>
      <c r="T485" s="121"/>
      <c r="U485" s="121"/>
      <c r="V485" s="95"/>
      <c r="W485" s="95"/>
      <c r="X485" s="95"/>
      <c r="Y485" s="96"/>
      <c r="Z485" s="96"/>
      <c r="AA485" s="96"/>
    </row>
    <row r="486" spans="1:27" ht="17.25" x14ac:dyDescent="0.3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20"/>
      <c r="M486" s="118"/>
      <c r="N486" s="118"/>
      <c r="O486" s="118"/>
      <c r="P486" s="118"/>
      <c r="Q486" s="118"/>
      <c r="R486" s="121"/>
      <c r="S486" s="121"/>
      <c r="T486" s="121"/>
      <c r="U486" s="121"/>
      <c r="V486" s="95"/>
      <c r="W486" s="95"/>
      <c r="X486" s="95"/>
      <c r="Y486" s="96"/>
      <c r="Z486" s="96"/>
      <c r="AA486" s="96"/>
    </row>
    <row r="487" spans="1:27" ht="17.25" x14ac:dyDescent="0.3">
      <c r="A487" s="118"/>
      <c r="B487" s="118" t="s">
        <v>575</v>
      </c>
      <c r="C487" s="118"/>
      <c r="D487" s="118"/>
      <c r="E487" s="118"/>
      <c r="F487" s="118"/>
      <c r="G487" s="166"/>
      <c r="H487" s="185"/>
      <c r="I487" s="167"/>
      <c r="J487" s="118"/>
      <c r="K487" s="118"/>
      <c r="L487" s="120"/>
      <c r="M487" s="166"/>
      <c r="N487" s="185"/>
      <c r="O487" s="167"/>
      <c r="P487" s="118"/>
      <c r="Q487" s="118"/>
      <c r="R487" s="121"/>
      <c r="S487" s="121"/>
      <c r="T487" s="121"/>
      <c r="U487" s="121"/>
      <c r="V487" s="95"/>
      <c r="W487" s="95"/>
      <c r="X487" s="95"/>
      <c r="Y487" s="96"/>
      <c r="Z487" s="96"/>
      <c r="AA487" s="96"/>
    </row>
    <row r="488" spans="1:27" ht="17.25" x14ac:dyDescent="0.3">
      <c r="A488" s="118"/>
      <c r="B488" s="118"/>
      <c r="C488" s="118"/>
      <c r="D488" s="118"/>
      <c r="E488" s="118"/>
      <c r="F488" s="118"/>
      <c r="G488" s="121"/>
      <c r="H488" s="121"/>
      <c r="I488" s="121"/>
      <c r="J488" s="118"/>
      <c r="K488" s="118"/>
      <c r="L488" s="120"/>
      <c r="M488" s="121"/>
      <c r="N488" s="121"/>
      <c r="O488" s="121"/>
      <c r="P488" s="118"/>
      <c r="Q488" s="118"/>
      <c r="R488" s="121"/>
      <c r="S488" s="121"/>
      <c r="T488" s="121"/>
      <c r="U488" s="121"/>
      <c r="V488" s="95"/>
      <c r="W488" s="95"/>
      <c r="X488" s="95"/>
      <c r="Y488" s="96"/>
      <c r="Z488" s="96"/>
      <c r="AA488" s="96"/>
    </row>
    <row r="489" spans="1:27" ht="17.25" x14ac:dyDescent="0.3">
      <c r="A489" s="118"/>
      <c r="B489" s="118" t="s">
        <v>903</v>
      </c>
      <c r="C489" s="118"/>
      <c r="D489" s="118"/>
      <c r="E489" s="118"/>
      <c r="F489" s="118"/>
      <c r="G489" s="166"/>
      <c r="H489" s="185"/>
      <c r="I489" s="167"/>
      <c r="J489" s="118" t="s">
        <v>904</v>
      </c>
      <c r="K489" s="118"/>
      <c r="L489" s="120"/>
      <c r="M489" s="166"/>
      <c r="N489" s="185"/>
      <c r="O489" s="167"/>
      <c r="P489" s="118" t="s">
        <v>904</v>
      </c>
      <c r="Q489" s="118"/>
      <c r="R489" s="121"/>
      <c r="S489" s="121"/>
      <c r="T489" s="121"/>
      <c r="U489" s="121"/>
      <c r="V489" s="95"/>
      <c r="W489" s="95"/>
      <c r="X489" s="95"/>
      <c r="Y489" s="96"/>
      <c r="Z489" s="96"/>
      <c r="AA489" s="96"/>
    </row>
    <row r="490" spans="1:27" ht="17.25" x14ac:dyDescent="0.3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20"/>
      <c r="M490" s="118"/>
      <c r="N490" s="118"/>
      <c r="O490" s="118"/>
      <c r="P490" s="118"/>
      <c r="Q490" s="118"/>
      <c r="R490" s="121"/>
      <c r="S490" s="121"/>
      <c r="T490" s="121"/>
      <c r="U490" s="121"/>
      <c r="V490" s="95"/>
      <c r="W490" s="95"/>
      <c r="X490" s="95"/>
      <c r="Y490" s="96"/>
      <c r="Z490" s="96"/>
      <c r="AA490" s="96"/>
    </row>
    <row r="491" spans="1:27" ht="17.25" x14ac:dyDescent="0.3">
      <c r="A491" s="118"/>
      <c r="B491" s="118" t="s">
        <v>905</v>
      </c>
      <c r="C491" s="118"/>
      <c r="D491" s="118"/>
      <c r="E491" s="118"/>
      <c r="F491" s="118"/>
      <c r="G491" s="166"/>
      <c r="H491" s="185"/>
      <c r="I491" s="167"/>
      <c r="J491" s="118" t="s">
        <v>906</v>
      </c>
      <c r="K491" s="118"/>
      <c r="L491" s="120"/>
      <c r="M491" s="166"/>
      <c r="N491" s="185"/>
      <c r="O491" s="167"/>
      <c r="P491" s="118" t="s">
        <v>906</v>
      </c>
      <c r="Q491" s="118"/>
      <c r="R491" s="121"/>
      <c r="S491" s="121"/>
      <c r="T491" s="121"/>
      <c r="U491" s="121"/>
      <c r="V491" s="95"/>
      <c r="W491" s="95"/>
      <c r="X491" s="95"/>
      <c r="Y491" s="96"/>
      <c r="Z491" s="96"/>
      <c r="AA491" s="96"/>
    </row>
    <row r="492" spans="1:27" ht="17.25" x14ac:dyDescent="0.3">
      <c r="A492" s="118"/>
      <c r="B492" s="118"/>
      <c r="C492" s="118"/>
      <c r="D492" s="118"/>
      <c r="E492" s="118"/>
      <c r="F492" s="118"/>
      <c r="G492" s="120"/>
      <c r="H492" s="118"/>
      <c r="I492" s="118"/>
      <c r="J492" s="119"/>
      <c r="K492" s="118"/>
      <c r="L492" s="120"/>
      <c r="M492" s="120"/>
      <c r="N492" s="118"/>
      <c r="O492" s="118"/>
      <c r="P492" s="119"/>
      <c r="Q492" s="118"/>
      <c r="R492" s="121"/>
      <c r="S492" s="121"/>
      <c r="T492" s="121"/>
      <c r="U492" s="121"/>
      <c r="V492" s="95"/>
      <c r="W492" s="95"/>
      <c r="X492" s="95"/>
      <c r="Y492" s="96"/>
      <c r="Z492" s="96"/>
      <c r="AA492" s="96"/>
    </row>
    <row r="493" spans="1:27" ht="17.25" x14ac:dyDescent="0.3">
      <c r="A493" s="118"/>
      <c r="B493" s="118" t="s">
        <v>907</v>
      </c>
      <c r="C493" s="118"/>
      <c r="D493" s="118"/>
      <c r="E493" s="118"/>
      <c r="F493" s="118"/>
      <c r="G493" s="191"/>
      <c r="H493" s="185"/>
      <c r="I493" s="167"/>
      <c r="J493" s="118" t="s">
        <v>908</v>
      </c>
      <c r="K493" s="118"/>
      <c r="L493" s="120"/>
      <c r="M493" s="191"/>
      <c r="N493" s="185"/>
      <c r="O493" s="167"/>
      <c r="P493" s="118" t="s">
        <v>908</v>
      </c>
      <c r="Q493" s="118"/>
      <c r="R493" s="121"/>
      <c r="S493" s="121"/>
      <c r="T493" s="121"/>
      <c r="U493" s="121"/>
      <c r="V493" s="95"/>
      <c r="W493" s="95"/>
      <c r="X493" s="95"/>
      <c r="Y493" s="96"/>
      <c r="Z493" s="96"/>
      <c r="AA493" s="96"/>
    </row>
    <row r="494" spans="1:27" ht="17.25" x14ac:dyDescent="0.3">
      <c r="A494" s="118"/>
      <c r="B494" s="118"/>
      <c r="C494" s="118"/>
      <c r="D494" s="118"/>
      <c r="E494" s="118"/>
      <c r="F494" s="118"/>
      <c r="G494" s="120"/>
      <c r="H494" s="118"/>
      <c r="I494" s="118"/>
      <c r="J494" s="120"/>
      <c r="K494" s="118"/>
      <c r="L494" s="120"/>
      <c r="M494" s="120"/>
      <c r="N494" s="120"/>
      <c r="O494" s="120"/>
      <c r="P494" s="121"/>
      <c r="Q494" s="121"/>
      <c r="R494" s="121"/>
      <c r="S494" s="121"/>
      <c r="T494" s="121"/>
      <c r="U494" s="121"/>
      <c r="V494" s="95"/>
      <c r="W494" s="95"/>
      <c r="X494" s="95"/>
      <c r="Y494" s="96"/>
      <c r="Z494" s="96"/>
      <c r="AA494" s="96"/>
    </row>
  </sheetData>
  <mergeCells count="714">
    <mergeCell ref="Q468:R468"/>
    <mergeCell ref="S468:T468"/>
    <mergeCell ref="A471:U471"/>
    <mergeCell ref="Q465:R465"/>
    <mergeCell ref="S465:T465"/>
    <mergeCell ref="Q466:R466"/>
    <mergeCell ref="S466:T466"/>
    <mergeCell ref="Q467:R467"/>
    <mergeCell ref="S467:T467"/>
    <mergeCell ref="Q460:R460"/>
    <mergeCell ref="S460:T460"/>
    <mergeCell ref="Q463:R463"/>
    <mergeCell ref="S463:T463"/>
    <mergeCell ref="B464:P464"/>
    <mergeCell ref="Q464:R464"/>
    <mergeCell ref="S464:T464"/>
    <mergeCell ref="Q457:R457"/>
    <mergeCell ref="S457:T457"/>
    <mergeCell ref="Q458:R458"/>
    <mergeCell ref="S458:T458"/>
    <mergeCell ref="Q459:R459"/>
    <mergeCell ref="S459:T459"/>
    <mergeCell ref="Q452:R452"/>
    <mergeCell ref="S452:T452"/>
    <mergeCell ref="Q455:R455"/>
    <mergeCell ref="S455:T455"/>
    <mergeCell ref="B456:P456"/>
    <mergeCell ref="Q456:R456"/>
    <mergeCell ref="S456:T456"/>
    <mergeCell ref="Q449:R449"/>
    <mergeCell ref="S449:T449"/>
    <mergeCell ref="Q450:R450"/>
    <mergeCell ref="S450:T450"/>
    <mergeCell ref="Q451:R451"/>
    <mergeCell ref="S451:T451"/>
    <mergeCell ref="Q444:R444"/>
    <mergeCell ref="S444:T444"/>
    <mergeCell ref="Q447:R447"/>
    <mergeCell ref="S447:T447"/>
    <mergeCell ref="Q448:R448"/>
    <mergeCell ref="S448:T448"/>
    <mergeCell ref="B441:P441"/>
    <mergeCell ref="Q441:R441"/>
    <mergeCell ref="S441:T441"/>
    <mergeCell ref="Q442:R442"/>
    <mergeCell ref="S442:T442"/>
    <mergeCell ref="Q443:R443"/>
    <mergeCell ref="S443:T443"/>
    <mergeCell ref="Q436:R436"/>
    <mergeCell ref="S436:T436"/>
    <mergeCell ref="Q439:R439"/>
    <mergeCell ref="S439:T439"/>
    <mergeCell ref="B440:P440"/>
    <mergeCell ref="Q440:R440"/>
    <mergeCell ref="S440:T440"/>
    <mergeCell ref="Q433:R433"/>
    <mergeCell ref="S433:T433"/>
    <mergeCell ref="Q434:R434"/>
    <mergeCell ref="S434:T434"/>
    <mergeCell ref="Q435:R435"/>
    <mergeCell ref="S435:T435"/>
    <mergeCell ref="Q428:R428"/>
    <mergeCell ref="S428:T428"/>
    <mergeCell ref="Q431:R431"/>
    <mergeCell ref="S431:T431"/>
    <mergeCell ref="B432:P432"/>
    <mergeCell ref="Q432:R432"/>
    <mergeCell ref="S432:T432"/>
    <mergeCell ref="B425:P425"/>
    <mergeCell ref="Q425:R425"/>
    <mergeCell ref="S425:T425"/>
    <mergeCell ref="Q426:R426"/>
    <mergeCell ref="S426:T426"/>
    <mergeCell ref="Q427:R427"/>
    <mergeCell ref="S427:T427"/>
    <mergeCell ref="A421:U421"/>
    <mergeCell ref="Q423:R423"/>
    <mergeCell ref="S423:T423"/>
    <mergeCell ref="B424:P424"/>
    <mergeCell ref="Q424:R424"/>
    <mergeCell ref="S424:T424"/>
    <mergeCell ref="T417:U417"/>
    <mergeCell ref="D418:E418"/>
    <mergeCell ref="H418:I418"/>
    <mergeCell ref="L418:M418"/>
    <mergeCell ref="P418:Q418"/>
    <mergeCell ref="T418:U418"/>
    <mergeCell ref="G414:H414"/>
    <mergeCell ref="L414:M414"/>
    <mergeCell ref="Q414:R414"/>
    <mergeCell ref="D417:E417"/>
    <mergeCell ref="H417:I417"/>
    <mergeCell ref="K417:N417"/>
    <mergeCell ref="P417:Q417"/>
    <mergeCell ref="Q408:R408"/>
    <mergeCell ref="S408:T408"/>
    <mergeCell ref="A411:U411"/>
    <mergeCell ref="G413:H413"/>
    <mergeCell ref="L413:M413"/>
    <mergeCell ref="Q413:R413"/>
    <mergeCell ref="O407:P407"/>
    <mergeCell ref="Q407:R407"/>
    <mergeCell ref="S407:T407"/>
    <mergeCell ref="B408:D408"/>
    <mergeCell ref="E408:F408"/>
    <mergeCell ref="G408:H408"/>
    <mergeCell ref="I408:J408"/>
    <mergeCell ref="K408:L408"/>
    <mergeCell ref="M408:N408"/>
    <mergeCell ref="O408:P408"/>
    <mergeCell ref="B407:D407"/>
    <mergeCell ref="E407:F407"/>
    <mergeCell ref="G407:H407"/>
    <mergeCell ref="I407:J407"/>
    <mergeCell ref="K407:L407"/>
    <mergeCell ref="M407:N407"/>
    <mergeCell ref="B406:D406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B405:D405"/>
    <mergeCell ref="E405:F405"/>
    <mergeCell ref="G405:H405"/>
    <mergeCell ref="I405:J405"/>
    <mergeCell ref="K405:L405"/>
    <mergeCell ref="M405:N405"/>
    <mergeCell ref="O405:P405"/>
    <mergeCell ref="Q405:R405"/>
    <mergeCell ref="S405:T405"/>
    <mergeCell ref="O403:P403"/>
    <mergeCell ref="Q403:R403"/>
    <mergeCell ref="S403:T403"/>
    <mergeCell ref="B404:D404"/>
    <mergeCell ref="E404:F404"/>
    <mergeCell ref="G404:H404"/>
    <mergeCell ref="I404:J404"/>
    <mergeCell ref="K404:L404"/>
    <mergeCell ref="M404:N404"/>
    <mergeCell ref="O404:P404"/>
    <mergeCell ref="B403:D403"/>
    <mergeCell ref="E403:F403"/>
    <mergeCell ref="G403:H403"/>
    <mergeCell ref="I403:J403"/>
    <mergeCell ref="K403:L403"/>
    <mergeCell ref="M403:N403"/>
    <mergeCell ref="Q404:R404"/>
    <mergeCell ref="S404:T404"/>
    <mergeCell ref="B402:D402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B400:D401"/>
    <mergeCell ref="E400:T400"/>
    <mergeCell ref="E401:F401"/>
    <mergeCell ref="G401:H401"/>
    <mergeCell ref="I401:J401"/>
    <mergeCell ref="K401:L401"/>
    <mergeCell ref="M401:N401"/>
    <mergeCell ref="O401:P401"/>
    <mergeCell ref="Q401:R401"/>
    <mergeCell ref="S401:T401"/>
    <mergeCell ref="B398:D398"/>
    <mergeCell ref="E398:F398"/>
    <mergeCell ref="G398:H398"/>
    <mergeCell ref="I398:J398"/>
    <mergeCell ref="K398:L398"/>
    <mergeCell ref="M398:N398"/>
    <mergeCell ref="O398:P398"/>
    <mergeCell ref="Q398:R398"/>
    <mergeCell ref="S398:T398"/>
    <mergeCell ref="O396:P396"/>
    <mergeCell ref="Q396:R396"/>
    <mergeCell ref="S396:T396"/>
    <mergeCell ref="B397:D397"/>
    <mergeCell ref="E397:F397"/>
    <mergeCell ref="G397:H397"/>
    <mergeCell ref="I397:J397"/>
    <mergeCell ref="K397:L397"/>
    <mergeCell ref="M397:N397"/>
    <mergeCell ref="O397:P397"/>
    <mergeCell ref="B396:D396"/>
    <mergeCell ref="E396:F396"/>
    <mergeCell ref="G396:H396"/>
    <mergeCell ref="I396:J396"/>
    <mergeCell ref="K396:L396"/>
    <mergeCell ref="M396:N396"/>
    <mergeCell ref="Q397:R397"/>
    <mergeCell ref="S397:T397"/>
    <mergeCell ref="B395:D395"/>
    <mergeCell ref="E395:F395"/>
    <mergeCell ref="G395:H395"/>
    <mergeCell ref="I395:J395"/>
    <mergeCell ref="K395:L395"/>
    <mergeCell ref="M395:N395"/>
    <mergeCell ref="O395:P395"/>
    <mergeCell ref="Q395:R395"/>
    <mergeCell ref="S395:T395"/>
    <mergeCell ref="B394:D394"/>
    <mergeCell ref="E394:F394"/>
    <mergeCell ref="G394:H394"/>
    <mergeCell ref="I394:J394"/>
    <mergeCell ref="K394:L394"/>
    <mergeCell ref="M394:N394"/>
    <mergeCell ref="O394:P394"/>
    <mergeCell ref="Q394:R394"/>
    <mergeCell ref="S394:T394"/>
    <mergeCell ref="O392:P392"/>
    <mergeCell ref="Q392:R392"/>
    <mergeCell ref="S392:T392"/>
    <mergeCell ref="B393:D393"/>
    <mergeCell ref="E393:F393"/>
    <mergeCell ref="G393:H393"/>
    <mergeCell ref="I393:J393"/>
    <mergeCell ref="K393:L393"/>
    <mergeCell ref="M393:N393"/>
    <mergeCell ref="O393:P393"/>
    <mergeCell ref="B392:D392"/>
    <mergeCell ref="E392:F392"/>
    <mergeCell ref="G392:H392"/>
    <mergeCell ref="I392:J392"/>
    <mergeCell ref="K392:L392"/>
    <mergeCell ref="M392:N392"/>
    <mergeCell ref="Q393:R393"/>
    <mergeCell ref="S393:T393"/>
    <mergeCell ref="B390:D391"/>
    <mergeCell ref="E390:T390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B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B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O385:P385"/>
    <mergeCell ref="Q385:R385"/>
    <mergeCell ref="S385:T385"/>
    <mergeCell ref="B386:D386"/>
    <mergeCell ref="E386:F386"/>
    <mergeCell ref="G386:H386"/>
    <mergeCell ref="I386:J386"/>
    <mergeCell ref="K386:L386"/>
    <mergeCell ref="M386:N386"/>
    <mergeCell ref="O386:P386"/>
    <mergeCell ref="B385:D385"/>
    <mergeCell ref="E385:F385"/>
    <mergeCell ref="G385:H385"/>
    <mergeCell ref="I385:J385"/>
    <mergeCell ref="K385:L385"/>
    <mergeCell ref="M385:N385"/>
    <mergeCell ref="Q386:R386"/>
    <mergeCell ref="S386:T386"/>
    <mergeCell ref="B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B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B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O378:P378"/>
    <mergeCell ref="Q378:R378"/>
    <mergeCell ref="S378:T378"/>
    <mergeCell ref="B380:D381"/>
    <mergeCell ref="E380:T380"/>
    <mergeCell ref="E381:F381"/>
    <mergeCell ref="G381:H381"/>
    <mergeCell ref="I381:J381"/>
    <mergeCell ref="K381:L381"/>
    <mergeCell ref="M381:N381"/>
    <mergeCell ref="B378:D378"/>
    <mergeCell ref="E378:F378"/>
    <mergeCell ref="G378:H378"/>
    <mergeCell ref="I378:J378"/>
    <mergeCell ref="K378:L378"/>
    <mergeCell ref="M378:N378"/>
    <mergeCell ref="O381:P381"/>
    <mergeCell ref="Q381:R381"/>
    <mergeCell ref="S381:T381"/>
    <mergeCell ref="B377:D377"/>
    <mergeCell ref="E377:F377"/>
    <mergeCell ref="G377:H377"/>
    <mergeCell ref="I377:J377"/>
    <mergeCell ref="K377:L377"/>
    <mergeCell ref="M377:N377"/>
    <mergeCell ref="O377:P377"/>
    <mergeCell ref="Q377:R377"/>
    <mergeCell ref="S377:T377"/>
    <mergeCell ref="B376:D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O374:P374"/>
    <mergeCell ref="Q374:R374"/>
    <mergeCell ref="S374:T374"/>
    <mergeCell ref="B375:D375"/>
    <mergeCell ref="E375:F375"/>
    <mergeCell ref="G375:H375"/>
    <mergeCell ref="I375:J375"/>
    <mergeCell ref="K375:L375"/>
    <mergeCell ref="M375:N375"/>
    <mergeCell ref="O375:P375"/>
    <mergeCell ref="B374:D374"/>
    <mergeCell ref="E374:F374"/>
    <mergeCell ref="G374:H374"/>
    <mergeCell ref="I374:J374"/>
    <mergeCell ref="K374:L374"/>
    <mergeCell ref="M374:N374"/>
    <mergeCell ref="Q375:R375"/>
    <mergeCell ref="S375:T375"/>
    <mergeCell ref="B372:D372"/>
    <mergeCell ref="G372:H372"/>
    <mergeCell ref="I372:J372"/>
    <mergeCell ref="K372:L372"/>
    <mergeCell ref="M372:N372"/>
    <mergeCell ref="O372:P372"/>
    <mergeCell ref="Q372:R372"/>
    <mergeCell ref="S372:T372"/>
    <mergeCell ref="B373:D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O368:P368"/>
    <mergeCell ref="Q368:R368"/>
    <mergeCell ref="S368:T368"/>
    <mergeCell ref="B370:D371"/>
    <mergeCell ref="E370:T370"/>
    <mergeCell ref="E371:F371"/>
    <mergeCell ref="G371:H371"/>
    <mergeCell ref="I371:J371"/>
    <mergeCell ref="K371:L371"/>
    <mergeCell ref="M371:N371"/>
    <mergeCell ref="B368:D368"/>
    <mergeCell ref="E368:F368"/>
    <mergeCell ref="G368:H368"/>
    <mergeCell ref="I368:J368"/>
    <mergeCell ref="K368:L368"/>
    <mergeCell ref="M368:N368"/>
    <mergeCell ref="O371:P371"/>
    <mergeCell ref="Q371:R371"/>
    <mergeCell ref="S371:T371"/>
    <mergeCell ref="B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B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O364:P364"/>
    <mergeCell ref="Q364:R364"/>
    <mergeCell ref="S364:T364"/>
    <mergeCell ref="B365:D365"/>
    <mergeCell ref="E365:F365"/>
    <mergeCell ref="G365:H365"/>
    <mergeCell ref="I365:J365"/>
    <mergeCell ref="K365:L365"/>
    <mergeCell ref="M365:N365"/>
    <mergeCell ref="O365:P365"/>
    <mergeCell ref="B364:D364"/>
    <mergeCell ref="E364:F364"/>
    <mergeCell ref="G364:H364"/>
    <mergeCell ref="I364:J364"/>
    <mergeCell ref="K364:L364"/>
    <mergeCell ref="M364:N364"/>
    <mergeCell ref="Q365:R365"/>
    <mergeCell ref="S365:T365"/>
    <mergeCell ref="B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B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B360:D361"/>
    <mergeCell ref="E360:T360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O357:P357"/>
    <mergeCell ref="Q357:R357"/>
    <mergeCell ref="S357:T357"/>
    <mergeCell ref="B358:D358"/>
    <mergeCell ref="E358:F358"/>
    <mergeCell ref="G358:H358"/>
    <mergeCell ref="I358:J358"/>
    <mergeCell ref="K358:L358"/>
    <mergeCell ref="M358:N358"/>
    <mergeCell ref="O358:P358"/>
    <mergeCell ref="B357:D357"/>
    <mergeCell ref="E357:F357"/>
    <mergeCell ref="G357:H357"/>
    <mergeCell ref="I357:J357"/>
    <mergeCell ref="K357:L357"/>
    <mergeCell ref="M357:N357"/>
    <mergeCell ref="Q358:R358"/>
    <mergeCell ref="S358:T358"/>
    <mergeCell ref="B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B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B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B353:D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B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D348:E348"/>
    <mergeCell ref="F348:G348"/>
    <mergeCell ref="H348:I348"/>
    <mergeCell ref="E349:G349"/>
    <mergeCell ref="Q349:U349"/>
    <mergeCell ref="B350:D351"/>
    <mergeCell ref="E350:T350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D346:E346"/>
    <mergeCell ref="F346:G346"/>
    <mergeCell ref="H346:I346"/>
    <mergeCell ref="D347:E347"/>
    <mergeCell ref="F347:G347"/>
    <mergeCell ref="H347:I347"/>
    <mergeCell ref="D344:E344"/>
    <mergeCell ref="F344:G344"/>
    <mergeCell ref="D345:E345"/>
    <mergeCell ref="F345:G345"/>
    <mergeCell ref="H344:I344"/>
    <mergeCell ref="H345:I345"/>
    <mergeCell ref="A342:B342"/>
    <mergeCell ref="D342:E342"/>
    <mergeCell ref="F342:G342"/>
    <mergeCell ref="H342:I342"/>
    <mergeCell ref="D343:E343"/>
    <mergeCell ref="F343:G343"/>
    <mergeCell ref="A339:U339"/>
    <mergeCell ref="A341:B341"/>
    <mergeCell ref="D341:E341"/>
    <mergeCell ref="F341:G341"/>
    <mergeCell ref="H341:I341"/>
    <mergeCell ref="J341:K341"/>
    <mergeCell ref="L341:M341"/>
    <mergeCell ref="N341:O341"/>
    <mergeCell ref="R341:S341"/>
    <mergeCell ref="T341:U341"/>
    <mergeCell ref="H343:I343"/>
    <mergeCell ref="I325:K325"/>
    <mergeCell ref="I327:K327"/>
    <mergeCell ref="I331:K331"/>
    <mergeCell ref="I333:K333"/>
    <mergeCell ref="I335:K335"/>
    <mergeCell ref="I337:K337"/>
    <mergeCell ref="I310:K310"/>
    <mergeCell ref="I312:K312"/>
    <mergeCell ref="I317:K317"/>
    <mergeCell ref="I319:K319"/>
    <mergeCell ref="I321:K321"/>
    <mergeCell ref="I323:K323"/>
    <mergeCell ref="E300:K300"/>
    <mergeCell ref="I304:K304"/>
    <mergeCell ref="I305:K305"/>
    <mergeCell ref="I306:K306"/>
    <mergeCell ref="I308:K308"/>
    <mergeCell ref="I309:K309"/>
    <mergeCell ref="J286:K286"/>
    <mergeCell ref="J288:K288"/>
    <mergeCell ref="I292:K292"/>
    <mergeCell ref="I294:K294"/>
    <mergeCell ref="I296:K296"/>
    <mergeCell ref="E298:K298"/>
    <mergeCell ref="I276:K276"/>
    <mergeCell ref="M276:O276"/>
    <mergeCell ref="I278:K278"/>
    <mergeCell ref="I280:K280"/>
    <mergeCell ref="I284:J284"/>
    <mergeCell ref="K284:L284"/>
    <mergeCell ref="I269:J269"/>
    <mergeCell ref="K269:L269"/>
    <mergeCell ref="Q269:R269"/>
    <mergeCell ref="A271:U271"/>
    <mergeCell ref="I274:K274"/>
    <mergeCell ref="Q274:U274"/>
    <mergeCell ref="Q263:R263"/>
    <mergeCell ref="I265:J265"/>
    <mergeCell ref="K265:L265"/>
    <mergeCell ref="Q265:R265"/>
    <mergeCell ref="I267:J267"/>
    <mergeCell ref="K267:L267"/>
    <mergeCell ref="Q267:R267"/>
    <mergeCell ref="I253:J253"/>
    <mergeCell ref="K253:L253"/>
    <mergeCell ref="I259:J259"/>
    <mergeCell ref="K259:L259"/>
    <mergeCell ref="K261:L261"/>
    <mergeCell ref="I263:J263"/>
    <mergeCell ref="K263:L263"/>
    <mergeCell ref="I247:J247"/>
    <mergeCell ref="K247:L247"/>
    <mergeCell ref="I249:J249"/>
    <mergeCell ref="K249:L249"/>
    <mergeCell ref="I251:J251"/>
    <mergeCell ref="K251:L251"/>
    <mergeCell ref="G233:J233"/>
    <mergeCell ref="G235:J235"/>
    <mergeCell ref="G237:J237"/>
    <mergeCell ref="G239:J239"/>
    <mergeCell ref="A241:U241"/>
    <mergeCell ref="K245:L245"/>
    <mergeCell ref="P212:U212"/>
    <mergeCell ref="G213:J213"/>
    <mergeCell ref="G215:J215"/>
    <mergeCell ref="G217:J217"/>
    <mergeCell ref="G219:J219"/>
    <mergeCell ref="R229:U229"/>
    <mergeCell ref="I196:K196"/>
    <mergeCell ref="L196:N196"/>
    <mergeCell ref="O196:Q196"/>
    <mergeCell ref="I198:K198"/>
    <mergeCell ref="I200:K200"/>
    <mergeCell ref="A209:U209"/>
    <mergeCell ref="I194:K194"/>
    <mergeCell ref="L194:N194"/>
    <mergeCell ref="O194:Q194"/>
    <mergeCell ref="I195:K195"/>
    <mergeCell ref="L195:N195"/>
    <mergeCell ref="O195:Q195"/>
    <mergeCell ref="I192:K192"/>
    <mergeCell ref="L192:N192"/>
    <mergeCell ref="O192:Q192"/>
    <mergeCell ref="R192:S192"/>
    <mergeCell ref="I193:K193"/>
    <mergeCell ref="L193:N193"/>
    <mergeCell ref="O193:Q193"/>
    <mergeCell ref="A187:U187"/>
    <mergeCell ref="N189:Q189"/>
    <mergeCell ref="I190:K190"/>
    <mergeCell ref="L190:N190"/>
    <mergeCell ref="O190:Q190"/>
    <mergeCell ref="I191:K191"/>
    <mergeCell ref="L191:N191"/>
    <mergeCell ref="O191:Q191"/>
    <mergeCell ref="L137:N137"/>
    <mergeCell ref="R137:T137"/>
    <mergeCell ref="L143:N143"/>
    <mergeCell ref="R143:T143"/>
    <mergeCell ref="A154:J155"/>
    <mergeCell ref="A158:B158"/>
    <mergeCell ref="L131:N131"/>
    <mergeCell ref="R131:T131"/>
    <mergeCell ref="L133:N133"/>
    <mergeCell ref="R133:T133"/>
    <mergeCell ref="L135:N135"/>
    <mergeCell ref="R135:T135"/>
    <mergeCell ref="L111:N111"/>
    <mergeCell ref="R111:T111"/>
    <mergeCell ref="A127:J128"/>
    <mergeCell ref="L127:N127"/>
    <mergeCell ref="R127:T127"/>
    <mergeCell ref="L129:N129"/>
    <mergeCell ref="R129:T129"/>
    <mergeCell ref="L105:N105"/>
    <mergeCell ref="R105:T105"/>
    <mergeCell ref="L106:N106"/>
    <mergeCell ref="R106:T106"/>
    <mergeCell ref="L108:N108"/>
    <mergeCell ref="R108:T108"/>
    <mergeCell ref="L54:N54"/>
    <mergeCell ref="R54:T54"/>
    <mergeCell ref="L56:N56"/>
    <mergeCell ref="R56:T56"/>
    <mergeCell ref="L70:N70"/>
    <mergeCell ref="R70:T70"/>
    <mergeCell ref="L29:N29"/>
    <mergeCell ref="L33:N33"/>
    <mergeCell ref="R39:U39"/>
    <mergeCell ref="L44:N44"/>
    <mergeCell ref="R44:T44"/>
    <mergeCell ref="A53:B53"/>
    <mergeCell ref="A9:U9"/>
    <mergeCell ref="A10:B10"/>
    <mergeCell ref="L11:N11"/>
    <mergeCell ref="L12:N12"/>
    <mergeCell ref="L14:N14"/>
    <mergeCell ref="L22:N22"/>
    <mergeCell ref="C5:H5"/>
    <mergeCell ref="L5:P5"/>
    <mergeCell ref="S5:U5"/>
    <mergeCell ref="C6:H6"/>
    <mergeCell ref="S6:U6"/>
    <mergeCell ref="C7:H7"/>
    <mergeCell ref="S7:U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293"/>
  <sheetViews>
    <sheetView view="pageBreakPreview" zoomScale="40" zoomScaleNormal="100" zoomScaleSheetLayoutView="40" workbookViewId="0">
      <selection activeCell="C306" sqref="C306"/>
    </sheetView>
  </sheetViews>
  <sheetFormatPr defaultRowHeight="31.5" x14ac:dyDescent="0.5"/>
  <cols>
    <col min="1" max="1" width="12.7109375" style="59" customWidth="1"/>
    <col min="2" max="2" width="98.42578125" customWidth="1"/>
    <col min="3" max="3" width="177.85546875" customWidth="1"/>
    <col min="4" max="4" width="16" customWidth="1"/>
    <col min="5" max="5" width="10.42578125" customWidth="1"/>
    <col min="6" max="6" width="20.7109375" style="1" customWidth="1"/>
    <col min="7" max="7" width="85" customWidth="1"/>
  </cols>
  <sheetData>
    <row r="2" spans="1:7" ht="36" x14ac:dyDescent="0.5">
      <c r="B2" s="65" t="s">
        <v>467</v>
      </c>
      <c r="C2" s="12"/>
    </row>
    <row r="3" spans="1:7" ht="57.75" x14ac:dyDescent="0.5">
      <c r="B3" s="13"/>
      <c r="C3" s="14" t="s">
        <v>468</v>
      </c>
      <c r="D3" s="15"/>
      <c r="E3" s="15"/>
      <c r="F3" s="16"/>
      <c r="G3" s="15"/>
    </row>
    <row r="4" spans="1:7" ht="25.15" customHeight="1" x14ac:dyDescent="0.5">
      <c r="B4" s="17"/>
      <c r="C4" s="18" t="s">
        <v>485</v>
      </c>
      <c r="D4" s="15"/>
      <c r="E4" s="15"/>
      <c r="F4" s="16"/>
      <c r="G4" s="15"/>
    </row>
    <row r="5" spans="1:7" x14ac:dyDescent="0.5">
      <c r="B5" s="15"/>
      <c r="C5" s="15"/>
      <c r="D5" s="15"/>
      <c r="E5" s="15"/>
      <c r="F5" s="16"/>
      <c r="G5" s="15"/>
    </row>
    <row r="6" spans="1:7" x14ac:dyDescent="0.5">
      <c r="B6" s="15"/>
      <c r="C6" s="15"/>
      <c r="D6" s="15"/>
      <c r="E6" s="15"/>
      <c r="F6" s="16"/>
      <c r="G6" s="15"/>
    </row>
    <row r="7" spans="1:7" x14ac:dyDescent="0.5">
      <c r="B7" s="15"/>
      <c r="C7" s="15"/>
      <c r="D7" s="15"/>
      <c r="E7" s="15"/>
      <c r="F7" s="16"/>
      <c r="G7" s="15"/>
    </row>
    <row r="8" spans="1:7" ht="28.15" customHeight="1" x14ac:dyDescent="0.5">
      <c r="A8" s="60" t="s">
        <v>491</v>
      </c>
      <c r="B8" s="66" t="s">
        <v>0</v>
      </c>
      <c r="C8" s="19" t="s">
        <v>1</v>
      </c>
      <c r="D8" s="19" t="s">
        <v>2</v>
      </c>
      <c r="E8" s="19" t="s">
        <v>3</v>
      </c>
      <c r="F8" s="20" t="s">
        <v>6</v>
      </c>
      <c r="G8" s="19" t="s">
        <v>7</v>
      </c>
    </row>
    <row r="9" spans="1:7" ht="28.15" customHeight="1" x14ac:dyDescent="0.5">
      <c r="A9" s="61">
        <v>1</v>
      </c>
      <c r="B9" s="21" t="s">
        <v>4</v>
      </c>
      <c r="C9" s="22"/>
      <c r="D9" s="23"/>
      <c r="E9" s="24"/>
      <c r="F9" s="25"/>
      <c r="G9" s="24"/>
    </row>
    <row r="10" spans="1:7" ht="28.15" customHeight="1" x14ac:dyDescent="0.5">
      <c r="A10" s="62" t="s">
        <v>52</v>
      </c>
      <c r="B10" s="13"/>
      <c r="C10" s="26" t="s">
        <v>502</v>
      </c>
      <c r="D10" s="27" t="s">
        <v>5</v>
      </c>
      <c r="E10" s="28"/>
      <c r="F10" s="29" t="s">
        <v>498</v>
      </c>
      <c r="G10" s="28"/>
    </row>
    <row r="11" spans="1:7" ht="28.15" customHeight="1" x14ac:dyDescent="0.5">
      <c r="A11" s="62" t="s">
        <v>53</v>
      </c>
      <c r="B11" s="13"/>
      <c r="C11" s="26" t="s">
        <v>454</v>
      </c>
      <c r="D11" s="27" t="s">
        <v>5</v>
      </c>
      <c r="E11" s="28"/>
      <c r="F11" s="29" t="s">
        <v>498</v>
      </c>
      <c r="G11" s="28"/>
    </row>
    <row r="12" spans="1:7" ht="28.15" customHeight="1" x14ac:dyDescent="0.5">
      <c r="A12" s="63"/>
      <c r="B12" s="30"/>
      <c r="C12" s="30"/>
      <c r="D12" s="31"/>
      <c r="E12" s="30"/>
      <c r="F12" s="32"/>
      <c r="G12" s="30"/>
    </row>
    <row r="13" spans="1:7" ht="28.15" customHeight="1" x14ac:dyDescent="0.5">
      <c r="A13" s="61" t="s">
        <v>10</v>
      </c>
      <c r="B13" s="66" t="s">
        <v>11</v>
      </c>
      <c r="C13" s="22"/>
      <c r="D13" s="23"/>
      <c r="E13" s="24"/>
      <c r="F13" s="25"/>
      <c r="G13" s="24"/>
    </row>
    <row r="14" spans="1:7" ht="28.15" customHeight="1" x14ac:dyDescent="0.5">
      <c r="A14" s="62" t="s">
        <v>54</v>
      </c>
      <c r="B14" s="13"/>
      <c r="C14" s="28" t="s">
        <v>503</v>
      </c>
      <c r="D14" s="27" t="s">
        <v>5</v>
      </c>
      <c r="E14" s="28"/>
      <c r="F14" s="29" t="s">
        <v>498</v>
      </c>
      <c r="G14" s="28"/>
    </row>
    <row r="15" spans="1:7" ht="28.15" customHeight="1" x14ac:dyDescent="0.5">
      <c r="A15" s="62" t="s">
        <v>55</v>
      </c>
      <c r="B15" s="13"/>
      <c r="C15" s="28" t="s">
        <v>407</v>
      </c>
      <c r="D15" s="27" t="s">
        <v>5</v>
      </c>
      <c r="E15" s="28"/>
      <c r="F15" s="29" t="s">
        <v>498</v>
      </c>
      <c r="G15" s="28"/>
    </row>
    <row r="16" spans="1:7" ht="28.15" customHeight="1" x14ac:dyDescent="0.5">
      <c r="A16" s="62" t="s">
        <v>56</v>
      </c>
      <c r="B16" s="13"/>
      <c r="C16" s="28" t="s">
        <v>484</v>
      </c>
      <c r="D16" s="27" t="s">
        <v>8</v>
      </c>
      <c r="E16" s="28"/>
      <c r="F16" s="29" t="s">
        <v>498</v>
      </c>
      <c r="G16" s="28"/>
    </row>
    <row r="17" spans="1:7" ht="28.15" customHeight="1" x14ac:dyDescent="0.5">
      <c r="A17" s="62" t="s">
        <v>57</v>
      </c>
      <c r="B17" s="13"/>
      <c r="C17" s="33" t="s">
        <v>328</v>
      </c>
      <c r="D17" s="27" t="s">
        <v>5</v>
      </c>
      <c r="E17" s="28"/>
      <c r="F17" s="29" t="s">
        <v>498</v>
      </c>
      <c r="G17" s="28"/>
    </row>
    <row r="18" spans="1:7" ht="28.15" customHeight="1" x14ac:dyDescent="0.5">
      <c r="A18" s="62" t="s">
        <v>58</v>
      </c>
      <c r="B18" s="13"/>
      <c r="C18" s="28" t="s">
        <v>329</v>
      </c>
      <c r="D18" s="27" t="s">
        <v>18</v>
      </c>
      <c r="E18" s="28"/>
      <c r="F18" s="29" t="s">
        <v>498</v>
      </c>
      <c r="G18" s="28"/>
    </row>
    <row r="19" spans="1:7" ht="28.15" customHeight="1" x14ac:dyDescent="0.5">
      <c r="A19" s="62" t="s">
        <v>59</v>
      </c>
      <c r="B19" s="13"/>
      <c r="C19" s="28" t="s">
        <v>331</v>
      </c>
      <c r="D19" s="27" t="s">
        <v>8</v>
      </c>
      <c r="E19" s="28"/>
      <c r="F19" s="29" t="s">
        <v>9</v>
      </c>
      <c r="G19" s="18" t="s">
        <v>492</v>
      </c>
    </row>
    <row r="20" spans="1:7" ht="28.15" customHeight="1" x14ac:dyDescent="0.5">
      <c r="A20" s="62" t="s">
        <v>177</v>
      </c>
      <c r="B20" s="13"/>
      <c r="C20" s="28" t="s">
        <v>455</v>
      </c>
      <c r="D20" s="27" t="s">
        <v>8</v>
      </c>
      <c r="E20" s="28"/>
      <c r="F20" s="29" t="s">
        <v>9</v>
      </c>
      <c r="G20" s="18"/>
    </row>
    <row r="21" spans="1:7" ht="28.15" customHeight="1" x14ac:dyDescent="0.5">
      <c r="A21" s="62" t="s">
        <v>178</v>
      </c>
      <c r="B21" s="13"/>
      <c r="C21" s="28" t="s">
        <v>504</v>
      </c>
      <c r="D21" s="27" t="s">
        <v>5</v>
      </c>
      <c r="E21" s="28"/>
      <c r="F21" s="29" t="s">
        <v>498</v>
      </c>
      <c r="G21" s="28"/>
    </row>
    <row r="22" spans="1:7" ht="28.15" customHeight="1" x14ac:dyDescent="0.5">
      <c r="A22" s="62" t="s">
        <v>386</v>
      </c>
      <c r="B22" s="13"/>
      <c r="C22" s="28" t="s">
        <v>180</v>
      </c>
      <c r="D22" s="27" t="s">
        <v>8</v>
      </c>
      <c r="E22" s="28"/>
      <c r="F22" s="29" t="s">
        <v>9</v>
      </c>
      <c r="G22" s="28"/>
    </row>
    <row r="23" spans="1:7" ht="28.15" customHeight="1" x14ac:dyDescent="0.5">
      <c r="A23" s="62" t="s">
        <v>388</v>
      </c>
      <c r="B23" s="13"/>
      <c r="C23" s="28" t="s">
        <v>387</v>
      </c>
      <c r="D23" s="27" t="s">
        <v>8</v>
      </c>
      <c r="E23" s="28"/>
      <c r="F23" s="29" t="s">
        <v>9</v>
      </c>
      <c r="G23" s="28"/>
    </row>
    <row r="24" spans="1:7" ht="28.15" customHeight="1" x14ac:dyDescent="0.5">
      <c r="A24" s="63"/>
      <c r="B24" s="30"/>
      <c r="C24" s="30"/>
      <c r="D24" s="31"/>
      <c r="E24" s="28"/>
      <c r="F24" s="32"/>
      <c r="G24" s="30"/>
    </row>
    <row r="25" spans="1:7" ht="28.15" customHeight="1" x14ac:dyDescent="0.5">
      <c r="A25" s="61">
        <v>3</v>
      </c>
      <c r="B25" s="66" t="s">
        <v>14</v>
      </c>
      <c r="C25" s="22"/>
      <c r="D25" s="23"/>
      <c r="E25" s="28"/>
      <c r="F25" s="25"/>
      <c r="G25" s="24"/>
    </row>
    <row r="26" spans="1:7" ht="28.15" customHeight="1" x14ac:dyDescent="0.5">
      <c r="A26" s="62" t="s">
        <v>60</v>
      </c>
      <c r="B26" s="13"/>
      <c r="C26" s="28" t="s">
        <v>505</v>
      </c>
      <c r="D26" s="27" t="s">
        <v>5</v>
      </c>
      <c r="E26" s="28"/>
      <c r="F26" s="29" t="s">
        <v>498</v>
      </c>
      <c r="G26" s="28"/>
    </row>
    <row r="27" spans="1:7" ht="28.15" customHeight="1" x14ac:dyDescent="0.5">
      <c r="A27" s="62" t="s">
        <v>61</v>
      </c>
      <c r="B27" s="13"/>
      <c r="C27" s="34" t="s">
        <v>408</v>
      </c>
      <c r="D27" s="27" t="s">
        <v>5</v>
      </c>
      <c r="E27" s="28"/>
      <c r="F27" s="29" t="s">
        <v>498</v>
      </c>
      <c r="G27" s="28"/>
    </row>
    <row r="28" spans="1:7" ht="28.15" customHeight="1" x14ac:dyDescent="0.5">
      <c r="A28" s="62" t="s">
        <v>62</v>
      </c>
      <c r="B28" s="13"/>
      <c r="C28" s="28" t="s">
        <v>470</v>
      </c>
      <c r="D28" s="27" t="s">
        <v>18</v>
      </c>
      <c r="E28" s="28"/>
      <c r="F28" s="29" t="s">
        <v>498</v>
      </c>
      <c r="G28" s="28"/>
    </row>
    <row r="29" spans="1:7" ht="28.15" customHeight="1" x14ac:dyDescent="0.5">
      <c r="A29" s="62" t="s">
        <v>63</v>
      </c>
      <c r="B29" s="13"/>
      <c r="C29" s="28" t="s">
        <v>330</v>
      </c>
      <c r="D29" s="27" t="s">
        <v>5</v>
      </c>
      <c r="E29" s="28"/>
      <c r="F29" s="29" t="s">
        <v>498</v>
      </c>
      <c r="G29" s="28"/>
    </row>
    <row r="30" spans="1:7" ht="28.15" customHeight="1" x14ac:dyDescent="0.5">
      <c r="A30" s="62" t="s">
        <v>64</v>
      </c>
      <c r="B30" s="13"/>
      <c r="C30" s="28" t="s">
        <v>331</v>
      </c>
      <c r="D30" s="27" t="s">
        <v>8</v>
      </c>
      <c r="E30" s="28"/>
      <c r="F30" s="29" t="s">
        <v>9</v>
      </c>
      <c r="G30" s="18" t="s">
        <v>493</v>
      </c>
    </row>
    <row r="31" spans="1:7" ht="28.15" customHeight="1" x14ac:dyDescent="0.5">
      <c r="A31" s="62" t="s">
        <v>65</v>
      </c>
      <c r="B31" s="13"/>
      <c r="C31" s="28" t="s">
        <v>176</v>
      </c>
      <c r="D31" s="27" t="s">
        <v>8</v>
      </c>
      <c r="E31" s="28"/>
      <c r="F31" s="29" t="s">
        <v>9</v>
      </c>
      <c r="G31" s="28"/>
    </row>
    <row r="32" spans="1:7" ht="28.15" customHeight="1" x14ac:dyDescent="0.5">
      <c r="A32" s="62" t="s">
        <v>66</v>
      </c>
      <c r="B32" s="13"/>
      <c r="C32" s="28" t="s">
        <v>506</v>
      </c>
      <c r="D32" s="27" t="s">
        <v>5</v>
      </c>
      <c r="E32" s="28"/>
      <c r="F32" s="29" t="s">
        <v>498</v>
      </c>
      <c r="G32" s="28"/>
    </row>
    <row r="33" spans="1:7" ht="28.15" customHeight="1" x14ac:dyDescent="0.5">
      <c r="A33" s="62" t="s">
        <v>404</v>
      </c>
      <c r="B33" s="13"/>
      <c r="C33" s="28" t="s">
        <v>456</v>
      </c>
      <c r="D33" s="27" t="s">
        <v>18</v>
      </c>
      <c r="E33" s="28"/>
      <c r="F33" s="29" t="s">
        <v>498</v>
      </c>
      <c r="G33" s="28"/>
    </row>
    <row r="34" spans="1:7" ht="28.15" customHeight="1" x14ac:dyDescent="0.5">
      <c r="A34" s="63"/>
      <c r="B34" s="30"/>
      <c r="C34" s="30"/>
      <c r="D34" s="31"/>
      <c r="E34" s="28"/>
      <c r="F34" s="32"/>
      <c r="G34" s="30"/>
    </row>
    <row r="35" spans="1:7" ht="28.15" customHeight="1" x14ac:dyDescent="0.5">
      <c r="A35" s="61">
        <v>4</v>
      </c>
      <c r="B35" s="66" t="s">
        <v>227</v>
      </c>
      <c r="C35" s="23"/>
      <c r="D35" s="23"/>
      <c r="E35" s="28"/>
      <c r="F35" s="25"/>
      <c r="G35" s="24"/>
    </row>
    <row r="36" spans="1:7" ht="28.15" customHeight="1" x14ac:dyDescent="0.5">
      <c r="A36" s="62" t="s">
        <v>67</v>
      </c>
      <c r="B36" s="13"/>
      <c r="C36" s="35" t="s">
        <v>224</v>
      </c>
      <c r="D36" s="27" t="s">
        <v>8</v>
      </c>
      <c r="E36" s="28"/>
      <c r="F36" s="29" t="s">
        <v>9</v>
      </c>
      <c r="G36" s="28"/>
    </row>
    <row r="37" spans="1:7" ht="28.15" customHeight="1" x14ac:dyDescent="0.5">
      <c r="A37" s="62" t="s">
        <v>68</v>
      </c>
      <c r="B37" s="13"/>
      <c r="C37" s="35" t="s">
        <v>405</v>
      </c>
      <c r="D37" s="27" t="s">
        <v>18</v>
      </c>
      <c r="E37" s="28"/>
      <c r="F37" s="29" t="s">
        <v>9</v>
      </c>
      <c r="G37" s="28"/>
    </row>
    <row r="38" spans="1:7" ht="28.15" customHeight="1" x14ac:dyDescent="0.5">
      <c r="A38" s="62" t="s">
        <v>69</v>
      </c>
      <c r="B38" s="13"/>
      <c r="C38" s="35" t="s">
        <v>222</v>
      </c>
      <c r="D38" s="27" t="s">
        <v>8</v>
      </c>
      <c r="E38" s="28"/>
      <c r="F38" s="29" t="s">
        <v>9</v>
      </c>
      <c r="G38" s="28"/>
    </row>
    <row r="39" spans="1:7" ht="28.15" customHeight="1" x14ac:dyDescent="0.5">
      <c r="A39" s="62" t="s">
        <v>70</v>
      </c>
      <c r="B39" s="13"/>
      <c r="C39" s="35" t="s">
        <v>332</v>
      </c>
      <c r="D39" s="27" t="s">
        <v>5</v>
      </c>
      <c r="E39" s="28"/>
      <c r="F39" s="29" t="s">
        <v>9</v>
      </c>
      <c r="G39" s="28"/>
    </row>
    <row r="40" spans="1:7" ht="28.15" customHeight="1" x14ac:dyDescent="0.5">
      <c r="A40" s="62" t="s">
        <v>71</v>
      </c>
      <c r="B40" s="13"/>
      <c r="C40" s="35" t="s">
        <v>228</v>
      </c>
      <c r="D40" s="27" t="s">
        <v>5</v>
      </c>
      <c r="E40" s="28"/>
      <c r="F40" s="29" t="s">
        <v>9</v>
      </c>
      <c r="G40" s="28"/>
    </row>
    <row r="41" spans="1:7" ht="28.15" customHeight="1" x14ac:dyDescent="0.5">
      <c r="A41" s="62" t="s">
        <v>72</v>
      </c>
      <c r="B41" s="13"/>
      <c r="C41" s="35" t="s">
        <v>226</v>
      </c>
      <c r="D41" s="27" t="s">
        <v>5</v>
      </c>
      <c r="E41" s="28"/>
      <c r="F41" s="29" t="s">
        <v>9</v>
      </c>
      <c r="G41" s="28"/>
    </row>
    <row r="42" spans="1:7" ht="28.15" customHeight="1" x14ac:dyDescent="0.5">
      <c r="A42" s="62" t="s">
        <v>183</v>
      </c>
      <c r="B42" s="13"/>
      <c r="C42" s="35" t="s">
        <v>333</v>
      </c>
      <c r="D42" s="27" t="s">
        <v>18</v>
      </c>
      <c r="E42" s="28"/>
      <c r="F42" s="29" t="s">
        <v>9</v>
      </c>
      <c r="G42" s="28"/>
    </row>
    <row r="43" spans="1:7" ht="28.15" customHeight="1" x14ac:dyDescent="0.5">
      <c r="A43" s="62" t="s">
        <v>269</v>
      </c>
      <c r="B43" s="13"/>
      <c r="C43" s="28" t="s">
        <v>329</v>
      </c>
      <c r="D43" s="27" t="s">
        <v>18</v>
      </c>
      <c r="E43" s="28"/>
      <c r="F43" s="29" t="s">
        <v>9</v>
      </c>
      <c r="G43" s="28"/>
    </row>
    <row r="44" spans="1:7" ht="28.15" customHeight="1" x14ac:dyDescent="0.5">
      <c r="A44" s="63"/>
      <c r="B44" s="30"/>
      <c r="C44" s="30"/>
      <c r="D44" s="31"/>
      <c r="E44" s="28"/>
      <c r="F44" s="32"/>
      <c r="G44" s="30"/>
    </row>
    <row r="45" spans="1:7" ht="28.15" customHeight="1" x14ac:dyDescent="0.5">
      <c r="A45" s="61">
        <v>5</v>
      </c>
      <c r="B45" s="66" t="s">
        <v>259</v>
      </c>
      <c r="C45" s="23"/>
      <c r="D45" s="23"/>
      <c r="E45" s="28"/>
      <c r="F45" s="25"/>
      <c r="G45" s="24"/>
    </row>
    <row r="46" spans="1:7" ht="28.15" customHeight="1" x14ac:dyDescent="0.5">
      <c r="A46" s="62" t="s">
        <v>73</v>
      </c>
      <c r="B46" s="13"/>
      <c r="C46" s="35" t="s">
        <v>334</v>
      </c>
      <c r="D46" s="27" t="s">
        <v>8</v>
      </c>
      <c r="E46" s="28"/>
      <c r="F46" s="29" t="s">
        <v>9</v>
      </c>
      <c r="G46" s="28"/>
    </row>
    <row r="47" spans="1:7" ht="28.15" customHeight="1" x14ac:dyDescent="0.5">
      <c r="A47" s="62" t="s">
        <v>74</v>
      </c>
      <c r="B47" s="13"/>
      <c r="C47" s="35" t="s">
        <v>409</v>
      </c>
      <c r="D47" s="27" t="s">
        <v>5</v>
      </c>
      <c r="E47" s="28"/>
      <c r="F47" s="29" t="s">
        <v>9</v>
      </c>
      <c r="G47" s="28"/>
    </row>
    <row r="48" spans="1:7" ht="28.15" customHeight="1" x14ac:dyDescent="0.5">
      <c r="A48" s="62" t="s">
        <v>75</v>
      </c>
      <c r="B48" s="13"/>
      <c r="C48" s="36" t="s">
        <v>266</v>
      </c>
      <c r="D48" s="27" t="s">
        <v>18</v>
      </c>
      <c r="E48" s="28"/>
      <c r="F48" s="29" t="s">
        <v>9</v>
      </c>
      <c r="G48" s="28"/>
    </row>
    <row r="49" spans="1:7" ht="28.15" customHeight="1" x14ac:dyDescent="0.5">
      <c r="A49" s="62" t="s">
        <v>76</v>
      </c>
      <c r="B49" s="13"/>
      <c r="C49" s="35" t="s">
        <v>335</v>
      </c>
      <c r="D49" s="27" t="s">
        <v>5</v>
      </c>
      <c r="E49" s="28"/>
      <c r="F49" s="29" t="s">
        <v>9</v>
      </c>
      <c r="G49" s="28"/>
    </row>
    <row r="50" spans="1:7" ht="28.15" customHeight="1" x14ac:dyDescent="0.5">
      <c r="A50" s="62" t="s">
        <v>77</v>
      </c>
      <c r="B50" s="13"/>
      <c r="C50" s="33" t="s">
        <v>328</v>
      </c>
      <c r="D50" s="27" t="s">
        <v>5</v>
      </c>
      <c r="E50" s="28"/>
      <c r="F50" s="29" t="s">
        <v>9</v>
      </c>
      <c r="G50" s="28"/>
    </row>
    <row r="51" spans="1:7" ht="28.15" customHeight="1" x14ac:dyDescent="0.5">
      <c r="A51" s="62" t="s">
        <v>188</v>
      </c>
      <c r="B51" s="13"/>
      <c r="C51" s="35" t="s">
        <v>267</v>
      </c>
      <c r="D51" s="27" t="s">
        <v>5</v>
      </c>
      <c r="E51" s="28"/>
      <c r="F51" s="29" t="s">
        <v>9</v>
      </c>
      <c r="G51" s="28"/>
    </row>
    <row r="52" spans="1:7" ht="28.15" customHeight="1" x14ac:dyDescent="0.5">
      <c r="A52" s="62" t="s">
        <v>189</v>
      </c>
      <c r="B52" s="13"/>
      <c r="C52" s="35" t="s">
        <v>268</v>
      </c>
      <c r="D52" s="27" t="s">
        <v>5</v>
      </c>
      <c r="E52" s="28"/>
      <c r="F52" s="29" t="s">
        <v>9</v>
      </c>
      <c r="G52" s="28"/>
    </row>
    <row r="53" spans="1:7" ht="28.15" customHeight="1" x14ac:dyDescent="0.5">
      <c r="A53" s="62" t="s">
        <v>190</v>
      </c>
      <c r="B53" s="13"/>
      <c r="C53" s="35" t="s">
        <v>410</v>
      </c>
      <c r="D53" s="27" t="s">
        <v>18</v>
      </c>
      <c r="E53" s="28"/>
      <c r="F53" s="29" t="s">
        <v>9</v>
      </c>
      <c r="G53" s="28"/>
    </row>
    <row r="54" spans="1:7" ht="28.15" customHeight="1" x14ac:dyDescent="0.5">
      <c r="A54" s="62" t="s">
        <v>191</v>
      </c>
      <c r="B54" s="13"/>
      <c r="C54" s="35" t="s">
        <v>336</v>
      </c>
      <c r="D54" s="27" t="s">
        <v>8</v>
      </c>
      <c r="E54" s="28"/>
      <c r="F54" s="29" t="s">
        <v>9</v>
      </c>
      <c r="G54" s="28"/>
    </row>
    <row r="55" spans="1:7" ht="28.15" customHeight="1" x14ac:dyDescent="0.5">
      <c r="A55" s="62" t="s">
        <v>192</v>
      </c>
      <c r="B55" s="13"/>
      <c r="C55" s="28" t="s">
        <v>338</v>
      </c>
      <c r="D55" s="27" t="s">
        <v>5</v>
      </c>
      <c r="E55" s="28"/>
      <c r="F55" s="29" t="s">
        <v>9</v>
      </c>
      <c r="G55" s="28"/>
    </row>
    <row r="56" spans="1:7" ht="28.15" customHeight="1" x14ac:dyDescent="0.5">
      <c r="A56" s="62" t="s">
        <v>270</v>
      </c>
      <c r="B56" s="13"/>
      <c r="C56" s="35" t="s">
        <v>337</v>
      </c>
      <c r="D56" s="27" t="s">
        <v>18</v>
      </c>
      <c r="E56" s="28"/>
      <c r="F56" s="29" t="s">
        <v>9</v>
      </c>
      <c r="G56" s="28"/>
    </row>
    <row r="57" spans="1:7" ht="28.15" customHeight="1" x14ac:dyDescent="0.5">
      <c r="A57" s="62" t="s">
        <v>271</v>
      </c>
      <c r="B57" s="13"/>
      <c r="C57" s="35" t="s">
        <v>339</v>
      </c>
      <c r="D57" s="27" t="s">
        <v>5</v>
      </c>
      <c r="E57" s="28"/>
      <c r="F57" s="29" t="s">
        <v>9</v>
      </c>
      <c r="G57" s="28"/>
    </row>
    <row r="58" spans="1:7" ht="28.15" customHeight="1" x14ac:dyDescent="0.5">
      <c r="A58" s="62" t="s">
        <v>457</v>
      </c>
      <c r="B58" s="13"/>
      <c r="C58" s="35" t="s">
        <v>340</v>
      </c>
      <c r="D58" s="27" t="s">
        <v>8</v>
      </c>
      <c r="E58" s="28"/>
      <c r="F58" s="29" t="s">
        <v>9</v>
      </c>
      <c r="G58" s="28"/>
    </row>
    <row r="59" spans="1:7" ht="28.15" customHeight="1" x14ac:dyDescent="0.5">
      <c r="A59" s="62" t="s">
        <v>272</v>
      </c>
      <c r="B59" s="13"/>
      <c r="C59" s="35" t="s">
        <v>341</v>
      </c>
      <c r="D59" s="27" t="s">
        <v>5</v>
      </c>
      <c r="E59" s="28"/>
      <c r="F59" s="29" t="s">
        <v>9</v>
      </c>
      <c r="G59" s="28"/>
    </row>
    <row r="60" spans="1:7" ht="28.15" customHeight="1" x14ac:dyDescent="0.5">
      <c r="A60" s="62" t="s">
        <v>273</v>
      </c>
      <c r="B60" s="13"/>
      <c r="C60" s="35" t="s">
        <v>260</v>
      </c>
      <c r="D60" s="27" t="s">
        <v>18</v>
      </c>
      <c r="E60" s="28"/>
      <c r="F60" s="29" t="s">
        <v>9</v>
      </c>
      <c r="G60" s="28"/>
    </row>
    <row r="61" spans="1:7" ht="28.15" customHeight="1" x14ac:dyDescent="0.5">
      <c r="A61" s="62" t="s">
        <v>274</v>
      </c>
      <c r="B61" s="13"/>
      <c r="C61" s="35" t="s">
        <v>261</v>
      </c>
      <c r="D61" s="27" t="s">
        <v>18</v>
      </c>
      <c r="E61" s="28"/>
      <c r="F61" s="29" t="s">
        <v>9</v>
      </c>
      <c r="G61" s="28"/>
    </row>
    <row r="62" spans="1:7" ht="28.15" customHeight="1" x14ac:dyDescent="0.5">
      <c r="A62" s="62" t="s">
        <v>275</v>
      </c>
      <c r="B62" s="13"/>
      <c r="C62" s="35" t="s">
        <v>262</v>
      </c>
      <c r="D62" s="27" t="s">
        <v>18</v>
      </c>
      <c r="E62" s="28"/>
      <c r="F62" s="29" t="s">
        <v>9</v>
      </c>
      <c r="G62" s="28"/>
    </row>
    <row r="63" spans="1:7" ht="28.15" customHeight="1" x14ac:dyDescent="0.5">
      <c r="A63" s="62" t="s">
        <v>276</v>
      </c>
      <c r="B63" s="13"/>
      <c r="C63" s="35" t="s">
        <v>263</v>
      </c>
      <c r="D63" s="27" t="s">
        <v>18</v>
      </c>
      <c r="E63" s="28"/>
      <c r="F63" s="29" t="s">
        <v>9</v>
      </c>
      <c r="G63" s="28"/>
    </row>
    <row r="64" spans="1:7" ht="28.15" customHeight="1" x14ac:dyDescent="0.5">
      <c r="A64" s="62" t="s">
        <v>277</v>
      </c>
      <c r="B64" s="13"/>
      <c r="C64" s="35" t="s">
        <v>264</v>
      </c>
      <c r="D64" s="27" t="s">
        <v>18</v>
      </c>
      <c r="E64" s="28"/>
      <c r="F64" s="29" t="s">
        <v>9</v>
      </c>
      <c r="G64" s="28"/>
    </row>
    <row r="65" spans="1:7" ht="28.15" customHeight="1" x14ac:dyDescent="0.5">
      <c r="A65" s="62" t="s">
        <v>278</v>
      </c>
      <c r="B65" s="13"/>
      <c r="C65" s="35" t="s">
        <v>265</v>
      </c>
      <c r="D65" s="27" t="s">
        <v>5</v>
      </c>
      <c r="E65" s="28"/>
      <c r="F65" s="29" t="s">
        <v>9</v>
      </c>
      <c r="G65" s="28"/>
    </row>
    <row r="66" spans="1:7" ht="28.15" customHeight="1" x14ac:dyDescent="0.5">
      <c r="A66" s="63"/>
      <c r="B66" s="30"/>
      <c r="C66" s="30"/>
      <c r="D66" s="31"/>
      <c r="E66" s="28"/>
      <c r="F66" s="32"/>
      <c r="G66" s="30"/>
    </row>
    <row r="67" spans="1:7" ht="28.15" customHeight="1" x14ac:dyDescent="0.5">
      <c r="A67" s="61">
        <v>6</v>
      </c>
      <c r="B67" s="66" t="s">
        <v>221</v>
      </c>
      <c r="C67" s="23"/>
      <c r="D67" s="23"/>
      <c r="E67" s="28"/>
      <c r="F67" s="25"/>
      <c r="G67" s="24"/>
    </row>
    <row r="68" spans="1:7" ht="28.15" customHeight="1" x14ac:dyDescent="0.5">
      <c r="A68" s="62" t="s">
        <v>78</v>
      </c>
      <c r="B68" s="13"/>
      <c r="C68" s="35" t="s">
        <v>224</v>
      </c>
      <c r="D68" s="27" t="s">
        <v>8</v>
      </c>
      <c r="E68" s="28"/>
      <c r="F68" s="29" t="s">
        <v>9</v>
      </c>
      <c r="G68" s="18"/>
    </row>
    <row r="69" spans="1:7" ht="28.15" customHeight="1" x14ac:dyDescent="0.5">
      <c r="A69" s="62" t="s">
        <v>79</v>
      </c>
      <c r="B69" s="13"/>
      <c r="C69" s="35" t="s">
        <v>223</v>
      </c>
      <c r="D69" s="27" t="s">
        <v>18</v>
      </c>
      <c r="E69" s="28"/>
      <c r="F69" s="29" t="s">
        <v>9</v>
      </c>
      <c r="G69" s="18"/>
    </row>
    <row r="70" spans="1:7" ht="28.15" customHeight="1" x14ac:dyDescent="0.5">
      <c r="A70" s="62" t="s">
        <v>80</v>
      </c>
      <c r="B70" s="13"/>
      <c r="C70" s="35" t="s">
        <v>222</v>
      </c>
      <c r="D70" s="27" t="s">
        <v>8</v>
      </c>
      <c r="E70" s="28"/>
      <c r="F70" s="29" t="s">
        <v>9</v>
      </c>
      <c r="G70" s="18"/>
    </row>
    <row r="71" spans="1:7" ht="28.15" customHeight="1" x14ac:dyDescent="0.5">
      <c r="A71" s="62" t="s">
        <v>81</v>
      </c>
      <c r="B71" s="13"/>
      <c r="C71" s="35" t="s">
        <v>342</v>
      </c>
      <c r="D71" s="27" t="s">
        <v>205</v>
      </c>
      <c r="E71" s="28"/>
      <c r="F71" s="29" t="s">
        <v>9</v>
      </c>
      <c r="G71" s="18"/>
    </row>
    <row r="72" spans="1:7" ht="28.15" customHeight="1" x14ac:dyDescent="0.5">
      <c r="A72" s="62" t="s">
        <v>82</v>
      </c>
      <c r="B72" s="13"/>
      <c r="C72" s="35" t="s">
        <v>225</v>
      </c>
      <c r="D72" s="27" t="s">
        <v>205</v>
      </c>
      <c r="E72" s="28"/>
      <c r="F72" s="29" t="s">
        <v>9</v>
      </c>
      <c r="G72" s="18"/>
    </row>
    <row r="73" spans="1:7" ht="28.15" customHeight="1" x14ac:dyDescent="0.5">
      <c r="A73" s="62" t="s">
        <v>184</v>
      </c>
      <c r="B73" s="13"/>
      <c r="C73" s="35" t="s">
        <v>226</v>
      </c>
      <c r="D73" s="27" t="s">
        <v>205</v>
      </c>
      <c r="E73" s="28"/>
      <c r="F73" s="29" t="s">
        <v>9</v>
      </c>
      <c r="G73" s="28"/>
    </row>
    <row r="74" spans="1:7" ht="28.15" customHeight="1" x14ac:dyDescent="0.5">
      <c r="A74" s="62" t="s">
        <v>185</v>
      </c>
      <c r="B74" s="13"/>
      <c r="C74" s="35" t="s">
        <v>333</v>
      </c>
      <c r="D74" s="27" t="s">
        <v>18</v>
      </c>
      <c r="E74" s="28"/>
      <c r="F74" s="29" t="s">
        <v>9</v>
      </c>
      <c r="G74" s="28"/>
    </row>
    <row r="75" spans="1:7" ht="28.15" customHeight="1" x14ac:dyDescent="0.5">
      <c r="A75" s="62" t="s">
        <v>193</v>
      </c>
      <c r="B75" s="13"/>
      <c r="C75" s="28" t="s">
        <v>329</v>
      </c>
      <c r="D75" s="27" t="s">
        <v>18</v>
      </c>
      <c r="E75" s="28"/>
      <c r="F75" s="29" t="s">
        <v>9</v>
      </c>
      <c r="G75" s="28"/>
    </row>
    <row r="76" spans="1:7" ht="28.15" customHeight="1" x14ac:dyDescent="0.5">
      <c r="A76" s="63"/>
      <c r="B76" s="30"/>
      <c r="C76" s="30"/>
      <c r="D76" s="31"/>
      <c r="E76" s="28"/>
      <c r="F76" s="32"/>
      <c r="G76" s="30"/>
    </row>
    <row r="77" spans="1:7" ht="28.15" customHeight="1" x14ac:dyDescent="0.5">
      <c r="A77" s="61">
        <v>7</v>
      </c>
      <c r="B77" s="66" t="s">
        <v>13</v>
      </c>
      <c r="C77" s="23"/>
      <c r="D77" s="23"/>
      <c r="E77" s="28"/>
      <c r="F77" s="25"/>
      <c r="G77" s="24"/>
    </row>
    <row r="78" spans="1:7" ht="28.15" customHeight="1" x14ac:dyDescent="0.5">
      <c r="A78" s="62" t="s">
        <v>83</v>
      </c>
      <c r="B78" s="13"/>
      <c r="C78" s="28" t="s">
        <v>507</v>
      </c>
      <c r="D78" s="27" t="s">
        <v>5</v>
      </c>
      <c r="E78" s="28"/>
      <c r="F78" s="29" t="s">
        <v>498</v>
      </c>
      <c r="G78" s="28"/>
    </row>
    <row r="79" spans="1:7" ht="28.15" customHeight="1" x14ac:dyDescent="0.5">
      <c r="A79" s="62" t="s">
        <v>84</v>
      </c>
      <c r="B79" s="13"/>
      <c r="C79" s="28" t="s">
        <v>508</v>
      </c>
      <c r="D79" s="27" t="s">
        <v>5</v>
      </c>
      <c r="E79" s="28"/>
      <c r="F79" s="29" t="s">
        <v>498</v>
      </c>
      <c r="G79" s="28"/>
    </row>
    <row r="80" spans="1:7" ht="28.15" customHeight="1" x14ac:dyDescent="0.5">
      <c r="A80" s="62" t="s">
        <v>85</v>
      </c>
      <c r="B80" s="13"/>
      <c r="C80" s="28" t="s">
        <v>509</v>
      </c>
      <c r="D80" s="27" t="s">
        <v>5</v>
      </c>
      <c r="E80" s="28"/>
      <c r="F80" s="29" t="s">
        <v>498</v>
      </c>
      <c r="G80" s="28"/>
    </row>
    <row r="81" spans="1:7" ht="28.15" customHeight="1" x14ac:dyDescent="0.5">
      <c r="A81" s="62" t="s">
        <v>86</v>
      </c>
      <c r="B81" s="13"/>
      <c r="C81" s="33" t="s">
        <v>328</v>
      </c>
      <c r="D81" s="27" t="s">
        <v>5</v>
      </c>
      <c r="E81" s="28"/>
      <c r="F81" s="29" t="s">
        <v>498</v>
      </c>
      <c r="G81" s="28"/>
    </row>
    <row r="82" spans="1:7" ht="28.15" customHeight="1" x14ac:dyDescent="0.5">
      <c r="A82" s="62" t="s">
        <v>87</v>
      </c>
      <c r="B82" s="13"/>
      <c r="C82" s="28" t="s">
        <v>329</v>
      </c>
      <c r="D82" s="27" t="s">
        <v>18</v>
      </c>
      <c r="E82" s="28"/>
      <c r="F82" s="29" t="s">
        <v>498</v>
      </c>
      <c r="G82" s="28"/>
    </row>
    <row r="83" spans="1:7" ht="28.15" customHeight="1" x14ac:dyDescent="0.5">
      <c r="A83" s="62" t="s">
        <v>88</v>
      </c>
      <c r="B83" s="13"/>
      <c r="C83" s="28" t="s">
        <v>483</v>
      </c>
      <c r="D83" s="27" t="s">
        <v>18</v>
      </c>
      <c r="E83" s="28"/>
      <c r="F83" s="29" t="s">
        <v>498</v>
      </c>
      <c r="G83" s="28"/>
    </row>
    <row r="84" spans="1:7" ht="28.15" customHeight="1" x14ac:dyDescent="0.5">
      <c r="A84" s="62" t="s">
        <v>89</v>
      </c>
      <c r="B84" s="13"/>
      <c r="C84" s="28" t="s">
        <v>411</v>
      </c>
      <c r="D84" s="27" t="s">
        <v>8</v>
      </c>
      <c r="E84" s="28"/>
      <c r="F84" s="29" t="s">
        <v>9</v>
      </c>
      <c r="G84" s="18" t="s">
        <v>494</v>
      </c>
    </row>
    <row r="85" spans="1:7" ht="28.15" customHeight="1" x14ac:dyDescent="0.5">
      <c r="A85" s="62" t="s">
        <v>90</v>
      </c>
      <c r="B85" s="13"/>
      <c r="C85" s="28" t="s">
        <v>179</v>
      </c>
      <c r="D85" s="27" t="s">
        <v>18</v>
      </c>
      <c r="E85" s="28"/>
      <c r="F85" s="29" t="s">
        <v>498</v>
      </c>
      <c r="G85" s="28"/>
    </row>
    <row r="86" spans="1:7" ht="28.15" customHeight="1" x14ac:dyDescent="0.5">
      <c r="A86" s="62" t="s">
        <v>91</v>
      </c>
      <c r="B86" s="13"/>
      <c r="C86" s="28" t="s">
        <v>181</v>
      </c>
      <c r="D86" s="27" t="s">
        <v>18</v>
      </c>
      <c r="E86" s="28"/>
      <c r="F86" s="29" t="s">
        <v>9</v>
      </c>
      <c r="G86" s="28"/>
    </row>
    <row r="87" spans="1:7" ht="28.15" customHeight="1" x14ac:dyDescent="0.5">
      <c r="A87" s="62" t="s">
        <v>92</v>
      </c>
      <c r="B87" s="13"/>
      <c r="C87" s="28" t="s">
        <v>180</v>
      </c>
      <c r="D87" s="27" t="s">
        <v>8</v>
      </c>
      <c r="E87" s="28"/>
      <c r="F87" s="29" t="s">
        <v>9</v>
      </c>
      <c r="G87" s="28"/>
    </row>
    <row r="88" spans="1:7" ht="28.15" customHeight="1" x14ac:dyDescent="0.5">
      <c r="A88" s="62" t="s">
        <v>93</v>
      </c>
      <c r="B88" s="13"/>
      <c r="C88" s="28" t="s">
        <v>447</v>
      </c>
      <c r="D88" s="27" t="s">
        <v>18</v>
      </c>
      <c r="E88" s="28"/>
      <c r="F88" s="29" t="s">
        <v>499</v>
      </c>
      <c r="G88" s="28"/>
    </row>
    <row r="89" spans="1:7" ht="28.15" customHeight="1" x14ac:dyDescent="0.5">
      <c r="A89" s="63"/>
      <c r="B89" s="30"/>
      <c r="C89" s="30"/>
      <c r="D89" s="31"/>
      <c r="E89" s="28"/>
      <c r="F89" s="32"/>
      <c r="G89" s="30"/>
    </row>
    <row r="90" spans="1:7" ht="28.15" customHeight="1" x14ac:dyDescent="0.5">
      <c r="A90" s="63"/>
      <c r="B90" s="30"/>
      <c r="C90" s="30"/>
      <c r="D90" s="31"/>
      <c r="E90" s="28"/>
      <c r="F90" s="32"/>
      <c r="G90" s="30"/>
    </row>
    <row r="91" spans="1:7" ht="28.15" customHeight="1" x14ac:dyDescent="0.5">
      <c r="A91" s="61">
        <v>8</v>
      </c>
      <c r="B91" s="66" t="s">
        <v>465</v>
      </c>
      <c r="C91" s="23"/>
      <c r="D91" s="23"/>
      <c r="E91" s="28"/>
      <c r="F91" s="25"/>
      <c r="G91" s="24"/>
    </row>
    <row r="92" spans="1:7" ht="28.15" customHeight="1" x14ac:dyDescent="0.5">
      <c r="A92" s="62" t="s">
        <v>94</v>
      </c>
      <c r="B92" s="13"/>
      <c r="C92" s="28" t="s">
        <v>501</v>
      </c>
      <c r="D92" s="27" t="s">
        <v>5</v>
      </c>
      <c r="E92" s="28"/>
      <c r="F92" s="29" t="s">
        <v>498</v>
      </c>
      <c r="G92" s="28"/>
    </row>
    <row r="93" spans="1:7" ht="28.15" customHeight="1" x14ac:dyDescent="0.5">
      <c r="A93" s="62" t="s">
        <v>95</v>
      </c>
      <c r="B93" s="13"/>
      <c r="C93" s="28" t="s">
        <v>186</v>
      </c>
      <c r="D93" s="27" t="s">
        <v>5</v>
      </c>
      <c r="E93" s="28"/>
      <c r="F93" s="29" t="s">
        <v>498</v>
      </c>
      <c r="G93" s="28"/>
    </row>
    <row r="94" spans="1:7" ht="28.15" customHeight="1" x14ac:dyDescent="0.5">
      <c r="A94" s="62" t="s">
        <v>96</v>
      </c>
      <c r="B94" s="13"/>
      <c r="C94" s="28" t="s">
        <v>187</v>
      </c>
      <c r="D94" s="27" t="s">
        <v>8</v>
      </c>
      <c r="E94" s="28"/>
      <c r="F94" s="29" t="s">
        <v>498</v>
      </c>
      <c r="G94" s="28"/>
    </row>
    <row r="95" spans="1:7" ht="28.15" customHeight="1" x14ac:dyDescent="0.5">
      <c r="A95" s="62" t="s">
        <v>97</v>
      </c>
      <c r="B95" s="13"/>
      <c r="C95" s="28" t="s">
        <v>12</v>
      </c>
      <c r="D95" s="27" t="s">
        <v>8</v>
      </c>
      <c r="E95" s="28"/>
      <c r="F95" s="29" t="s">
        <v>498</v>
      </c>
      <c r="G95" s="28"/>
    </row>
    <row r="96" spans="1:7" ht="28.15" customHeight="1" x14ac:dyDescent="0.5">
      <c r="A96" s="62" t="s">
        <v>98</v>
      </c>
      <c r="B96" s="13"/>
      <c r="C96" s="28" t="s">
        <v>412</v>
      </c>
      <c r="D96" s="27" t="s">
        <v>8</v>
      </c>
      <c r="E96" s="28"/>
      <c r="F96" s="29" t="s">
        <v>498</v>
      </c>
      <c r="G96" s="28"/>
    </row>
    <row r="97" spans="1:16384" ht="28.15" customHeight="1" x14ac:dyDescent="0.5">
      <c r="A97" s="62" t="s">
        <v>99</v>
      </c>
      <c r="B97" s="13"/>
      <c r="C97" s="28" t="s">
        <v>413</v>
      </c>
      <c r="D97" s="27" t="s">
        <v>8</v>
      </c>
      <c r="E97" s="28"/>
      <c r="F97" s="29" t="s">
        <v>498</v>
      </c>
      <c r="G97" s="28"/>
    </row>
    <row r="98" spans="1:16384" ht="28.15" customHeight="1" x14ac:dyDescent="0.5">
      <c r="A98" s="62" t="s">
        <v>100</v>
      </c>
      <c r="B98" s="13"/>
      <c r="C98" s="28" t="s">
        <v>458</v>
      </c>
      <c r="D98" s="27" t="s">
        <v>8</v>
      </c>
      <c r="E98" s="28"/>
      <c r="F98" s="29" t="s">
        <v>9</v>
      </c>
      <c r="G98" s="18" t="s">
        <v>495</v>
      </c>
    </row>
    <row r="99" spans="1:16384" ht="28.15" customHeight="1" x14ac:dyDescent="0.5">
      <c r="A99" s="62" t="s">
        <v>199</v>
      </c>
      <c r="B99" s="13"/>
      <c r="C99" s="35" t="s">
        <v>343</v>
      </c>
      <c r="D99" s="27" t="s">
        <v>5</v>
      </c>
      <c r="E99" s="28"/>
      <c r="F99" s="29" t="s">
        <v>498</v>
      </c>
      <c r="G99" s="28"/>
    </row>
    <row r="100" spans="1:16384" ht="28.15" customHeight="1" x14ac:dyDescent="0.5">
      <c r="A100" s="62" t="s">
        <v>200</v>
      </c>
      <c r="B100" s="13"/>
      <c r="C100" s="28" t="s">
        <v>182</v>
      </c>
      <c r="D100" s="27" t="s">
        <v>8</v>
      </c>
      <c r="E100" s="28"/>
      <c r="F100" s="29" t="s">
        <v>9</v>
      </c>
      <c r="G100" s="28"/>
    </row>
    <row r="101" spans="1:16384" ht="28.15" customHeight="1" x14ac:dyDescent="0.5">
      <c r="A101" s="63"/>
      <c r="B101" s="30"/>
      <c r="C101" s="30"/>
      <c r="D101" s="31"/>
      <c r="E101" s="28"/>
      <c r="F101" s="32"/>
      <c r="G101" s="30"/>
    </row>
    <row r="102" spans="1:16384" ht="28.15" customHeight="1" x14ac:dyDescent="0.5">
      <c r="A102" s="61">
        <v>9</v>
      </c>
      <c r="B102" s="66" t="s">
        <v>16</v>
      </c>
      <c r="C102" s="23"/>
      <c r="D102" s="23"/>
      <c r="E102" s="28"/>
      <c r="F102" s="25"/>
      <c r="G102" s="24"/>
    </row>
    <row r="103" spans="1:16384" ht="28.15" customHeight="1" x14ac:dyDescent="0.5">
      <c r="A103" s="62" t="s">
        <v>101</v>
      </c>
      <c r="B103" s="13"/>
      <c r="C103" s="28" t="s">
        <v>17</v>
      </c>
      <c r="D103" s="27" t="s">
        <v>5</v>
      </c>
      <c r="E103" s="28"/>
      <c r="F103" s="29" t="s">
        <v>498</v>
      </c>
      <c r="G103" s="27"/>
    </row>
    <row r="104" spans="1:16384" ht="28.15" customHeight="1" x14ac:dyDescent="0.5">
      <c r="A104" s="62" t="s">
        <v>102</v>
      </c>
      <c r="B104" s="13"/>
      <c r="C104" s="28" t="s">
        <v>15</v>
      </c>
      <c r="D104" s="27" t="s">
        <v>5</v>
      </c>
      <c r="E104" s="28"/>
      <c r="F104" s="29" t="s">
        <v>498</v>
      </c>
      <c r="G104" s="27"/>
    </row>
    <row r="105" spans="1:16384" ht="28.15" customHeight="1" x14ac:dyDescent="0.5">
      <c r="A105" s="62" t="s">
        <v>103</v>
      </c>
      <c r="B105" s="13"/>
      <c r="C105" s="28" t="s">
        <v>448</v>
      </c>
      <c r="D105" s="27" t="s">
        <v>5</v>
      </c>
      <c r="E105" s="28"/>
      <c r="F105" s="29" t="s">
        <v>498</v>
      </c>
      <c r="G105" s="27"/>
    </row>
    <row r="106" spans="1:16384" ht="28.15" customHeight="1" x14ac:dyDescent="0.5">
      <c r="A106" s="62" t="s">
        <v>104</v>
      </c>
      <c r="B106" s="13"/>
      <c r="C106" s="28" t="s">
        <v>449</v>
      </c>
      <c r="D106" s="27" t="s">
        <v>5</v>
      </c>
      <c r="E106" s="28"/>
      <c r="F106" s="29" t="s">
        <v>498</v>
      </c>
      <c r="G106" s="27"/>
    </row>
    <row r="107" spans="1:16384" ht="28.15" customHeight="1" x14ac:dyDescent="0.5">
      <c r="A107" s="62" t="s">
        <v>105</v>
      </c>
      <c r="B107" s="13"/>
      <c r="C107" s="28" t="s">
        <v>510</v>
      </c>
      <c r="D107" s="27" t="s">
        <v>5</v>
      </c>
      <c r="E107" s="28"/>
      <c r="F107" s="29" t="s">
        <v>498</v>
      </c>
      <c r="G107" s="27"/>
    </row>
    <row r="108" spans="1:16384" ht="28.15" customHeight="1" x14ac:dyDescent="0.5">
      <c r="A108" s="62" t="s">
        <v>201</v>
      </c>
      <c r="B108" s="13"/>
      <c r="C108" s="28" t="s">
        <v>364</v>
      </c>
      <c r="D108" s="27" t="s">
        <v>18</v>
      </c>
      <c r="E108" s="28"/>
      <c r="F108" s="29" t="s">
        <v>498</v>
      </c>
      <c r="G108" s="28"/>
    </row>
    <row r="109" spans="1:16384" ht="28.15" customHeight="1" x14ac:dyDescent="0.5">
      <c r="A109" s="62" t="s">
        <v>202</v>
      </c>
      <c r="B109" s="13"/>
      <c r="C109" s="28" t="s">
        <v>413</v>
      </c>
      <c r="D109" s="27" t="s">
        <v>18</v>
      </c>
      <c r="E109" s="28"/>
      <c r="F109" s="29" t="s">
        <v>498</v>
      </c>
      <c r="G109" s="28"/>
      <c r="H109" s="3"/>
      <c r="I109" s="2"/>
      <c r="J109" s="2"/>
      <c r="K109" s="5"/>
      <c r="L109" s="2"/>
      <c r="M109" s="4"/>
      <c r="N109" s="2"/>
      <c r="O109" s="3"/>
      <c r="P109" s="2"/>
      <c r="Q109" s="2"/>
      <c r="R109" s="5"/>
      <c r="S109" s="2"/>
      <c r="T109" s="4"/>
      <c r="U109" s="2"/>
      <c r="V109" s="3"/>
      <c r="W109" s="2"/>
      <c r="X109" s="2"/>
      <c r="Y109" s="5"/>
      <c r="Z109" s="2"/>
      <c r="AA109" s="4"/>
      <c r="AB109" s="2"/>
      <c r="AC109" s="3"/>
      <c r="AD109" s="2"/>
      <c r="AE109" s="2"/>
      <c r="AF109" s="5"/>
      <c r="AG109" s="2"/>
      <c r="AH109" s="4"/>
      <c r="AI109" s="2"/>
      <c r="AJ109" s="3"/>
      <c r="AK109" s="2"/>
      <c r="AL109" s="2"/>
      <c r="AM109" s="5"/>
      <c r="AN109" s="2"/>
      <c r="AO109" s="4"/>
      <c r="AP109" s="2"/>
      <c r="AQ109" s="3"/>
      <c r="AR109" s="2"/>
      <c r="AS109" s="2"/>
      <c r="AT109" s="5"/>
      <c r="AU109" s="2"/>
      <c r="AV109" s="4"/>
      <c r="AW109" s="2"/>
      <c r="AX109" s="3"/>
      <c r="AY109" s="2"/>
      <c r="AZ109" s="2"/>
      <c r="BA109" s="5"/>
      <c r="BB109" s="2"/>
      <c r="BC109" s="4"/>
      <c r="BD109" s="2"/>
      <c r="BE109" s="3"/>
      <c r="BF109" s="2"/>
      <c r="BG109" s="2"/>
      <c r="BH109" s="5"/>
      <c r="BI109" s="2"/>
      <c r="BJ109" s="4"/>
      <c r="BK109" s="2"/>
      <c r="BL109" s="3"/>
      <c r="BM109" s="2"/>
      <c r="BN109" s="2"/>
      <c r="BO109" s="5"/>
      <c r="BP109" s="2"/>
      <c r="BQ109" s="4"/>
      <c r="BR109" s="2"/>
      <c r="BS109" s="3"/>
      <c r="BT109" s="2"/>
      <c r="BU109" s="2"/>
      <c r="BV109" s="5"/>
      <c r="BW109" s="2"/>
      <c r="BX109" s="4"/>
      <c r="BY109" s="2"/>
      <c r="BZ109" s="3"/>
      <c r="CA109" s="2"/>
      <c r="CB109" s="2"/>
      <c r="CC109" s="5"/>
      <c r="CD109" s="2"/>
      <c r="CE109" s="4"/>
      <c r="CF109" s="2"/>
      <c r="CG109" s="3"/>
      <c r="CH109" s="2"/>
      <c r="CI109" s="2"/>
      <c r="CJ109" s="5"/>
      <c r="CK109" s="2"/>
      <c r="CL109" s="4"/>
      <c r="CM109" s="2"/>
      <c r="CN109" s="3"/>
      <c r="CO109" s="2"/>
      <c r="CP109" s="2"/>
      <c r="CQ109" s="5"/>
      <c r="CR109" s="2"/>
      <c r="CS109" s="4"/>
      <c r="CT109" s="2"/>
      <c r="CU109" s="3"/>
      <c r="CV109" s="2"/>
      <c r="CW109" s="2"/>
      <c r="CX109" s="5"/>
      <c r="CY109" s="2"/>
      <c r="CZ109" s="4"/>
      <c r="DA109" s="2"/>
      <c r="DB109" s="3"/>
      <c r="DC109" s="2"/>
      <c r="DD109" s="2"/>
      <c r="DE109" s="5"/>
      <c r="DF109" s="2"/>
      <c r="DG109" s="4"/>
      <c r="DH109" s="2"/>
      <c r="DI109" s="3"/>
      <c r="DJ109" s="2"/>
      <c r="DK109" s="2"/>
      <c r="DL109" s="5"/>
      <c r="DM109" s="2"/>
      <c r="DN109" s="4"/>
      <c r="DO109" s="2"/>
      <c r="DP109" s="3"/>
      <c r="DQ109" s="2"/>
      <c r="DR109" s="2"/>
      <c r="DS109" s="5"/>
      <c r="DT109" s="2"/>
      <c r="DU109" s="4"/>
      <c r="DV109" s="2"/>
      <c r="DW109" s="3"/>
      <c r="DX109" s="2"/>
      <c r="DY109" s="2"/>
      <c r="DZ109" s="5"/>
      <c r="EA109" s="2"/>
      <c r="EB109" s="4"/>
      <c r="EC109" s="2"/>
      <c r="ED109" s="3"/>
      <c r="EE109" s="2"/>
      <c r="EF109" s="2"/>
      <c r="EG109" s="5"/>
      <c r="EH109" s="2"/>
      <c r="EI109" s="4"/>
      <c r="EJ109" s="2"/>
      <c r="EK109" s="3"/>
      <c r="EL109" s="2"/>
      <c r="EM109" s="2"/>
      <c r="EN109" s="5"/>
      <c r="EO109" s="2"/>
      <c r="EP109" s="4"/>
      <c r="EQ109" s="2"/>
      <c r="ER109" s="3"/>
      <c r="ES109" s="2"/>
      <c r="ET109" s="2"/>
      <c r="EU109" s="5"/>
      <c r="EV109" s="2"/>
      <c r="EW109" s="4"/>
      <c r="EX109" s="2"/>
      <c r="EY109" s="3"/>
      <c r="EZ109" s="2"/>
      <c r="FA109" s="2"/>
      <c r="FB109" s="5"/>
      <c r="FC109" s="2"/>
      <c r="FD109" s="4"/>
      <c r="FE109" s="2"/>
      <c r="FF109" s="3"/>
      <c r="FG109" s="2"/>
      <c r="FH109" s="2"/>
      <c r="FI109" s="5"/>
      <c r="FJ109" s="2"/>
      <c r="FK109" s="4"/>
      <c r="FL109" s="2"/>
      <c r="FM109" s="3"/>
      <c r="FN109" s="2"/>
      <c r="FO109" s="2"/>
      <c r="FP109" s="5"/>
      <c r="FQ109" s="2"/>
      <c r="FR109" s="4"/>
      <c r="FS109" s="2"/>
      <c r="FT109" s="3"/>
      <c r="FU109" s="2"/>
      <c r="FV109" s="2"/>
      <c r="FW109" s="5"/>
      <c r="FX109" s="2"/>
      <c r="FY109" s="4"/>
      <c r="FZ109" s="2"/>
      <c r="GA109" s="3"/>
      <c r="GB109" s="2"/>
      <c r="GC109" s="2"/>
      <c r="GD109" s="5"/>
      <c r="GE109" s="2"/>
      <c r="GF109" s="4"/>
      <c r="GG109" s="2"/>
      <c r="GH109" s="3"/>
      <c r="GI109" s="2"/>
      <c r="GJ109" s="2"/>
      <c r="GK109" s="5"/>
      <c r="GL109" s="2"/>
      <c r="GM109" s="4"/>
      <c r="GN109" s="2"/>
      <c r="GO109" s="3"/>
      <c r="GP109" s="2"/>
      <c r="GQ109" s="2"/>
      <c r="GR109" s="5"/>
      <c r="GS109" s="2"/>
      <c r="GT109" s="4"/>
      <c r="GU109" s="2"/>
      <c r="GV109" s="3"/>
      <c r="GW109" s="2"/>
      <c r="GX109" s="2"/>
      <c r="GY109" s="5"/>
      <c r="GZ109" s="2"/>
      <c r="HA109" s="4"/>
      <c r="HB109" s="2"/>
      <c r="HC109" s="3"/>
      <c r="HD109" s="2"/>
      <c r="HE109" s="2"/>
      <c r="HF109" s="5"/>
      <c r="HG109" s="2"/>
      <c r="HH109" s="4"/>
      <c r="HI109" s="2"/>
      <c r="HJ109" s="3"/>
      <c r="HK109" s="2"/>
      <c r="HL109" s="2"/>
      <c r="HM109" s="5"/>
      <c r="HN109" s="2"/>
      <c r="HO109" s="4"/>
      <c r="HP109" s="2"/>
      <c r="HQ109" s="3"/>
      <c r="HR109" s="2"/>
      <c r="HS109" s="2"/>
      <c r="HT109" s="5"/>
      <c r="HU109" s="2"/>
      <c r="HV109" s="4"/>
      <c r="HW109" s="2"/>
      <c r="HX109" s="3"/>
      <c r="HY109" s="2"/>
      <c r="HZ109" s="2"/>
      <c r="IA109" s="5"/>
      <c r="IB109" s="2"/>
      <c r="IC109" s="4"/>
      <c r="ID109" s="2"/>
      <c r="IE109" s="3"/>
      <c r="IF109" s="2"/>
      <c r="IG109" s="2"/>
      <c r="IH109" s="5"/>
      <c r="II109" s="2"/>
      <c r="IJ109" s="4"/>
      <c r="IK109" s="2"/>
      <c r="IL109" s="3"/>
      <c r="IM109" s="2"/>
      <c r="IN109" s="2"/>
      <c r="IO109" s="5"/>
      <c r="IP109" s="2"/>
      <c r="IQ109" s="4"/>
      <c r="IR109" s="2"/>
      <c r="IS109" s="3"/>
      <c r="IT109" s="2"/>
      <c r="IU109" s="2"/>
      <c r="IV109" s="5"/>
      <c r="IW109" s="2"/>
      <c r="IX109" s="4"/>
      <c r="IY109" s="2"/>
      <c r="IZ109" s="3"/>
      <c r="JA109" s="2"/>
      <c r="JB109" s="2"/>
      <c r="JC109" s="5"/>
      <c r="JD109" s="2"/>
      <c r="JE109" s="4"/>
      <c r="JF109" s="2"/>
      <c r="JG109" s="3"/>
      <c r="JH109" s="2"/>
      <c r="JI109" s="2"/>
      <c r="JJ109" s="5"/>
      <c r="JK109" s="2"/>
      <c r="JL109" s="4"/>
      <c r="JM109" s="2"/>
      <c r="JN109" s="3"/>
      <c r="JO109" s="2"/>
      <c r="JP109" s="2"/>
      <c r="JQ109" s="5"/>
      <c r="JR109" s="2"/>
      <c r="JS109" s="4"/>
      <c r="JT109" s="2"/>
      <c r="JU109" s="3"/>
      <c r="JV109" s="2"/>
      <c r="JW109" s="2"/>
      <c r="JX109" s="5"/>
      <c r="JY109" s="2"/>
      <c r="JZ109" s="4"/>
      <c r="KA109" s="2"/>
      <c r="KB109" s="3"/>
      <c r="KC109" s="2"/>
      <c r="KD109" s="2"/>
      <c r="KE109" s="5"/>
      <c r="KF109" s="2"/>
      <c r="KG109" s="4"/>
      <c r="KH109" s="2"/>
      <c r="KI109" s="3"/>
      <c r="KJ109" s="2"/>
      <c r="KK109" s="2"/>
      <c r="KL109" s="5"/>
      <c r="KM109" s="2"/>
      <c r="KN109" s="4"/>
      <c r="KO109" s="2"/>
      <c r="KP109" s="3"/>
      <c r="KQ109" s="2"/>
      <c r="KR109" s="2"/>
      <c r="KS109" s="5"/>
      <c r="KT109" s="2"/>
      <c r="KU109" s="4"/>
      <c r="KV109" s="2"/>
      <c r="KW109" s="3"/>
      <c r="KX109" s="2"/>
      <c r="KY109" s="2"/>
      <c r="KZ109" s="5"/>
      <c r="LA109" s="2"/>
      <c r="LB109" s="4"/>
      <c r="LC109" s="2"/>
      <c r="LD109" s="3"/>
      <c r="LE109" s="2"/>
      <c r="LF109" s="2"/>
      <c r="LG109" s="5"/>
      <c r="LH109" s="2"/>
      <c r="LI109" s="4"/>
      <c r="LJ109" s="2"/>
      <c r="LK109" s="3"/>
      <c r="LL109" s="2"/>
      <c r="LM109" s="2"/>
      <c r="LN109" s="5"/>
      <c r="LO109" s="2"/>
      <c r="LP109" s="4"/>
      <c r="LQ109" s="2"/>
      <c r="LR109" s="3"/>
      <c r="LS109" s="2"/>
      <c r="LT109" s="2"/>
      <c r="LU109" s="5"/>
      <c r="LV109" s="2"/>
      <c r="LW109" s="4"/>
      <c r="LX109" s="2"/>
      <c r="LY109" s="3"/>
      <c r="LZ109" s="2"/>
      <c r="MA109" s="2"/>
      <c r="MB109" s="5"/>
      <c r="MC109" s="2"/>
      <c r="MD109" s="4"/>
      <c r="ME109" s="2"/>
      <c r="MF109" s="3"/>
      <c r="MG109" s="2"/>
      <c r="MH109" s="2"/>
      <c r="MI109" s="5"/>
      <c r="MJ109" s="2"/>
      <c r="MK109" s="4"/>
      <c r="ML109" s="2"/>
      <c r="MM109" s="3"/>
      <c r="MN109" s="2"/>
      <c r="MO109" s="2"/>
      <c r="MP109" s="5"/>
      <c r="MQ109" s="2"/>
      <c r="MR109" s="4"/>
      <c r="MS109" s="2"/>
      <c r="MT109" s="3"/>
      <c r="MU109" s="2"/>
      <c r="MV109" s="2"/>
      <c r="MW109" s="5"/>
      <c r="MX109" s="2"/>
      <c r="MY109" s="4"/>
      <c r="MZ109" s="2"/>
      <c r="NA109" s="3"/>
      <c r="NB109" s="2"/>
      <c r="NC109" s="2"/>
      <c r="ND109" s="5"/>
      <c r="NE109" s="2"/>
      <c r="NF109" s="4"/>
      <c r="NG109" s="2"/>
      <c r="NH109" s="3"/>
      <c r="NI109" s="2"/>
      <c r="NJ109" s="2"/>
      <c r="NK109" s="5"/>
      <c r="NL109" s="2"/>
      <c r="NM109" s="4"/>
      <c r="NN109" s="2"/>
      <c r="NO109" s="3"/>
      <c r="NP109" s="2"/>
      <c r="NQ109" s="2"/>
      <c r="NR109" s="5"/>
      <c r="NS109" s="2"/>
      <c r="NT109" s="4"/>
      <c r="NU109" s="2"/>
      <c r="NV109" s="3"/>
      <c r="NW109" s="2"/>
      <c r="NX109" s="2"/>
      <c r="NY109" s="5"/>
      <c r="NZ109" s="2"/>
      <c r="OA109" s="4"/>
      <c r="OB109" s="2"/>
      <c r="OC109" s="3"/>
      <c r="OD109" s="2"/>
      <c r="OE109" s="2"/>
      <c r="OF109" s="5"/>
      <c r="OG109" s="2"/>
      <c r="OH109" s="4"/>
      <c r="OI109" s="2"/>
      <c r="OJ109" s="3"/>
      <c r="OK109" s="2"/>
      <c r="OL109" s="2"/>
      <c r="OM109" s="5"/>
      <c r="ON109" s="2"/>
      <c r="OO109" s="4"/>
      <c r="OP109" s="2"/>
      <c r="OQ109" s="3"/>
      <c r="OR109" s="2"/>
      <c r="OS109" s="2"/>
      <c r="OT109" s="5"/>
      <c r="OU109" s="2"/>
      <c r="OV109" s="4"/>
      <c r="OW109" s="2"/>
      <c r="OX109" s="3"/>
      <c r="OY109" s="2"/>
      <c r="OZ109" s="2"/>
      <c r="PA109" s="5"/>
      <c r="PB109" s="2"/>
      <c r="PC109" s="4"/>
      <c r="PD109" s="2"/>
      <c r="PE109" s="3"/>
      <c r="PF109" s="2"/>
      <c r="PG109" s="2"/>
      <c r="PH109" s="5"/>
      <c r="PI109" s="2"/>
      <c r="PJ109" s="4"/>
      <c r="PK109" s="2"/>
      <c r="PL109" s="3"/>
      <c r="PM109" s="2"/>
      <c r="PN109" s="2"/>
      <c r="PO109" s="5"/>
      <c r="PP109" s="2"/>
      <c r="PQ109" s="4"/>
      <c r="PR109" s="2"/>
      <c r="PS109" s="3"/>
      <c r="PT109" s="2"/>
      <c r="PU109" s="2"/>
      <c r="PV109" s="5"/>
      <c r="PW109" s="2"/>
      <c r="PX109" s="4"/>
      <c r="PY109" s="2"/>
      <c r="PZ109" s="3"/>
      <c r="QA109" s="2"/>
      <c r="QB109" s="2"/>
      <c r="QC109" s="5"/>
      <c r="QD109" s="2"/>
      <c r="QE109" s="4"/>
      <c r="QF109" s="2"/>
      <c r="QG109" s="3"/>
      <c r="QH109" s="2"/>
      <c r="QI109" s="2"/>
      <c r="QJ109" s="5"/>
      <c r="QK109" s="2"/>
      <c r="QL109" s="4"/>
      <c r="QM109" s="2"/>
      <c r="QN109" s="3"/>
      <c r="QO109" s="2"/>
      <c r="QP109" s="2"/>
      <c r="QQ109" s="5"/>
      <c r="QR109" s="2"/>
      <c r="QS109" s="4"/>
      <c r="QT109" s="2"/>
      <c r="QU109" s="3"/>
      <c r="QV109" s="2"/>
      <c r="QW109" s="2"/>
      <c r="QX109" s="5"/>
      <c r="QY109" s="2"/>
      <c r="QZ109" s="4"/>
      <c r="RA109" s="2"/>
      <c r="RB109" s="3"/>
      <c r="RC109" s="2"/>
      <c r="RD109" s="2"/>
      <c r="RE109" s="5"/>
      <c r="RF109" s="2"/>
      <c r="RG109" s="4"/>
      <c r="RH109" s="2"/>
      <c r="RI109" s="3"/>
      <c r="RJ109" s="2"/>
      <c r="RK109" s="2"/>
      <c r="RL109" s="5"/>
      <c r="RM109" s="2"/>
      <c r="RN109" s="4"/>
      <c r="RO109" s="2"/>
      <c r="RP109" s="3"/>
      <c r="RQ109" s="2"/>
      <c r="RR109" s="2"/>
      <c r="RS109" s="5"/>
      <c r="RT109" s="2"/>
      <c r="RU109" s="4"/>
      <c r="RV109" s="2"/>
      <c r="RW109" s="3"/>
      <c r="RX109" s="2"/>
      <c r="RY109" s="2"/>
      <c r="RZ109" s="5"/>
      <c r="SA109" s="2"/>
      <c r="SB109" s="4"/>
      <c r="SC109" s="2"/>
      <c r="SD109" s="3"/>
      <c r="SE109" s="2"/>
      <c r="SF109" s="2"/>
      <c r="SG109" s="5"/>
      <c r="SH109" s="2"/>
      <c r="SI109" s="4"/>
      <c r="SJ109" s="2"/>
      <c r="SK109" s="3"/>
      <c r="SL109" s="2"/>
      <c r="SM109" s="2"/>
      <c r="SN109" s="5"/>
      <c r="SO109" s="2"/>
      <c r="SP109" s="4"/>
      <c r="SQ109" s="2"/>
      <c r="SR109" s="3"/>
      <c r="SS109" s="2"/>
      <c r="ST109" s="2"/>
      <c r="SU109" s="5"/>
      <c r="SV109" s="2"/>
      <c r="SW109" s="4"/>
      <c r="SX109" s="2"/>
      <c r="SY109" s="3"/>
      <c r="SZ109" s="2"/>
      <c r="TA109" s="2"/>
      <c r="TB109" s="5"/>
      <c r="TC109" s="2"/>
      <c r="TD109" s="4"/>
      <c r="TE109" s="2"/>
      <c r="TF109" s="3"/>
      <c r="TG109" s="2"/>
      <c r="TH109" s="2"/>
      <c r="TI109" s="5"/>
      <c r="TJ109" s="2"/>
      <c r="TK109" s="4"/>
      <c r="TL109" s="2"/>
      <c r="TM109" s="3"/>
      <c r="TN109" s="2"/>
      <c r="TO109" s="2"/>
      <c r="TP109" s="5"/>
      <c r="TQ109" s="2"/>
      <c r="TR109" s="4"/>
      <c r="TS109" s="2"/>
      <c r="TT109" s="3"/>
      <c r="TU109" s="2"/>
      <c r="TV109" s="2"/>
      <c r="TW109" s="5"/>
      <c r="TX109" s="2"/>
      <c r="TY109" s="4"/>
      <c r="TZ109" s="2"/>
      <c r="UA109" s="3"/>
      <c r="UB109" s="2"/>
      <c r="UC109" s="2"/>
      <c r="UD109" s="5"/>
      <c r="UE109" s="2"/>
      <c r="UF109" s="4"/>
      <c r="UG109" s="2"/>
      <c r="UH109" s="3"/>
      <c r="UI109" s="2"/>
      <c r="UJ109" s="2"/>
      <c r="UK109" s="5"/>
      <c r="UL109" s="2"/>
      <c r="UM109" s="4"/>
      <c r="UN109" s="2"/>
      <c r="UO109" s="3"/>
      <c r="UP109" s="2"/>
      <c r="UQ109" s="2"/>
      <c r="UR109" s="5"/>
      <c r="US109" s="2"/>
      <c r="UT109" s="4"/>
      <c r="UU109" s="2"/>
      <c r="UV109" s="3"/>
      <c r="UW109" s="2"/>
      <c r="UX109" s="2"/>
      <c r="UY109" s="5"/>
      <c r="UZ109" s="2"/>
      <c r="VA109" s="4"/>
      <c r="VB109" s="2"/>
      <c r="VC109" s="3"/>
      <c r="VD109" s="2"/>
      <c r="VE109" s="2"/>
      <c r="VF109" s="5"/>
      <c r="VG109" s="2"/>
      <c r="VH109" s="4"/>
      <c r="VI109" s="2"/>
      <c r="VJ109" s="3"/>
      <c r="VK109" s="2"/>
      <c r="VL109" s="2"/>
      <c r="VM109" s="5"/>
      <c r="VN109" s="2"/>
      <c r="VO109" s="4"/>
      <c r="VP109" s="2"/>
      <c r="VQ109" s="3"/>
      <c r="VR109" s="2"/>
      <c r="VS109" s="2"/>
      <c r="VT109" s="5"/>
      <c r="VU109" s="2"/>
      <c r="VV109" s="4"/>
      <c r="VW109" s="2"/>
      <c r="VX109" s="3"/>
      <c r="VY109" s="2"/>
      <c r="VZ109" s="2"/>
      <c r="WA109" s="5"/>
      <c r="WB109" s="2"/>
      <c r="WC109" s="4"/>
      <c r="WD109" s="2"/>
      <c r="WE109" s="3"/>
      <c r="WF109" s="2"/>
      <c r="WG109" s="2"/>
      <c r="WH109" s="5"/>
      <c r="WI109" s="2"/>
      <c r="WJ109" s="4"/>
      <c r="WK109" s="2"/>
      <c r="WL109" s="3"/>
      <c r="WM109" s="2"/>
      <c r="WN109" s="2"/>
      <c r="WO109" s="5"/>
      <c r="WP109" s="2"/>
      <c r="WQ109" s="4"/>
      <c r="WR109" s="2"/>
      <c r="WS109" s="3"/>
      <c r="WT109" s="2"/>
      <c r="WU109" s="2"/>
      <c r="WV109" s="5"/>
      <c r="WW109" s="2"/>
      <c r="WX109" s="4"/>
      <c r="WY109" s="2"/>
      <c r="WZ109" s="3"/>
      <c r="XA109" s="2"/>
      <c r="XB109" s="2"/>
      <c r="XC109" s="5"/>
      <c r="XD109" s="2"/>
      <c r="XE109" s="4"/>
      <c r="XF109" s="2"/>
      <c r="XG109" s="3"/>
      <c r="XH109" s="2"/>
      <c r="XI109" s="2"/>
      <c r="XJ109" s="5"/>
      <c r="XK109" s="2"/>
      <c r="XL109" s="4"/>
      <c r="XM109" s="2"/>
      <c r="XN109" s="3"/>
      <c r="XO109" s="2"/>
      <c r="XP109" s="2"/>
      <c r="XQ109" s="5"/>
      <c r="XR109" s="2"/>
      <c r="XS109" s="4"/>
      <c r="XT109" s="2"/>
      <c r="XU109" s="3"/>
      <c r="XV109" s="2"/>
      <c r="XW109" s="2"/>
      <c r="XX109" s="5"/>
      <c r="XY109" s="2"/>
      <c r="XZ109" s="4"/>
      <c r="YA109" s="2"/>
      <c r="YB109" s="3"/>
      <c r="YC109" s="2"/>
      <c r="YD109" s="2"/>
      <c r="YE109" s="5"/>
      <c r="YF109" s="2"/>
      <c r="YG109" s="4"/>
      <c r="YH109" s="2"/>
      <c r="YI109" s="3"/>
      <c r="YJ109" s="2"/>
      <c r="YK109" s="2"/>
      <c r="YL109" s="5"/>
      <c r="YM109" s="2"/>
      <c r="YN109" s="4"/>
      <c r="YO109" s="2"/>
      <c r="YP109" s="3"/>
      <c r="YQ109" s="2"/>
      <c r="YR109" s="2"/>
      <c r="YS109" s="5"/>
      <c r="YT109" s="2"/>
      <c r="YU109" s="4"/>
      <c r="YV109" s="2"/>
      <c r="YW109" s="3"/>
      <c r="YX109" s="2"/>
      <c r="YY109" s="2"/>
      <c r="YZ109" s="5"/>
      <c r="ZA109" s="2"/>
      <c r="ZB109" s="4"/>
      <c r="ZC109" s="2"/>
      <c r="ZD109" s="3"/>
      <c r="ZE109" s="2"/>
      <c r="ZF109" s="2"/>
      <c r="ZG109" s="5"/>
      <c r="ZH109" s="2"/>
      <c r="ZI109" s="4"/>
      <c r="ZJ109" s="2"/>
      <c r="ZK109" s="3"/>
      <c r="ZL109" s="2"/>
      <c r="ZM109" s="2"/>
      <c r="ZN109" s="5"/>
      <c r="ZO109" s="2"/>
      <c r="ZP109" s="4"/>
      <c r="ZQ109" s="2"/>
      <c r="ZR109" s="3"/>
      <c r="ZS109" s="2"/>
      <c r="ZT109" s="2"/>
      <c r="ZU109" s="5"/>
      <c r="ZV109" s="2"/>
      <c r="ZW109" s="4"/>
      <c r="ZX109" s="2"/>
      <c r="ZY109" s="3"/>
      <c r="ZZ109" s="2"/>
      <c r="AAA109" s="2"/>
      <c r="AAB109" s="5"/>
      <c r="AAC109" s="2"/>
      <c r="AAD109" s="4"/>
      <c r="AAE109" s="2"/>
      <c r="AAF109" s="3"/>
      <c r="AAG109" s="2"/>
      <c r="AAH109" s="2"/>
      <c r="AAI109" s="5"/>
      <c r="AAJ109" s="2"/>
      <c r="AAK109" s="4"/>
      <c r="AAL109" s="2"/>
      <c r="AAM109" s="3"/>
      <c r="AAN109" s="2"/>
      <c r="AAO109" s="2"/>
      <c r="AAP109" s="5"/>
      <c r="AAQ109" s="2"/>
      <c r="AAR109" s="4"/>
      <c r="AAS109" s="2"/>
      <c r="AAT109" s="3"/>
      <c r="AAU109" s="2"/>
      <c r="AAV109" s="2"/>
      <c r="AAW109" s="5"/>
      <c r="AAX109" s="2"/>
      <c r="AAY109" s="4"/>
      <c r="AAZ109" s="2"/>
      <c r="ABA109" s="3"/>
      <c r="ABB109" s="2"/>
      <c r="ABC109" s="2"/>
      <c r="ABD109" s="5"/>
      <c r="ABE109" s="2"/>
      <c r="ABF109" s="4"/>
      <c r="ABG109" s="2"/>
      <c r="ABH109" s="3"/>
      <c r="ABI109" s="2"/>
      <c r="ABJ109" s="2"/>
      <c r="ABK109" s="5"/>
      <c r="ABL109" s="2"/>
      <c r="ABM109" s="4"/>
      <c r="ABN109" s="2"/>
      <c r="ABO109" s="3"/>
      <c r="ABP109" s="2"/>
      <c r="ABQ109" s="2"/>
      <c r="ABR109" s="5"/>
      <c r="ABS109" s="2"/>
      <c r="ABT109" s="4"/>
      <c r="ABU109" s="2"/>
      <c r="ABV109" s="3"/>
      <c r="ABW109" s="2"/>
      <c r="ABX109" s="2"/>
      <c r="ABY109" s="5"/>
      <c r="ABZ109" s="2"/>
      <c r="ACA109" s="4"/>
      <c r="ACB109" s="2"/>
      <c r="ACC109" s="3"/>
      <c r="ACD109" s="2"/>
      <c r="ACE109" s="2"/>
      <c r="ACF109" s="5"/>
      <c r="ACG109" s="2"/>
      <c r="ACH109" s="4"/>
      <c r="ACI109" s="2"/>
      <c r="ACJ109" s="3"/>
      <c r="ACK109" s="2"/>
      <c r="ACL109" s="2"/>
      <c r="ACM109" s="5"/>
      <c r="ACN109" s="2"/>
      <c r="ACO109" s="4"/>
      <c r="ACP109" s="2"/>
      <c r="ACQ109" s="3"/>
      <c r="ACR109" s="2"/>
      <c r="ACS109" s="2"/>
      <c r="ACT109" s="5"/>
      <c r="ACU109" s="2"/>
      <c r="ACV109" s="4"/>
      <c r="ACW109" s="2"/>
      <c r="ACX109" s="3"/>
      <c r="ACY109" s="2"/>
      <c r="ACZ109" s="2"/>
      <c r="ADA109" s="5"/>
      <c r="ADB109" s="2"/>
      <c r="ADC109" s="4"/>
      <c r="ADD109" s="2"/>
      <c r="ADE109" s="3"/>
      <c r="ADF109" s="2"/>
      <c r="ADG109" s="2"/>
      <c r="ADH109" s="5"/>
      <c r="ADI109" s="2"/>
      <c r="ADJ109" s="4"/>
      <c r="ADK109" s="2"/>
      <c r="ADL109" s="3"/>
      <c r="ADM109" s="2"/>
      <c r="ADN109" s="2"/>
      <c r="ADO109" s="5"/>
      <c r="ADP109" s="2"/>
      <c r="ADQ109" s="4"/>
      <c r="ADR109" s="2"/>
      <c r="ADS109" s="3"/>
      <c r="ADT109" s="2"/>
      <c r="ADU109" s="2"/>
      <c r="ADV109" s="5"/>
      <c r="ADW109" s="2"/>
      <c r="ADX109" s="4"/>
      <c r="ADY109" s="2"/>
      <c r="ADZ109" s="3"/>
      <c r="AEA109" s="2"/>
      <c r="AEB109" s="2"/>
      <c r="AEC109" s="5"/>
      <c r="AED109" s="2"/>
      <c r="AEE109" s="4"/>
      <c r="AEF109" s="2"/>
      <c r="AEG109" s="3"/>
      <c r="AEH109" s="2"/>
      <c r="AEI109" s="2"/>
      <c r="AEJ109" s="5"/>
      <c r="AEK109" s="2"/>
      <c r="AEL109" s="4"/>
      <c r="AEM109" s="2"/>
      <c r="AEN109" s="3"/>
      <c r="AEO109" s="2"/>
      <c r="AEP109" s="2"/>
      <c r="AEQ109" s="5"/>
      <c r="AER109" s="2"/>
      <c r="AES109" s="4"/>
      <c r="AET109" s="2"/>
      <c r="AEU109" s="3"/>
      <c r="AEV109" s="2"/>
      <c r="AEW109" s="2"/>
      <c r="AEX109" s="5"/>
      <c r="AEY109" s="2"/>
      <c r="AEZ109" s="4"/>
      <c r="AFA109" s="2"/>
      <c r="AFB109" s="3"/>
      <c r="AFC109" s="2"/>
      <c r="AFD109" s="2"/>
      <c r="AFE109" s="5"/>
      <c r="AFF109" s="2"/>
      <c r="AFG109" s="4"/>
      <c r="AFH109" s="2"/>
      <c r="AFI109" s="3"/>
      <c r="AFJ109" s="2"/>
      <c r="AFK109" s="2"/>
      <c r="AFL109" s="5"/>
      <c r="AFM109" s="2"/>
      <c r="AFN109" s="4"/>
      <c r="AFO109" s="2"/>
      <c r="AFP109" s="3"/>
      <c r="AFQ109" s="2"/>
      <c r="AFR109" s="2"/>
      <c r="AFS109" s="5"/>
      <c r="AFT109" s="2"/>
      <c r="AFU109" s="4"/>
      <c r="AFV109" s="2"/>
      <c r="AFW109" s="3"/>
      <c r="AFX109" s="2"/>
      <c r="AFY109" s="2"/>
      <c r="AFZ109" s="5"/>
      <c r="AGA109" s="2"/>
      <c r="AGB109" s="4"/>
      <c r="AGC109" s="2"/>
      <c r="AGD109" s="3"/>
      <c r="AGE109" s="2"/>
      <c r="AGF109" s="2"/>
      <c r="AGG109" s="5"/>
      <c r="AGH109" s="2"/>
      <c r="AGI109" s="4"/>
      <c r="AGJ109" s="2"/>
      <c r="AGK109" s="3"/>
      <c r="AGL109" s="2"/>
      <c r="AGM109" s="2"/>
      <c r="AGN109" s="5"/>
      <c r="AGO109" s="2"/>
      <c r="AGP109" s="4"/>
      <c r="AGQ109" s="2"/>
      <c r="AGR109" s="3"/>
      <c r="AGS109" s="2"/>
      <c r="AGT109" s="2"/>
      <c r="AGU109" s="5"/>
      <c r="AGV109" s="2"/>
      <c r="AGW109" s="4"/>
      <c r="AGX109" s="2"/>
      <c r="AGY109" s="3"/>
      <c r="AGZ109" s="2"/>
      <c r="AHA109" s="2"/>
      <c r="AHB109" s="5"/>
      <c r="AHC109" s="2"/>
      <c r="AHD109" s="4"/>
      <c r="AHE109" s="2"/>
      <c r="AHF109" s="3"/>
      <c r="AHG109" s="2"/>
      <c r="AHH109" s="2"/>
      <c r="AHI109" s="5"/>
      <c r="AHJ109" s="2"/>
      <c r="AHK109" s="4"/>
      <c r="AHL109" s="2"/>
      <c r="AHM109" s="3"/>
      <c r="AHN109" s="2"/>
      <c r="AHO109" s="2"/>
      <c r="AHP109" s="5"/>
      <c r="AHQ109" s="2"/>
      <c r="AHR109" s="4"/>
      <c r="AHS109" s="2"/>
      <c r="AHT109" s="3"/>
      <c r="AHU109" s="2"/>
      <c r="AHV109" s="2"/>
      <c r="AHW109" s="5"/>
      <c r="AHX109" s="2"/>
      <c r="AHY109" s="4"/>
      <c r="AHZ109" s="2"/>
      <c r="AIA109" s="3"/>
      <c r="AIB109" s="2"/>
      <c r="AIC109" s="2"/>
      <c r="AID109" s="5"/>
      <c r="AIE109" s="2"/>
      <c r="AIF109" s="4"/>
      <c r="AIG109" s="2"/>
      <c r="AIH109" s="3"/>
      <c r="AII109" s="2"/>
      <c r="AIJ109" s="2"/>
      <c r="AIK109" s="5"/>
      <c r="AIL109" s="2"/>
      <c r="AIM109" s="4"/>
      <c r="AIN109" s="2"/>
      <c r="AIO109" s="3"/>
      <c r="AIP109" s="2"/>
      <c r="AIQ109" s="2"/>
      <c r="AIR109" s="5"/>
      <c r="AIS109" s="2"/>
      <c r="AIT109" s="4"/>
      <c r="AIU109" s="2"/>
      <c r="AIV109" s="3"/>
      <c r="AIW109" s="2"/>
      <c r="AIX109" s="2"/>
      <c r="AIY109" s="5"/>
      <c r="AIZ109" s="2"/>
      <c r="AJA109" s="4"/>
      <c r="AJB109" s="2"/>
      <c r="AJC109" s="3"/>
      <c r="AJD109" s="2"/>
      <c r="AJE109" s="2"/>
      <c r="AJF109" s="5"/>
      <c r="AJG109" s="2"/>
      <c r="AJH109" s="4"/>
      <c r="AJI109" s="2"/>
      <c r="AJJ109" s="3"/>
      <c r="AJK109" s="2"/>
      <c r="AJL109" s="2"/>
      <c r="AJM109" s="5"/>
      <c r="AJN109" s="2"/>
      <c r="AJO109" s="4"/>
      <c r="AJP109" s="2"/>
      <c r="AJQ109" s="3"/>
      <c r="AJR109" s="2"/>
      <c r="AJS109" s="2"/>
      <c r="AJT109" s="5"/>
      <c r="AJU109" s="2"/>
      <c r="AJV109" s="4"/>
      <c r="AJW109" s="2"/>
      <c r="AJX109" s="3"/>
      <c r="AJY109" s="2"/>
      <c r="AJZ109" s="2"/>
      <c r="AKA109" s="5"/>
      <c r="AKB109" s="2"/>
      <c r="AKC109" s="4"/>
      <c r="AKD109" s="2"/>
      <c r="AKE109" s="3"/>
      <c r="AKF109" s="2"/>
      <c r="AKG109" s="2"/>
      <c r="AKH109" s="5"/>
      <c r="AKI109" s="2"/>
      <c r="AKJ109" s="4"/>
      <c r="AKK109" s="2"/>
      <c r="AKL109" s="3"/>
      <c r="AKM109" s="2"/>
      <c r="AKN109" s="2"/>
      <c r="AKO109" s="5"/>
      <c r="AKP109" s="2"/>
      <c r="AKQ109" s="4"/>
      <c r="AKR109" s="2"/>
      <c r="AKS109" s="3"/>
      <c r="AKT109" s="2"/>
      <c r="AKU109" s="2"/>
      <c r="AKV109" s="5"/>
      <c r="AKW109" s="2"/>
      <c r="AKX109" s="4"/>
      <c r="AKY109" s="2"/>
      <c r="AKZ109" s="3"/>
      <c r="ALA109" s="2"/>
      <c r="ALB109" s="2"/>
      <c r="ALC109" s="5"/>
      <c r="ALD109" s="2"/>
      <c r="ALE109" s="4"/>
      <c r="ALF109" s="2"/>
      <c r="ALG109" s="3"/>
      <c r="ALH109" s="2"/>
      <c r="ALI109" s="2"/>
      <c r="ALJ109" s="5"/>
      <c r="ALK109" s="2"/>
      <c r="ALL109" s="4"/>
      <c r="ALM109" s="2"/>
      <c r="ALN109" s="3"/>
      <c r="ALO109" s="2"/>
      <c r="ALP109" s="2"/>
      <c r="ALQ109" s="5"/>
      <c r="ALR109" s="2"/>
      <c r="ALS109" s="4"/>
      <c r="ALT109" s="2"/>
      <c r="ALU109" s="3"/>
      <c r="ALV109" s="2"/>
      <c r="ALW109" s="2"/>
      <c r="ALX109" s="5"/>
      <c r="ALY109" s="2"/>
      <c r="ALZ109" s="4"/>
      <c r="AMA109" s="2"/>
      <c r="AMB109" s="3"/>
      <c r="AMC109" s="2"/>
      <c r="AMD109" s="2"/>
      <c r="AME109" s="5"/>
      <c r="AMF109" s="2"/>
      <c r="AMG109" s="4"/>
      <c r="AMH109" s="2"/>
      <c r="AMI109" s="3"/>
      <c r="AMJ109" s="2"/>
      <c r="AMK109" s="2"/>
      <c r="AML109" s="5"/>
      <c r="AMM109" s="2"/>
      <c r="AMN109" s="4"/>
      <c r="AMO109" s="2"/>
      <c r="AMP109" s="3"/>
      <c r="AMQ109" s="2"/>
      <c r="AMR109" s="2"/>
      <c r="AMS109" s="5"/>
      <c r="AMT109" s="2"/>
      <c r="AMU109" s="4"/>
      <c r="AMV109" s="2"/>
      <c r="AMW109" s="3"/>
      <c r="AMX109" s="2"/>
      <c r="AMY109" s="2"/>
      <c r="AMZ109" s="5"/>
      <c r="ANA109" s="2"/>
      <c r="ANB109" s="4"/>
      <c r="ANC109" s="2"/>
      <c r="AND109" s="3"/>
      <c r="ANE109" s="2"/>
      <c r="ANF109" s="2"/>
      <c r="ANG109" s="5"/>
      <c r="ANH109" s="2"/>
      <c r="ANI109" s="4"/>
      <c r="ANJ109" s="2"/>
      <c r="ANK109" s="3"/>
      <c r="ANL109" s="2"/>
      <c r="ANM109" s="2"/>
      <c r="ANN109" s="5"/>
      <c r="ANO109" s="2"/>
      <c r="ANP109" s="4"/>
      <c r="ANQ109" s="2"/>
      <c r="ANR109" s="3"/>
      <c r="ANS109" s="2"/>
      <c r="ANT109" s="2"/>
      <c r="ANU109" s="5"/>
      <c r="ANV109" s="2"/>
      <c r="ANW109" s="4"/>
      <c r="ANX109" s="2"/>
      <c r="ANY109" s="3"/>
      <c r="ANZ109" s="2"/>
      <c r="AOA109" s="2"/>
      <c r="AOB109" s="5"/>
      <c r="AOC109" s="2"/>
      <c r="AOD109" s="4"/>
      <c r="AOE109" s="2"/>
      <c r="AOF109" s="3"/>
      <c r="AOG109" s="2"/>
      <c r="AOH109" s="2"/>
      <c r="AOI109" s="5"/>
      <c r="AOJ109" s="2"/>
      <c r="AOK109" s="4"/>
      <c r="AOL109" s="2"/>
      <c r="AOM109" s="3"/>
      <c r="AON109" s="2"/>
      <c r="AOO109" s="2"/>
      <c r="AOP109" s="5"/>
      <c r="AOQ109" s="2"/>
      <c r="AOR109" s="4"/>
      <c r="AOS109" s="2"/>
      <c r="AOT109" s="3"/>
      <c r="AOU109" s="2"/>
      <c r="AOV109" s="2"/>
      <c r="AOW109" s="5"/>
      <c r="AOX109" s="2"/>
      <c r="AOY109" s="4"/>
      <c r="AOZ109" s="2"/>
      <c r="APA109" s="3"/>
      <c r="APB109" s="2"/>
      <c r="APC109" s="2"/>
      <c r="APD109" s="5"/>
      <c r="APE109" s="2"/>
      <c r="APF109" s="4"/>
      <c r="APG109" s="2"/>
      <c r="APH109" s="3"/>
      <c r="API109" s="2"/>
      <c r="APJ109" s="2"/>
      <c r="APK109" s="5"/>
      <c r="APL109" s="2"/>
      <c r="APM109" s="4"/>
      <c r="APN109" s="2"/>
      <c r="APO109" s="3"/>
      <c r="APP109" s="2"/>
      <c r="APQ109" s="2"/>
      <c r="APR109" s="5"/>
      <c r="APS109" s="2"/>
      <c r="APT109" s="4"/>
      <c r="APU109" s="2"/>
      <c r="APV109" s="3"/>
      <c r="APW109" s="2"/>
      <c r="APX109" s="2"/>
      <c r="APY109" s="5"/>
      <c r="APZ109" s="2"/>
      <c r="AQA109" s="4"/>
      <c r="AQB109" s="2"/>
      <c r="AQC109" s="3"/>
      <c r="AQD109" s="2"/>
      <c r="AQE109" s="2"/>
      <c r="AQF109" s="5"/>
      <c r="AQG109" s="2"/>
      <c r="AQH109" s="4"/>
      <c r="AQI109" s="2"/>
      <c r="AQJ109" s="3"/>
      <c r="AQK109" s="2"/>
      <c r="AQL109" s="2"/>
      <c r="AQM109" s="5"/>
      <c r="AQN109" s="2"/>
      <c r="AQO109" s="4"/>
      <c r="AQP109" s="2"/>
      <c r="AQQ109" s="3"/>
      <c r="AQR109" s="2"/>
      <c r="AQS109" s="2"/>
      <c r="AQT109" s="5"/>
      <c r="AQU109" s="2"/>
      <c r="AQV109" s="4"/>
      <c r="AQW109" s="2"/>
      <c r="AQX109" s="3"/>
      <c r="AQY109" s="2"/>
      <c r="AQZ109" s="2"/>
      <c r="ARA109" s="5"/>
      <c r="ARB109" s="2"/>
      <c r="ARC109" s="4"/>
      <c r="ARD109" s="2"/>
      <c r="ARE109" s="3"/>
      <c r="ARF109" s="2"/>
      <c r="ARG109" s="2"/>
      <c r="ARH109" s="5"/>
      <c r="ARI109" s="2"/>
      <c r="ARJ109" s="4"/>
      <c r="ARK109" s="2"/>
      <c r="ARL109" s="3"/>
      <c r="ARM109" s="2"/>
      <c r="ARN109" s="2"/>
      <c r="ARO109" s="5"/>
      <c r="ARP109" s="2"/>
      <c r="ARQ109" s="4"/>
      <c r="ARR109" s="2"/>
      <c r="ARS109" s="3"/>
      <c r="ART109" s="2"/>
      <c r="ARU109" s="2"/>
      <c r="ARV109" s="5"/>
      <c r="ARW109" s="2"/>
      <c r="ARX109" s="4"/>
      <c r="ARY109" s="2"/>
      <c r="ARZ109" s="3"/>
      <c r="ASA109" s="2"/>
      <c r="ASB109" s="2"/>
      <c r="ASC109" s="5"/>
      <c r="ASD109" s="2"/>
      <c r="ASE109" s="4"/>
      <c r="ASF109" s="2"/>
      <c r="ASG109" s="3"/>
      <c r="ASH109" s="2"/>
      <c r="ASI109" s="2"/>
      <c r="ASJ109" s="5"/>
      <c r="ASK109" s="2"/>
      <c r="ASL109" s="4"/>
      <c r="ASM109" s="2"/>
      <c r="ASN109" s="3"/>
      <c r="ASO109" s="2"/>
      <c r="ASP109" s="2"/>
      <c r="ASQ109" s="5"/>
      <c r="ASR109" s="2"/>
      <c r="ASS109" s="4"/>
      <c r="AST109" s="2"/>
      <c r="ASU109" s="3"/>
      <c r="ASV109" s="2"/>
      <c r="ASW109" s="2"/>
      <c r="ASX109" s="5"/>
      <c r="ASY109" s="2"/>
      <c r="ASZ109" s="4"/>
      <c r="ATA109" s="2"/>
      <c r="ATB109" s="3"/>
      <c r="ATC109" s="2"/>
      <c r="ATD109" s="2"/>
      <c r="ATE109" s="5"/>
      <c r="ATF109" s="2"/>
      <c r="ATG109" s="4"/>
      <c r="ATH109" s="2"/>
      <c r="ATI109" s="3"/>
      <c r="ATJ109" s="2"/>
      <c r="ATK109" s="2"/>
      <c r="ATL109" s="5"/>
      <c r="ATM109" s="2"/>
      <c r="ATN109" s="4"/>
      <c r="ATO109" s="2"/>
      <c r="ATP109" s="3"/>
      <c r="ATQ109" s="2"/>
      <c r="ATR109" s="2"/>
      <c r="ATS109" s="5"/>
      <c r="ATT109" s="2"/>
      <c r="ATU109" s="4"/>
      <c r="ATV109" s="2"/>
      <c r="ATW109" s="3"/>
      <c r="ATX109" s="2"/>
      <c r="ATY109" s="2"/>
      <c r="ATZ109" s="5"/>
      <c r="AUA109" s="2"/>
      <c r="AUB109" s="4"/>
      <c r="AUC109" s="2"/>
      <c r="AUD109" s="3"/>
      <c r="AUE109" s="2"/>
      <c r="AUF109" s="2"/>
      <c r="AUG109" s="5"/>
      <c r="AUH109" s="2"/>
      <c r="AUI109" s="4"/>
      <c r="AUJ109" s="2"/>
      <c r="AUK109" s="3"/>
      <c r="AUL109" s="2"/>
      <c r="AUM109" s="2"/>
      <c r="AUN109" s="5"/>
      <c r="AUO109" s="2"/>
      <c r="AUP109" s="4"/>
      <c r="AUQ109" s="2"/>
      <c r="AUR109" s="3"/>
      <c r="AUS109" s="2"/>
      <c r="AUT109" s="2"/>
      <c r="AUU109" s="5"/>
      <c r="AUV109" s="2"/>
      <c r="AUW109" s="4"/>
      <c r="AUX109" s="2"/>
      <c r="AUY109" s="3"/>
      <c r="AUZ109" s="2"/>
      <c r="AVA109" s="2"/>
      <c r="AVB109" s="5"/>
      <c r="AVC109" s="2"/>
      <c r="AVD109" s="4"/>
      <c r="AVE109" s="2"/>
      <c r="AVF109" s="3"/>
      <c r="AVG109" s="2"/>
      <c r="AVH109" s="2"/>
      <c r="AVI109" s="5"/>
      <c r="AVJ109" s="2"/>
      <c r="AVK109" s="4"/>
      <c r="AVL109" s="2"/>
      <c r="AVM109" s="3"/>
      <c r="AVN109" s="2"/>
      <c r="AVO109" s="2"/>
      <c r="AVP109" s="5"/>
      <c r="AVQ109" s="2"/>
      <c r="AVR109" s="4"/>
      <c r="AVS109" s="2"/>
      <c r="AVT109" s="3"/>
      <c r="AVU109" s="2"/>
      <c r="AVV109" s="2"/>
      <c r="AVW109" s="5"/>
      <c r="AVX109" s="2"/>
      <c r="AVY109" s="4"/>
      <c r="AVZ109" s="2"/>
      <c r="AWA109" s="3"/>
      <c r="AWB109" s="2"/>
      <c r="AWC109" s="2"/>
      <c r="AWD109" s="5"/>
      <c r="AWE109" s="2"/>
      <c r="AWF109" s="4"/>
      <c r="AWG109" s="2"/>
      <c r="AWH109" s="3"/>
      <c r="AWI109" s="2"/>
      <c r="AWJ109" s="2"/>
      <c r="AWK109" s="5"/>
      <c r="AWL109" s="2"/>
      <c r="AWM109" s="4"/>
      <c r="AWN109" s="2"/>
      <c r="AWO109" s="3"/>
      <c r="AWP109" s="2"/>
      <c r="AWQ109" s="2"/>
      <c r="AWR109" s="5"/>
      <c r="AWS109" s="2"/>
      <c r="AWT109" s="4"/>
      <c r="AWU109" s="2"/>
      <c r="AWV109" s="3"/>
      <c r="AWW109" s="2"/>
      <c r="AWX109" s="2"/>
      <c r="AWY109" s="5"/>
      <c r="AWZ109" s="2"/>
      <c r="AXA109" s="4"/>
      <c r="AXB109" s="2"/>
      <c r="AXC109" s="3"/>
      <c r="AXD109" s="2"/>
      <c r="AXE109" s="2"/>
      <c r="AXF109" s="5"/>
      <c r="AXG109" s="2"/>
      <c r="AXH109" s="4"/>
      <c r="AXI109" s="2"/>
      <c r="AXJ109" s="3"/>
      <c r="AXK109" s="2"/>
      <c r="AXL109" s="2"/>
      <c r="AXM109" s="5"/>
      <c r="AXN109" s="2"/>
      <c r="AXO109" s="4"/>
      <c r="AXP109" s="2"/>
      <c r="AXQ109" s="3"/>
      <c r="AXR109" s="2"/>
      <c r="AXS109" s="2"/>
      <c r="AXT109" s="5"/>
      <c r="AXU109" s="2"/>
      <c r="AXV109" s="4"/>
      <c r="AXW109" s="2"/>
      <c r="AXX109" s="3"/>
      <c r="AXY109" s="2"/>
      <c r="AXZ109" s="2"/>
      <c r="AYA109" s="5"/>
      <c r="AYB109" s="2"/>
      <c r="AYC109" s="4"/>
      <c r="AYD109" s="2"/>
      <c r="AYE109" s="3"/>
      <c r="AYF109" s="2"/>
      <c r="AYG109" s="2"/>
      <c r="AYH109" s="5"/>
      <c r="AYI109" s="2"/>
      <c r="AYJ109" s="4"/>
      <c r="AYK109" s="2"/>
      <c r="AYL109" s="3"/>
      <c r="AYM109" s="2"/>
      <c r="AYN109" s="2"/>
      <c r="AYO109" s="5"/>
      <c r="AYP109" s="2"/>
      <c r="AYQ109" s="4"/>
      <c r="AYR109" s="2"/>
      <c r="AYS109" s="3"/>
      <c r="AYT109" s="2"/>
      <c r="AYU109" s="2"/>
      <c r="AYV109" s="5"/>
      <c r="AYW109" s="2"/>
      <c r="AYX109" s="4"/>
      <c r="AYY109" s="2"/>
      <c r="AYZ109" s="3"/>
      <c r="AZA109" s="2"/>
      <c r="AZB109" s="2"/>
      <c r="AZC109" s="5"/>
      <c r="AZD109" s="2"/>
      <c r="AZE109" s="4"/>
      <c r="AZF109" s="2"/>
      <c r="AZG109" s="3"/>
      <c r="AZH109" s="2"/>
      <c r="AZI109" s="2"/>
      <c r="AZJ109" s="5"/>
      <c r="AZK109" s="2"/>
      <c r="AZL109" s="4"/>
      <c r="AZM109" s="2"/>
      <c r="AZN109" s="3"/>
      <c r="AZO109" s="2"/>
      <c r="AZP109" s="2"/>
      <c r="AZQ109" s="5"/>
      <c r="AZR109" s="2"/>
      <c r="AZS109" s="4"/>
      <c r="AZT109" s="2"/>
      <c r="AZU109" s="3"/>
      <c r="AZV109" s="2"/>
      <c r="AZW109" s="2"/>
      <c r="AZX109" s="5"/>
      <c r="AZY109" s="2"/>
      <c r="AZZ109" s="4"/>
      <c r="BAA109" s="2"/>
      <c r="BAB109" s="3"/>
      <c r="BAC109" s="2"/>
      <c r="BAD109" s="2"/>
      <c r="BAE109" s="5"/>
      <c r="BAF109" s="2"/>
      <c r="BAG109" s="4"/>
      <c r="BAH109" s="2"/>
      <c r="BAI109" s="3"/>
      <c r="BAJ109" s="2"/>
      <c r="BAK109" s="2"/>
      <c r="BAL109" s="5"/>
      <c r="BAM109" s="2"/>
      <c r="BAN109" s="4"/>
      <c r="BAO109" s="2"/>
      <c r="BAP109" s="3"/>
      <c r="BAQ109" s="2"/>
      <c r="BAR109" s="2"/>
      <c r="BAS109" s="5"/>
      <c r="BAT109" s="2"/>
      <c r="BAU109" s="4"/>
      <c r="BAV109" s="2"/>
      <c r="BAW109" s="3"/>
      <c r="BAX109" s="2"/>
      <c r="BAY109" s="2"/>
      <c r="BAZ109" s="5"/>
      <c r="BBA109" s="2"/>
      <c r="BBB109" s="4"/>
      <c r="BBC109" s="2"/>
      <c r="BBD109" s="3"/>
      <c r="BBE109" s="2"/>
      <c r="BBF109" s="2"/>
      <c r="BBG109" s="5"/>
      <c r="BBH109" s="2"/>
      <c r="BBI109" s="4"/>
      <c r="BBJ109" s="2"/>
      <c r="BBK109" s="3"/>
      <c r="BBL109" s="2"/>
      <c r="BBM109" s="2"/>
      <c r="BBN109" s="5"/>
      <c r="BBO109" s="2"/>
      <c r="BBP109" s="4"/>
      <c r="BBQ109" s="2"/>
      <c r="BBR109" s="3"/>
      <c r="BBS109" s="2"/>
      <c r="BBT109" s="2"/>
      <c r="BBU109" s="5"/>
      <c r="BBV109" s="2"/>
      <c r="BBW109" s="4"/>
      <c r="BBX109" s="2"/>
      <c r="BBY109" s="3"/>
      <c r="BBZ109" s="2"/>
      <c r="BCA109" s="2"/>
      <c r="BCB109" s="5"/>
      <c r="BCC109" s="2"/>
      <c r="BCD109" s="4"/>
      <c r="BCE109" s="2"/>
      <c r="BCF109" s="3"/>
      <c r="BCG109" s="2"/>
      <c r="BCH109" s="2"/>
      <c r="BCI109" s="5"/>
      <c r="BCJ109" s="2"/>
      <c r="BCK109" s="4"/>
      <c r="BCL109" s="2"/>
      <c r="BCM109" s="3"/>
      <c r="BCN109" s="2"/>
      <c r="BCO109" s="2"/>
      <c r="BCP109" s="5"/>
      <c r="BCQ109" s="2"/>
      <c r="BCR109" s="4"/>
      <c r="BCS109" s="2"/>
      <c r="BCT109" s="3"/>
      <c r="BCU109" s="2"/>
      <c r="BCV109" s="2"/>
      <c r="BCW109" s="5"/>
      <c r="BCX109" s="2"/>
      <c r="BCY109" s="4"/>
      <c r="BCZ109" s="2"/>
      <c r="BDA109" s="3"/>
      <c r="BDB109" s="2"/>
      <c r="BDC109" s="2"/>
      <c r="BDD109" s="5"/>
      <c r="BDE109" s="2"/>
      <c r="BDF109" s="4"/>
      <c r="BDG109" s="2"/>
      <c r="BDH109" s="3"/>
      <c r="BDI109" s="2"/>
      <c r="BDJ109" s="2"/>
      <c r="BDK109" s="5"/>
      <c r="BDL109" s="2"/>
      <c r="BDM109" s="4"/>
      <c r="BDN109" s="2"/>
      <c r="BDO109" s="3"/>
      <c r="BDP109" s="2"/>
      <c r="BDQ109" s="2"/>
      <c r="BDR109" s="5"/>
      <c r="BDS109" s="2"/>
      <c r="BDT109" s="4"/>
      <c r="BDU109" s="2"/>
      <c r="BDV109" s="3"/>
      <c r="BDW109" s="2"/>
      <c r="BDX109" s="2"/>
      <c r="BDY109" s="5"/>
      <c r="BDZ109" s="2"/>
      <c r="BEA109" s="4"/>
      <c r="BEB109" s="2"/>
      <c r="BEC109" s="3"/>
      <c r="BED109" s="2"/>
      <c r="BEE109" s="2"/>
      <c r="BEF109" s="5"/>
      <c r="BEG109" s="2"/>
      <c r="BEH109" s="4"/>
      <c r="BEI109" s="2"/>
      <c r="BEJ109" s="3"/>
      <c r="BEK109" s="2"/>
      <c r="BEL109" s="2"/>
      <c r="BEM109" s="5"/>
      <c r="BEN109" s="2"/>
      <c r="BEO109" s="4"/>
      <c r="BEP109" s="2"/>
      <c r="BEQ109" s="3"/>
      <c r="BER109" s="2"/>
      <c r="BES109" s="2"/>
      <c r="BET109" s="5"/>
      <c r="BEU109" s="2"/>
      <c r="BEV109" s="4"/>
      <c r="BEW109" s="2"/>
      <c r="BEX109" s="3"/>
      <c r="BEY109" s="2"/>
      <c r="BEZ109" s="2"/>
      <c r="BFA109" s="5"/>
      <c r="BFB109" s="2"/>
      <c r="BFC109" s="4"/>
      <c r="BFD109" s="2"/>
      <c r="BFE109" s="3"/>
      <c r="BFF109" s="2"/>
      <c r="BFG109" s="2"/>
      <c r="BFH109" s="5"/>
      <c r="BFI109" s="2"/>
      <c r="BFJ109" s="4"/>
      <c r="BFK109" s="2"/>
      <c r="BFL109" s="3"/>
      <c r="BFM109" s="2"/>
      <c r="BFN109" s="2"/>
      <c r="BFO109" s="5"/>
      <c r="BFP109" s="2"/>
      <c r="BFQ109" s="4"/>
      <c r="BFR109" s="2"/>
      <c r="BFS109" s="3"/>
      <c r="BFT109" s="2"/>
      <c r="BFU109" s="2"/>
      <c r="BFV109" s="5"/>
      <c r="BFW109" s="2"/>
      <c r="BFX109" s="4"/>
      <c r="BFY109" s="2"/>
      <c r="BFZ109" s="3"/>
      <c r="BGA109" s="2"/>
      <c r="BGB109" s="2"/>
      <c r="BGC109" s="5"/>
      <c r="BGD109" s="2"/>
      <c r="BGE109" s="4"/>
      <c r="BGF109" s="2"/>
      <c r="BGG109" s="3"/>
      <c r="BGH109" s="2"/>
      <c r="BGI109" s="2"/>
      <c r="BGJ109" s="5"/>
      <c r="BGK109" s="2"/>
      <c r="BGL109" s="4"/>
      <c r="BGM109" s="2"/>
      <c r="BGN109" s="3"/>
      <c r="BGO109" s="2"/>
      <c r="BGP109" s="2"/>
      <c r="BGQ109" s="5"/>
      <c r="BGR109" s="2"/>
      <c r="BGS109" s="4"/>
      <c r="BGT109" s="2"/>
      <c r="BGU109" s="3"/>
      <c r="BGV109" s="2"/>
      <c r="BGW109" s="2"/>
      <c r="BGX109" s="5"/>
      <c r="BGY109" s="2"/>
      <c r="BGZ109" s="4"/>
      <c r="BHA109" s="2"/>
      <c r="BHB109" s="3"/>
      <c r="BHC109" s="2"/>
      <c r="BHD109" s="2"/>
      <c r="BHE109" s="5"/>
      <c r="BHF109" s="2"/>
      <c r="BHG109" s="4"/>
      <c r="BHH109" s="2"/>
      <c r="BHI109" s="3"/>
      <c r="BHJ109" s="2"/>
      <c r="BHK109" s="2"/>
      <c r="BHL109" s="5"/>
      <c r="BHM109" s="2"/>
      <c r="BHN109" s="4"/>
      <c r="BHO109" s="2"/>
      <c r="BHP109" s="3"/>
      <c r="BHQ109" s="2"/>
      <c r="BHR109" s="2"/>
      <c r="BHS109" s="5"/>
      <c r="BHT109" s="2"/>
      <c r="BHU109" s="4"/>
      <c r="BHV109" s="2"/>
      <c r="BHW109" s="3"/>
      <c r="BHX109" s="2"/>
      <c r="BHY109" s="2"/>
      <c r="BHZ109" s="5"/>
      <c r="BIA109" s="2"/>
      <c r="BIB109" s="4"/>
      <c r="BIC109" s="2"/>
      <c r="BID109" s="3"/>
      <c r="BIE109" s="2"/>
      <c r="BIF109" s="2"/>
      <c r="BIG109" s="5"/>
      <c r="BIH109" s="2"/>
      <c r="BII109" s="4"/>
      <c r="BIJ109" s="2"/>
      <c r="BIK109" s="3"/>
      <c r="BIL109" s="2"/>
      <c r="BIM109" s="2"/>
      <c r="BIN109" s="5"/>
      <c r="BIO109" s="2"/>
      <c r="BIP109" s="4"/>
      <c r="BIQ109" s="2"/>
      <c r="BIR109" s="3"/>
      <c r="BIS109" s="2"/>
      <c r="BIT109" s="2"/>
      <c r="BIU109" s="5"/>
      <c r="BIV109" s="2"/>
      <c r="BIW109" s="4"/>
      <c r="BIX109" s="2"/>
      <c r="BIY109" s="3"/>
      <c r="BIZ109" s="2"/>
      <c r="BJA109" s="2"/>
      <c r="BJB109" s="5"/>
      <c r="BJC109" s="2"/>
      <c r="BJD109" s="4"/>
      <c r="BJE109" s="2"/>
      <c r="BJF109" s="3"/>
      <c r="BJG109" s="2"/>
      <c r="BJH109" s="2"/>
      <c r="BJI109" s="5"/>
      <c r="BJJ109" s="2"/>
      <c r="BJK109" s="4"/>
      <c r="BJL109" s="2"/>
      <c r="BJM109" s="3"/>
      <c r="BJN109" s="2"/>
      <c r="BJO109" s="2"/>
      <c r="BJP109" s="5"/>
      <c r="BJQ109" s="2"/>
      <c r="BJR109" s="4"/>
      <c r="BJS109" s="2"/>
      <c r="BJT109" s="3"/>
      <c r="BJU109" s="2"/>
      <c r="BJV109" s="2"/>
      <c r="BJW109" s="5"/>
      <c r="BJX109" s="2"/>
      <c r="BJY109" s="4"/>
      <c r="BJZ109" s="2"/>
      <c r="BKA109" s="3"/>
      <c r="BKB109" s="2"/>
      <c r="BKC109" s="2"/>
      <c r="BKD109" s="5"/>
      <c r="BKE109" s="2"/>
      <c r="BKF109" s="4"/>
      <c r="BKG109" s="2"/>
      <c r="BKH109" s="3"/>
      <c r="BKI109" s="2"/>
      <c r="BKJ109" s="2"/>
      <c r="BKK109" s="5"/>
      <c r="BKL109" s="2"/>
      <c r="BKM109" s="4"/>
      <c r="BKN109" s="2"/>
      <c r="BKO109" s="3"/>
      <c r="BKP109" s="2"/>
      <c r="BKQ109" s="2"/>
      <c r="BKR109" s="5"/>
      <c r="BKS109" s="2"/>
      <c r="BKT109" s="4"/>
      <c r="BKU109" s="2"/>
      <c r="BKV109" s="3"/>
      <c r="BKW109" s="2"/>
      <c r="BKX109" s="2"/>
      <c r="BKY109" s="5"/>
      <c r="BKZ109" s="2"/>
      <c r="BLA109" s="4"/>
      <c r="BLB109" s="2"/>
      <c r="BLC109" s="3"/>
      <c r="BLD109" s="2"/>
      <c r="BLE109" s="2"/>
      <c r="BLF109" s="5"/>
      <c r="BLG109" s="2"/>
      <c r="BLH109" s="4"/>
      <c r="BLI109" s="2"/>
      <c r="BLJ109" s="3"/>
      <c r="BLK109" s="2"/>
      <c r="BLL109" s="2"/>
      <c r="BLM109" s="5"/>
      <c r="BLN109" s="2"/>
      <c r="BLO109" s="4"/>
      <c r="BLP109" s="2"/>
      <c r="BLQ109" s="3"/>
      <c r="BLR109" s="2"/>
      <c r="BLS109" s="2"/>
      <c r="BLT109" s="5"/>
      <c r="BLU109" s="2"/>
      <c r="BLV109" s="4"/>
      <c r="BLW109" s="2"/>
      <c r="BLX109" s="3"/>
      <c r="BLY109" s="2"/>
      <c r="BLZ109" s="2"/>
      <c r="BMA109" s="5"/>
      <c r="BMB109" s="2"/>
      <c r="BMC109" s="4"/>
      <c r="BMD109" s="2"/>
      <c r="BME109" s="3"/>
      <c r="BMF109" s="2"/>
      <c r="BMG109" s="2"/>
      <c r="BMH109" s="5"/>
      <c r="BMI109" s="2"/>
      <c r="BMJ109" s="4"/>
      <c r="BMK109" s="2"/>
      <c r="BML109" s="3"/>
      <c r="BMM109" s="2"/>
      <c r="BMN109" s="2"/>
      <c r="BMO109" s="5"/>
      <c r="BMP109" s="2"/>
      <c r="BMQ109" s="4"/>
      <c r="BMR109" s="2"/>
      <c r="BMS109" s="3"/>
      <c r="BMT109" s="2"/>
      <c r="BMU109" s="2"/>
      <c r="BMV109" s="5"/>
      <c r="BMW109" s="2"/>
      <c r="BMX109" s="4"/>
      <c r="BMY109" s="2"/>
      <c r="BMZ109" s="3"/>
      <c r="BNA109" s="2"/>
      <c r="BNB109" s="2"/>
      <c r="BNC109" s="5"/>
      <c r="BND109" s="2"/>
      <c r="BNE109" s="4"/>
      <c r="BNF109" s="2"/>
      <c r="BNG109" s="3"/>
      <c r="BNH109" s="2"/>
      <c r="BNI109" s="2"/>
      <c r="BNJ109" s="5"/>
      <c r="BNK109" s="2"/>
      <c r="BNL109" s="4"/>
      <c r="BNM109" s="2"/>
      <c r="BNN109" s="3"/>
      <c r="BNO109" s="2"/>
      <c r="BNP109" s="2"/>
      <c r="BNQ109" s="5"/>
      <c r="BNR109" s="2"/>
      <c r="BNS109" s="4"/>
      <c r="BNT109" s="2"/>
      <c r="BNU109" s="3"/>
      <c r="BNV109" s="2"/>
      <c r="BNW109" s="2"/>
      <c r="BNX109" s="5"/>
      <c r="BNY109" s="2"/>
      <c r="BNZ109" s="4"/>
      <c r="BOA109" s="2"/>
      <c r="BOB109" s="3"/>
      <c r="BOC109" s="2"/>
      <c r="BOD109" s="2"/>
      <c r="BOE109" s="5"/>
      <c r="BOF109" s="2"/>
      <c r="BOG109" s="4"/>
      <c r="BOH109" s="2"/>
      <c r="BOI109" s="3"/>
      <c r="BOJ109" s="2"/>
      <c r="BOK109" s="2"/>
      <c r="BOL109" s="5"/>
      <c r="BOM109" s="2"/>
      <c r="BON109" s="4"/>
      <c r="BOO109" s="2"/>
      <c r="BOP109" s="3"/>
      <c r="BOQ109" s="2"/>
      <c r="BOR109" s="2"/>
      <c r="BOS109" s="5"/>
      <c r="BOT109" s="2"/>
      <c r="BOU109" s="4"/>
      <c r="BOV109" s="2"/>
      <c r="BOW109" s="3"/>
      <c r="BOX109" s="2"/>
      <c r="BOY109" s="2"/>
      <c r="BOZ109" s="5"/>
      <c r="BPA109" s="2"/>
      <c r="BPB109" s="4"/>
      <c r="BPC109" s="2"/>
      <c r="BPD109" s="3"/>
      <c r="BPE109" s="2"/>
      <c r="BPF109" s="2"/>
      <c r="BPG109" s="5"/>
      <c r="BPH109" s="2"/>
      <c r="BPI109" s="4"/>
      <c r="BPJ109" s="2"/>
      <c r="BPK109" s="3"/>
      <c r="BPL109" s="2"/>
      <c r="BPM109" s="2"/>
      <c r="BPN109" s="5"/>
      <c r="BPO109" s="2"/>
      <c r="BPP109" s="4"/>
      <c r="BPQ109" s="2"/>
      <c r="BPR109" s="3"/>
      <c r="BPS109" s="2"/>
      <c r="BPT109" s="2"/>
      <c r="BPU109" s="5"/>
      <c r="BPV109" s="2"/>
      <c r="BPW109" s="4"/>
      <c r="BPX109" s="2"/>
      <c r="BPY109" s="3"/>
      <c r="BPZ109" s="2"/>
      <c r="BQA109" s="2"/>
      <c r="BQB109" s="5"/>
      <c r="BQC109" s="2"/>
      <c r="BQD109" s="4"/>
      <c r="BQE109" s="2"/>
      <c r="BQF109" s="3"/>
      <c r="BQG109" s="2"/>
      <c r="BQH109" s="2"/>
      <c r="BQI109" s="5"/>
      <c r="BQJ109" s="2"/>
      <c r="BQK109" s="4"/>
      <c r="BQL109" s="2"/>
      <c r="BQM109" s="3"/>
      <c r="BQN109" s="2"/>
      <c r="BQO109" s="2"/>
      <c r="BQP109" s="5"/>
      <c r="BQQ109" s="2"/>
      <c r="BQR109" s="4"/>
      <c r="BQS109" s="2"/>
      <c r="BQT109" s="3"/>
      <c r="BQU109" s="2"/>
      <c r="BQV109" s="2"/>
      <c r="BQW109" s="5"/>
      <c r="BQX109" s="2"/>
      <c r="BQY109" s="4"/>
      <c r="BQZ109" s="2"/>
      <c r="BRA109" s="3"/>
      <c r="BRB109" s="2"/>
      <c r="BRC109" s="2"/>
      <c r="BRD109" s="5"/>
      <c r="BRE109" s="2"/>
      <c r="BRF109" s="4"/>
      <c r="BRG109" s="2"/>
      <c r="BRH109" s="3"/>
      <c r="BRI109" s="2"/>
      <c r="BRJ109" s="2"/>
      <c r="BRK109" s="5"/>
      <c r="BRL109" s="2"/>
      <c r="BRM109" s="4"/>
      <c r="BRN109" s="2"/>
      <c r="BRO109" s="3"/>
      <c r="BRP109" s="2"/>
      <c r="BRQ109" s="2"/>
      <c r="BRR109" s="5"/>
      <c r="BRS109" s="2"/>
      <c r="BRT109" s="4"/>
      <c r="BRU109" s="2"/>
      <c r="BRV109" s="3"/>
      <c r="BRW109" s="2"/>
      <c r="BRX109" s="2"/>
      <c r="BRY109" s="5"/>
      <c r="BRZ109" s="2"/>
      <c r="BSA109" s="4"/>
      <c r="BSB109" s="2"/>
      <c r="BSC109" s="3"/>
      <c r="BSD109" s="2"/>
      <c r="BSE109" s="2"/>
      <c r="BSF109" s="5"/>
      <c r="BSG109" s="2"/>
      <c r="BSH109" s="4"/>
      <c r="BSI109" s="2"/>
      <c r="BSJ109" s="3"/>
      <c r="BSK109" s="2"/>
      <c r="BSL109" s="2"/>
      <c r="BSM109" s="5"/>
      <c r="BSN109" s="2"/>
      <c r="BSO109" s="4"/>
      <c r="BSP109" s="2"/>
      <c r="BSQ109" s="3"/>
      <c r="BSR109" s="2"/>
      <c r="BSS109" s="2"/>
      <c r="BST109" s="5"/>
      <c r="BSU109" s="2"/>
      <c r="BSV109" s="4"/>
      <c r="BSW109" s="2"/>
      <c r="BSX109" s="3"/>
      <c r="BSY109" s="2"/>
      <c r="BSZ109" s="2"/>
      <c r="BTA109" s="5"/>
      <c r="BTB109" s="2"/>
      <c r="BTC109" s="4"/>
      <c r="BTD109" s="2"/>
      <c r="BTE109" s="3"/>
      <c r="BTF109" s="2"/>
      <c r="BTG109" s="2"/>
      <c r="BTH109" s="5"/>
      <c r="BTI109" s="2"/>
      <c r="BTJ109" s="4"/>
      <c r="BTK109" s="2"/>
      <c r="BTL109" s="3"/>
      <c r="BTM109" s="2"/>
      <c r="BTN109" s="2"/>
      <c r="BTO109" s="5"/>
      <c r="BTP109" s="2"/>
      <c r="BTQ109" s="4"/>
      <c r="BTR109" s="2"/>
      <c r="BTS109" s="3"/>
      <c r="BTT109" s="2"/>
      <c r="BTU109" s="2"/>
      <c r="BTV109" s="5"/>
      <c r="BTW109" s="2"/>
      <c r="BTX109" s="4"/>
      <c r="BTY109" s="2"/>
      <c r="BTZ109" s="3"/>
      <c r="BUA109" s="2"/>
      <c r="BUB109" s="2"/>
      <c r="BUC109" s="5"/>
      <c r="BUD109" s="2"/>
      <c r="BUE109" s="4"/>
      <c r="BUF109" s="2"/>
      <c r="BUG109" s="3"/>
      <c r="BUH109" s="2"/>
      <c r="BUI109" s="2"/>
      <c r="BUJ109" s="5"/>
      <c r="BUK109" s="2"/>
      <c r="BUL109" s="4"/>
      <c r="BUM109" s="2"/>
      <c r="BUN109" s="3"/>
      <c r="BUO109" s="2"/>
      <c r="BUP109" s="2"/>
      <c r="BUQ109" s="5"/>
      <c r="BUR109" s="2"/>
      <c r="BUS109" s="4"/>
      <c r="BUT109" s="2"/>
      <c r="BUU109" s="3"/>
      <c r="BUV109" s="2"/>
      <c r="BUW109" s="2"/>
      <c r="BUX109" s="5"/>
      <c r="BUY109" s="2"/>
      <c r="BUZ109" s="4"/>
      <c r="BVA109" s="2"/>
      <c r="BVB109" s="3"/>
      <c r="BVC109" s="2"/>
      <c r="BVD109" s="2"/>
      <c r="BVE109" s="5"/>
      <c r="BVF109" s="2"/>
      <c r="BVG109" s="4"/>
      <c r="BVH109" s="2"/>
      <c r="BVI109" s="3"/>
      <c r="BVJ109" s="2"/>
      <c r="BVK109" s="2"/>
      <c r="BVL109" s="5"/>
      <c r="BVM109" s="2"/>
      <c r="BVN109" s="4"/>
      <c r="BVO109" s="2"/>
      <c r="BVP109" s="3"/>
      <c r="BVQ109" s="2"/>
      <c r="BVR109" s="2"/>
      <c r="BVS109" s="5"/>
      <c r="BVT109" s="2"/>
      <c r="BVU109" s="4"/>
      <c r="BVV109" s="2"/>
      <c r="BVW109" s="3"/>
      <c r="BVX109" s="2"/>
      <c r="BVY109" s="2"/>
      <c r="BVZ109" s="5"/>
      <c r="BWA109" s="2"/>
      <c r="BWB109" s="4"/>
      <c r="BWC109" s="2"/>
      <c r="BWD109" s="3"/>
      <c r="BWE109" s="2"/>
      <c r="BWF109" s="2"/>
      <c r="BWG109" s="5"/>
      <c r="BWH109" s="2"/>
      <c r="BWI109" s="4"/>
      <c r="BWJ109" s="2"/>
      <c r="BWK109" s="3"/>
      <c r="BWL109" s="2"/>
      <c r="BWM109" s="2"/>
      <c r="BWN109" s="5"/>
      <c r="BWO109" s="2"/>
      <c r="BWP109" s="4"/>
      <c r="BWQ109" s="2"/>
      <c r="BWR109" s="3"/>
      <c r="BWS109" s="2"/>
      <c r="BWT109" s="2"/>
      <c r="BWU109" s="5"/>
      <c r="BWV109" s="2"/>
      <c r="BWW109" s="4"/>
      <c r="BWX109" s="2"/>
      <c r="BWY109" s="3"/>
      <c r="BWZ109" s="2"/>
      <c r="BXA109" s="2"/>
      <c r="BXB109" s="5"/>
      <c r="BXC109" s="2"/>
      <c r="BXD109" s="4"/>
      <c r="BXE109" s="2"/>
      <c r="BXF109" s="3"/>
      <c r="BXG109" s="2"/>
      <c r="BXH109" s="2"/>
      <c r="BXI109" s="5"/>
      <c r="BXJ109" s="2"/>
      <c r="BXK109" s="4"/>
      <c r="BXL109" s="2"/>
      <c r="BXM109" s="3"/>
      <c r="BXN109" s="2"/>
      <c r="BXO109" s="2"/>
      <c r="BXP109" s="5"/>
      <c r="BXQ109" s="2"/>
      <c r="BXR109" s="4"/>
      <c r="BXS109" s="2"/>
      <c r="BXT109" s="3"/>
      <c r="BXU109" s="2"/>
      <c r="BXV109" s="2"/>
      <c r="BXW109" s="5"/>
      <c r="BXX109" s="2"/>
      <c r="BXY109" s="4"/>
      <c r="BXZ109" s="2"/>
      <c r="BYA109" s="3"/>
      <c r="BYB109" s="2"/>
      <c r="BYC109" s="2"/>
      <c r="BYD109" s="5"/>
      <c r="BYE109" s="2"/>
      <c r="BYF109" s="4"/>
      <c r="BYG109" s="2"/>
      <c r="BYH109" s="3"/>
      <c r="BYI109" s="2"/>
      <c r="BYJ109" s="2"/>
      <c r="BYK109" s="5"/>
      <c r="BYL109" s="2"/>
      <c r="BYM109" s="4"/>
      <c r="BYN109" s="2"/>
      <c r="BYO109" s="3"/>
      <c r="BYP109" s="2"/>
      <c r="BYQ109" s="2"/>
      <c r="BYR109" s="5"/>
      <c r="BYS109" s="2"/>
      <c r="BYT109" s="4"/>
      <c r="BYU109" s="2"/>
      <c r="BYV109" s="3"/>
      <c r="BYW109" s="2"/>
      <c r="BYX109" s="2"/>
      <c r="BYY109" s="5"/>
      <c r="BYZ109" s="2"/>
      <c r="BZA109" s="4"/>
      <c r="BZB109" s="2"/>
      <c r="BZC109" s="3"/>
      <c r="BZD109" s="2"/>
      <c r="BZE109" s="2"/>
      <c r="BZF109" s="5"/>
      <c r="BZG109" s="2"/>
      <c r="BZH109" s="4"/>
      <c r="BZI109" s="2"/>
      <c r="BZJ109" s="3"/>
      <c r="BZK109" s="2"/>
      <c r="BZL109" s="2"/>
      <c r="BZM109" s="5"/>
      <c r="BZN109" s="2"/>
      <c r="BZO109" s="4"/>
      <c r="BZP109" s="2"/>
      <c r="BZQ109" s="3"/>
      <c r="BZR109" s="2"/>
      <c r="BZS109" s="2"/>
      <c r="BZT109" s="5"/>
      <c r="BZU109" s="2"/>
      <c r="BZV109" s="4"/>
      <c r="BZW109" s="2"/>
      <c r="BZX109" s="3"/>
      <c r="BZY109" s="2"/>
      <c r="BZZ109" s="2"/>
      <c r="CAA109" s="5"/>
      <c r="CAB109" s="2"/>
      <c r="CAC109" s="4"/>
      <c r="CAD109" s="2"/>
      <c r="CAE109" s="3"/>
      <c r="CAF109" s="2"/>
      <c r="CAG109" s="2"/>
      <c r="CAH109" s="5"/>
      <c r="CAI109" s="2"/>
      <c r="CAJ109" s="4"/>
      <c r="CAK109" s="2"/>
      <c r="CAL109" s="3"/>
      <c r="CAM109" s="2"/>
      <c r="CAN109" s="2"/>
      <c r="CAO109" s="5"/>
      <c r="CAP109" s="2"/>
      <c r="CAQ109" s="4"/>
      <c r="CAR109" s="2"/>
      <c r="CAS109" s="3"/>
      <c r="CAT109" s="2"/>
      <c r="CAU109" s="2"/>
      <c r="CAV109" s="5"/>
      <c r="CAW109" s="2"/>
      <c r="CAX109" s="4"/>
      <c r="CAY109" s="2"/>
      <c r="CAZ109" s="3"/>
      <c r="CBA109" s="2"/>
      <c r="CBB109" s="2"/>
      <c r="CBC109" s="5"/>
      <c r="CBD109" s="2"/>
      <c r="CBE109" s="4"/>
      <c r="CBF109" s="2"/>
      <c r="CBG109" s="3"/>
      <c r="CBH109" s="2"/>
      <c r="CBI109" s="2"/>
      <c r="CBJ109" s="5"/>
      <c r="CBK109" s="2"/>
      <c r="CBL109" s="4"/>
      <c r="CBM109" s="2"/>
      <c r="CBN109" s="3"/>
      <c r="CBO109" s="2"/>
      <c r="CBP109" s="2"/>
      <c r="CBQ109" s="5"/>
      <c r="CBR109" s="2"/>
      <c r="CBS109" s="4"/>
      <c r="CBT109" s="2"/>
      <c r="CBU109" s="3"/>
      <c r="CBV109" s="2"/>
      <c r="CBW109" s="2"/>
      <c r="CBX109" s="5"/>
      <c r="CBY109" s="2"/>
      <c r="CBZ109" s="4"/>
      <c r="CCA109" s="2"/>
      <c r="CCB109" s="3"/>
      <c r="CCC109" s="2"/>
      <c r="CCD109" s="2"/>
      <c r="CCE109" s="5"/>
      <c r="CCF109" s="2"/>
      <c r="CCG109" s="4"/>
      <c r="CCH109" s="2"/>
      <c r="CCI109" s="3"/>
      <c r="CCJ109" s="2"/>
      <c r="CCK109" s="2"/>
      <c r="CCL109" s="5"/>
      <c r="CCM109" s="2"/>
      <c r="CCN109" s="4"/>
      <c r="CCO109" s="2"/>
      <c r="CCP109" s="3"/>
      <c r="CCQ109" s="2"/>
      <c r="CCR109" s="2"/>
      <c r="CCS109" s="5"/>
      <c r="CCT109" s="2"/>
      <c r="CCU109" s="4"/>
      <c r="CCV109" s="2"/>
      <c r="CCW109" s="3"/>
      <c r="CCX109" s="2"/>
      <c r="CCY109" s="2"/>
      <c r="CCZ109" s="5"/>
      <c r="CDA109" s="2"/>
      <c r="CDB109" s="4"/>
      <c r="CDC109" s="2"/>
      <c r="CDD109" s="3"/>
      <c r="CDE109" s="2"/>
      <c r="CDF109" s="2"/>
      <c r="CDG109" s="5"/>
      <c r="CDH109" s="2"/>
      <c r="CDI109" s="4"/>
      <c r="CDJ109" s="2"/>
      <c r="CDK109" s="3"/>
      <c r="CDL109" s="2"/>
      <c r="CDM109" s="2"/>
      <c r="CDN109" s="5"/>
      <c r="CDO109" s="2"/>
      <c r="CDP109" s="4"/>
      <c r="CDQ109" s="2"/>
      <c r="CDR109" s="3"/>
      <c r="CDS109" s="2"/>
      <c r="CDT109" s="2"/>
      <c r="CDU109" s="5"/>
      <c r="CDV109" s="2"/>
      <c r="CDW109" s="4"/>
      <c r="CDX109" s="2"/>
      <c r="CDY109" s="3"/>
      <c r="CDZ109" s="2"/>
      <c r="CEA109" s="2"/>
      <c r="CEB109" s="5"/>
      <c r="CEC109" s="2"/>
      <c r="CED109" s="4"/>
      <c r="CEE109" s="2"/>
      <c r="CEF109" s="3"/>
      <c r="CEG109" s="2"/>
      <c r="CEH109" s="2"/>
      <c r="CEI109" s="5"/>
      <c r="CEJ109" s="2"/>
      <c r="CEK109" s="4"/>
      <c r="CEL109" s="2"/>
      <c r="CEM109" s="3"/>
      <c r="CEN109" s="2"/>
      <c r="CEO109" s="2"/>
      <c r="CEP109" s="5"/>
      <c r="CEQ109" s="2"/>
      <c r="CER109" s="4"/>
      <c r="CES109" s="2"/>
      <c r="CET109" s="3"/>
      <c r="CEU109" s="2"/>
      <c r="CEV109" s="2"/>
      <c r="CEW109" s="5"/>
      <c r="CEX109" s="2"/>
      <c r="CEY109" s="4"/>
      <c r="CEZ109" s="2"/>
      <c r="CFA109" s="3"/>
      <c r="CFB109" s="2"/>
      <c r="CFC109" s="2"/>
      <c r="CFD109" s="5"/>
      <c r="CFE109" s="2"/>
      <c r="CFF109" s="4"/>
      <c r="CFG109" s="2"/>
      <c r="CFH109" s="3"/>
      <c r="CFI109" s="2"/>
      <c r="CFJ109" s="2"/>
      <c r="CFK109" s="5"/>
      <c r="CFL109" s="2"/>
      <c r="CFM109" s="4"/>
      <c r="CFN109" s="2"/>
      <c r="CFO109" s="3"/>
      <c r="CFP109" s="2"/>
      <c r="CFQ109" s="2"/>
      <c r="CFR109" s="5"/>
      <c r="CFS109" s="2"/>
      <c r="CFT109" s="4"/>
      <c r="CFU109" s="2"/>
      <c r="CFV109" s="3"/>
      <c r="CFW109" s="2"/>
      <c r="CFX109" s="2"/>
      <c r="CFY109" s="5"/>
      <c r="CFZ109" s="2"/>
      <c r="CGA109" s="4"/>
      <c r="CGB109" s="2"/>
      <c r="CGC109" s="3"/>
      <c r="CGD109" s="2"/>
      <c r="CGE109" s="2"/>
      <c r="CGF109" s="5"/>
      <c r="CGG109" s="2"/>
      <c r="CGH109" s="4"/>
      <c r="CGI109" s="2"/>
      <c r="CGJ109" s="3"/>
      <c r="CGK109" s="2"/>
      <c r="CGL109" s="2"/>
      <c r="CGM109" s="5"/>
      <c r="CGN109" s="2"/>
      <c r="CGO109" s="4"/>
      <c r="CGP109" s="2"/>
      <c r="CGQ109" s="3"/>
      <c r="CGR109" s="2"/>
      <c r="CGS109" s="2"/>
      <c r="CGT109" s="5"/>
      <c r="CGU109" s="2"/>
      <c r="CGV109" s="4"/>
      <c r="CGW109" s="2"/>
      <c r="CGX109" s="3"/>
      <c r="CGY109" s="2"/>
      <c r="CGZ109" s="2"/>
      <c r="CHA109" s="5"/>
      <c r="CHB109" s="2"/>
      <c r="CHC109" s="4"/>
      <c r="CHD109" s="2"/>
      <c r="CHE109" s="3"/>
      <c r="CHF109" s="2"/>
      <c r="CHG109" s="2"/>
      <c r="CHH109" s="5"/>
      <c r="CHI109" s="2"/>
      <c r="CHJ109" s="4"/>
      <c r="CHK109" s="2"/>
      <c r="CHL109" s="3"/>
      <c r="CHM109" s="2"/>
      <c r="CHN109" s="2"/>
      <c r="CHO109" s="5"/>
      <c r="CHP109" s="2"/>
      <c r="CHQ109" s="4"/>
      <c r="CHR109" s="2"/>
      <c r="CHS109" s="3"/>
      <c r="CHT109" s="2"/>
      <c r="CHU109" s="2"/>
      <c r="CHV109" s="5"/>
      <c r="CHW109" s="2"/>
      <c r="CHX109" s="4"/>
      <c r="CHY109" s="2"/>
      <c r="CHZ109" s="3"/>
      <c r="CIA109" s="2"/>
      <c r="CIB109" s="2"/>
      <c r="CIC109" s="5"/>
      <c r="CID109" s="2"/>
      <c r="CIE109" s="4"/>
      <c r="CIF109" s="2"/>
      <c r="CIG109" s="3"/>
      <c r="CIH109" s="2"/>
      <c r="CII109" s="2"/>
      <c r="CIJ109" s="5"/>
      <c r="CIK109" s="2"/>
      <c r="CIL109" s="4"/>
      <c r="CIM109" s="2"/>
      <c r="CIN109" s="3"/>
      <c r="CIO109" s="2"/>
      <c r="CIP109" s="2"/>
      <c r="CIQ109" s="5"/>
      <c r="CIR109" s="2"/>
      <c r="CIS109" s="4"/>
      <c r="CIT109" s="2"/>
      <c r="CIU109" s="3"/>
      <c r="CIV109" s="2"/>
      <c r="CIW109" s="2"/>
      <c r="CIX109" s="5"/>
      <c r="CIY109" s="2"/>
      <c r="CIZ109" s="4"/>
      <c r="CJA109" s="2"/>
      <c r="CJB109" s="3"/>
      <c r="CJC109" s="2"/>
      <c r="CJD109" s="2"/>
      <c r="CJE109" s="5"/>
      <c r="CJF109" s="2"/>
      <c r="CJG109" s="4"/>
      <c r="CJH109" s="2"/>
      <c r="CJI109" s="3"/>
      <c r="CJJ109" s="2"/>
      <c r="CJK109" s="2"/>
      <c r="CJL109" s="5"/>
      <c r="CJM109" s="2"/>
      <c r="CJN109" s="4"/>
      <c r="CJO109" s="2"/>
      <c r="CJP109" s="3"/>
      <c r="CJQ109" s="2"/>
      <c r="CJR109" s="2"/>
      <c r="CJS109" s="5"/>
      <c r="CJT109" s="2"/>
      <c r="CJU109" s="4"/>
      <c r="CJV109" s="2"/>
      <c r="CJW109" s="3"/>
      <c r="CJX109" s="2"/>
      <c r="CJY109" s="2"/>
      <c r="CJZ109" s="5"/>
      <c r="CKA109" s="2"/>
      <c r="CKB109" s="4"/>
      <c r="CKC109" s="2"/>
      <c r="CKD109" s="3"/>
      <c r="CKE109" s="2"/>
      <c r="CKF109" s="2"/>
      <c r="CKG109" s="5"/>
      <c r="CKH109" s="2"/>
      <c r="CKI109" s="4"/>
      <c r="CKJ109" s="2"/>
      <c r="CKK109" s="3"/>
      <c r="CKL109" s="2"/>
      <c r="CKM109" s="2"/>
      <c r="CKN109" s="5"/>
      <c r="CKO109" s="2"/>
      <c r="CKP109" s="4"/>
      <c r="CKQ109" s="2"/>
      <c r="CKR109" s="3"/>
      <c r="CKS109" s="2"/>
      <c r="CKT109" s="2"/>
      <c r="CKU109" s="5"/>
      <c r="CKV109" s="2"/>
      <c r="CKW109" s="4"/>
      <c r="CKX109" s="2"/>
      <c r="CKY109" s="3"/>
      <c r="CKZ109" s="2"/>
      <c r="CLA109" s="2"/>
      <c r="CLB109" s="5"/>
      <c r="CLC109" s="2"/>
      <c r="CLD109" s="4"/>
      <c r="CLE109" s="2"/>
      <c r="CLF109" s="3"/>
      <c r="CLG109" s="2"/>
      <c r="CLH109" s="2"/>
      <c r="CLI109" s="5"/>
      <c r="CLJ109" s="2"/>
      <c r="CLK109" s="4"/>
      <c r="CLL109" s="2"/>
      <c r="CLM109" s="3"/>
      <c r="CLN109" s="2"/>
      <c r="CLO109" s="2"/>
      <c r="CLP109" s="5"/>
      <c r="CLQ109" s="2"/>
      <c r="CLR109" s="4"/>
      <c r="CLS109" s="2"/>
      <c r="CLT109" s="3"/>
      <c r="CLU109" s="2"/>
      <c r="CLV109" s="2"/>
      <c r="CLW109" s="5"/>
      <c r="CLX109" s="2"/>
      <c r="CLY109" s="4"/>
      <c r="CLZ109" s="2"/>
      <c r="CMA109" s="3"/>
      <c r="CMB109" s="2"/>
      <c r="CMC109" s="2"/>
      <c r="CMD109" s="5"/>
      <c r="CME109" s="2"/>
      <c r="CMF109" s="4"/>
      <c r="CMG109" s="2"/>
      <c r="CMH109" s="3"/>
      <c r="CMI109" s="2"/>
      <c r="CMJ109" s="2"/>
      <c r="CMK109" s="5"/>
      <c r="CML109" s="2"/>
      <c r="CMM109" s="4"/>
      <c r="CMN109" s="2"/>
      <c r="CMO109" s="3"/>
      <c r="CMP109" s="2"/>
      <c r="CMQ109" s="2"/>
      <c r="CMR109" s="5"/>
      <c r="CMS109" s="2"/>
      <c r="CMT109" s="4"/>
      <c r="CMU109" s="2"/>
      <c r="CMV109" s="3"/>
      <c r="CMW109" s="2"/>
      <c r="CMX109" s="2"/>
      <c r="CMY109" s="5"/>
      <c r="CMZ109" s="2"/>
      <c r="CNA109" s="4"/>
      <c r="CNB109" s="2"/>
      <c r="CNC109" s="3"/>
      <c r="CND109" s="2"/>
      <c r="CNE109" s="2"/>
      <c r="CNF109" s="5"/>
      <c r="CNG109" s="2"/>
      <c r="CNH109" s="4"/>
      <c r="CNI109" s="2"/>
      <c r="CNJ109" s="3"/>
      <c r="CNK109" s="2"/>
      <c r="CNL109" s="2"/>
      <c r="CNM109" s="5"/>
      <c r="CNN109" s="2"/>
      <c r="CNO109" s="4"/>
      <c r="CNP109" s="2"/>
      <c r="CNQ109" s="3"/>
      <c r="CNR109" s="2"/>
      <c r="CNS109" s="2"/>
      <c r="CNT109" s="5"/>
      <c r="CNU109" s="2"/>
      <c r="CNV109" s="4"/>
      <c r="CNW109" s="2"/>
      <c r="CNX109" s="3"/>
      <c r="CNY109" s="2"/>
      <c r="CNZ109" s="2"/>
      <c r="COA109" s="5"/>
      <c r="COB109" s="2"/>
      <c r="COC109" s="4"/>
      <c r="COD109" s="2"/>
      <c r="COE109" s="3"/>
      <c r="COF109" s="2"/>
      <c r="COG109" s="2"/>
      <c r="COH109" s="5"/>
      <c r="COI109" s="2"/>
      <c r="COJ109" s="4"/>
      <c r="COK109" s="2"/>
      <c r="COL109" s="3"/>
      <c r="COM109" s="2"/>
      <c r="CON109" s="2"/>
      <c r="COO109" s="5"/>
      <c r="COP109" s="2"/>
      <c r="COQ109" s="4"/>
      <c r="COR109" s="2"/>
      <c r="COS109" s="3"/>
      <c r="COT109" s="2"/>
      <c r="COU109" s="2"/>
      <c r="COV109" s="5"/>
      <c r="COW109" s="2"/>
      <c r="COX109" s="4"/>
      <c r="COY109" s="2"/>
      <c r="COZ109" s="3"/>
      <c r="CPA109" s="2"/>
      <c r="CPB109" s="2"/>
      <c r="CPC109" s="5"/>
      <c r="CPD109" s="2"/>
      <c r="CPE109" s="4"/>
      <c r="CPF109" s="2"/>
      <c r="CPG109" s="3"/>
      <c r="CPH109" s="2"/>
      <c r="CPI109" s="2"/>
      <c r="CPJ109" s="5"/>
      <c r="CPK109" s="2"/>
      <c r="CPL109" s="4"/>
      <c r="CPM109" s="2"/>
      <c r="CPN109" s="3"/>
      <c r="CPO109" s="2"/>
      <c r="CPP109" s="2"/>
      <c r="CPQ109" s="5"/>
      <c r="CPR109" s="2"/>
      <c r="CPS109" s="4"/>
      <c r="CPT109" s="2"/>
      <c r="CPU109" s="3"/>
      <c r="CPV109" s="2"/>
      <c r="CPW109" s="2"/>
      <c r="CPX109" s="5"/>
      <c r="CPY109" s="2"/>
      <c r="CPZ109" s="4"/>
      <c r="CQA109" s="2"/>
      <c r="CQB109" s="3"/>
      <c r="CQC109" s="2"/>
      <c r="CQD109" s="2"/>
      <c r="CQE109" s="5"/>
      <c r="CQF109" s="2"/>
      <c r="CQG109" s="4"/>
      <c r="CQH109" s="2"/>
      <c r="CQI109" s="3"/>
      <c r="CQJ109" s="2"/>
      <c r="CQK109" s="2"/>
      <c r="CQL109" s="5"/>
      <c r="CQM109" s="2"/>
      <c r="CQN109" s="4"/>
      <c r="CQO109" s="2"/>
      <c r="CQP109" s="3"/>
      <c r="CQQ109" s="2"/>
      <c r="CQR109" s="2"/>
      <c r="CQS109" s="5"/>
      <c r="CQT109" s="2"/>
      <c r="CQU109" s="4"/>
      <c r="CQV109" s="2"/>
      <c r="CQW109" s="3"/>
      <c r="CQX109" s="2"/>
      <c r="CQY109" s="2"/>
      <c r="CQZ109" s="5"/>
      <c r="CRA109" s="2"/>
      <c r="CRB109" s="4"/>
      <c r="CRC109" s="2"/>
      <c r="CRD109" s="3"/>
      <c r="CRE109" s="2"/>
      <c r="CRF109" s="2"/>
      <c r="CRG109" s="5"/>
      <c r="CRH109" s="2"/>
      <c r="CRI109" s="4"/>
      <c r="CRJ109" s="2"/>
      <c r="CRK109" s="3"/>
      <c r="CRL109" s="2"/>
      <c r="CRM109" s="2"/>
      <c r="CRN109" s="5"/>
      <c r="CRO109" s="2"/>
      <c r="CRP109" s="4"/>
      <c r="CRQ109" s="2"/>
      <c r="CRR109" s="3"/>
      <c r="CRS109" s="2"/>
      <c r="CRT109" s="2"/>
      <c r="CRU109" s="5"/>
      <c r="CRV109" s="2"/>
      <c r="CRW109" s="4"/>
      <c r="CRX109" s="2"/>
      <c r="CRY109" s="3"/>
      <c r="CRZ109" s="2"/>
      <c r="CSA109" s="2"/>
      <c r="CSB109" s="5"/>
      <c r="CSC109" s="2"/>
      <c r="CSD109" s="4"/>
      <c r="CSE109" s="2"/>
      <c r="CSF109" s="3"/>
      <c r="CSG109" s="2"/>
      <c r="CSH109" s="2"/>
      <c r="CSI109" s="5"/>
      <c r="CSJ109" s="2"/>
      <c r="CSK109" s="4"/>
      <c r="CSL109" s="2"/>
      <c r="CSM109" s="3"/>
      <c r="CSN109" s="2"/>
      <c r="CSO109" s="2"/>
      <c r="CSP109" s="5"/>
      <c r="CSQ109" s="2"/>
      <c r="CSR109" s="4"/>
      <c r="CSS109" s="2"/>
      <c r="CST109" s="3"/>
      <c r="CSU109" s="2"/>
      <c r="CSV109" s="2"/>
      <c r="CSW109" s="5"/>
      <c r="CSX109" s="2"/>
      <c r="CSY109" s="4"/>
      <c r="CSZ109" s="2"/>
      <c r="CTA109" s="3"/>
      <c r="CTB109" s="2"/>
      <c r="CTC109" s="2"/>
      <c r="CTD109" s="5"/>
      <c r="CTE109" s="2"/>
      <c r="CTF109" s="4"/>
      <c r="CTG109" s="2"/>
      <c r="CTH109" s="3"/>
      <c r="CTI109" s="2"/>
      <c r="CTJ109" s="2"/>
      <c r="CTK109" s="5"/>
      <c r="CTL109" s="2"/>
      <c r="CTM109" s="4"/>
      <c r="CTN109" s="2"/>
      <c r="CTO109" s="3"/>
      <c r="CTP109" s="2"/>
      <c r="CTQ109" s="2"/>
      <c r="CTR109" s="5"/>
      <c r="CTS109" s="2"/>
      <c r="CTT109" s="4"/>
      <c r="CTU109" s="2"/>
      <c r="CTV109" s="3"/>
      <c r="CTW109" s="2"/>
      <c r="CTX109" s="2"/>
      <c r="CTY109" s="5"/>
      <c r="CTZ109" s="2"/>
      <c r="CUA109" s="4"/>
      <c r="CUB109" s="2"/>
      <c r="CUC109" s="3"/>
      <c r="CUD109" s="2"/>
      <c r="CUE109" s="2"/>
      <c r="CUF109" s="5"/>
      <c r="CUG109" s="2"/>
      <c r="CUH109" s="4"/>
      <c r="CUI109" s="2"/>
      <c r="CUJ109" s="3"/>
      <c r="CUK109" s="2"/>
      <c r="CUL109" s="2"/>
      <c r="CUM109" s="5"/>
      <c r="CUN109" s="2"/>
      <c r="CUO109" s="4"/>
      <c r="CUP109" s="2"/>
      <c r="CUQ109" s="3"/>
      <c r="CUR109" s="2"/>
      <c r="CUS109" s="2"/>
      <c r="CUT109" s="5"/>
      <c r="CUU109" s="2"/>
      <c r="CUV109" s="4"/>
      <c r="CUW109" s="2"/>
      <c r="CUX109" s="3"/>
      <c r="CUY109" s="2"/>
      <c r="CUZ109" s="2"/>
      <c r="CVA109" s="5"/>
      <c r="CVB109" s="2"/>
      <c r="CVC109" s="4"/>
      <c r="CVD109" s="2"/>
      <c r="CVE109" s="3"/>
      <c r="CVF109" s="2"/>
      <c r="CVG109" s="2"/>
      <c r="CVH109" s="5"/>
      <c r="CVI109" s="2"/>
      <c r="CVJ109" s="4"/>
      <c r="CVK109" s="2"/>
      <c r="CVL109" s="3"/>
      <c r="CVM109" s="2"/>
      <c r="CVN109" s="2"/>
      <c r="CVO109" s="5"/>
      <c r="CVP109" s="2"/>
      <c r="CVQ109" s="4"/>
      <c r="CVR109" s="2"/>
      <c r="CVS109" s="3"/>
      <c r="CVT109" s="2"/>
      <c r="CVU109" s="2"/>
      <c r="CVV109" s="5"/>
      <c r="CVW109" s="2"/>
      <c r="CVX109" s="4"/>
      <c r="CVY109" s="2"/>
      <c r="CVZ109" s="3"/>
      <c r="CWA109" s="2"/>
      <c r="CWB109" s="2"/>
      <c r="CWC109" s="5"/>
      <c r="CWD109" s="2"/>
      <c r="CWE109" s="4"/>
      <c r="CWF109" s="2"/>
      <c r="CWG109" s="3"/>
      <c r="CWH109" s="2"/>
      <c r="CWI109" s="2"/>
      <c r="CWJ109" s="5"/>
      <c r="CWK109" s="2"/>
      <c r="CWL109" s="4"/>
      <c r="CWM109" s="2"/>
      <c r="CWN109" s="3"/>
      <c r="CWO109" s="2"/>
      <c r="CWP109" s="2"/>
      <c r="CWQ109" s="5"/>
      <c r="CWR109" s="2"/>
      <c r="CWS109" s="4"/>
      <c r="CWT109" s="2"/>
      <c r="CWU109" s="3"/>
      <c r="CWV109" s="2"/>
      <c r="CWW109" s="2"/>
      <c r="CWX109" s="5"/>
      <c r="CWY109" s="2"/>
      <c r="CWZ109" s="4"/>
      <c r="CXA109" s="2"/>
      <c r="CXB109" s="3"/>
      <c r="CXC109" s="2"/>
      <c r="CXD109" s="2"/>
      <c r="CXE109" s="5"/>
      <c r="CXF109" s="2"/>
      <c r="CXG109" s="4"/>
      <c r="CXH109" s="2"/>
      <c r="CXI109" s="3"/>
      <c r="CXJ109" s="2"/>
      <c r="CXK109" s="2"/>
      <c r="CXL109" s="5"/>
      <c r="CXM109" s="2"/>
      <c r="CXN109" s="4"/>
      <c r="CXO109" s="2"/>
      <c r="CXP109" s="3"/>
      <c r="CXQ109" s="2"/>
      <c r="CXR109" s="2"/>
      <c r="CXS109" s="5"/>
      <c r="CXT109" s="2"/>
      <c r="CXU109" s="4"/>
      <c r="CXV109" s="2"/>
      <c r="CXW109" s="3"/>
      <c r="CXX109" s="2"/>
      <c r="CXY109" s="2"/>
      <c r="CXZ109" s="5"/>
      <c r="CYA109" s="2"/>
      <c r="CYB109" s="4"/>
      <c r="CYC109" s="2"/>
      <c r="CYD109" s="3"/>
      <c r="CYE109" s="2"/>
      <c r="CYF109" s="2"/>
      <c r="CYG109" s="5"/>
      <c r="CYH109" s="2"/>
      <c r="CYI109" s="4"/>
      <c r="CYJ109" s="2"/>
      <c r="CYK109" s="3"/>
      <c r="CYL109" s="2"/>
      <c r="CYM109" s="2"/>
      <c r="CYN109" s="5"/>
      <c r="CYO109" s="2"/>
      <c r="CYP109" s="4"/>
      <c r="CYQ109" s="2"/>
      <c r="CYR109" s="3"/>
      <c r="CYS109" s="2"/>
      <c r="CYT109" s="2"/>
      <c r="CYU109" s="5"/>
      <c r="CYV109" s="2"/>
      <c r="CYW109" s="4"/>
      <c r="CYX109" s="2"/>
      <c r="CYY109" s="3"/>
      <c r="CYZ109" s="2"/>
      <c r="CZA109" s="2"/>
      <c r="CZB109" s="5"/>
      <c r="CZC109" s="2"/>
      <c r="CZD109" s="4"/>
      <c r="CZE109" s="2"/>
      <c r="CZF109" s="3"/>
      <c r="CZG109" s="2"/>
      <c r="CZH109" s="2"/>
      <c r="CZI109" s="5"/>
      <c r="CZJ109" s="2"/>
      <c r="CZK109" s="4"/>
      <c r="CZL109" s="2"/>
      <c r="CZM109" s="3"/>
      <c r="CZN109" s="2"/>
      <c r="CZO109" s="2"/>
      <c r="CZP109" s="5"/>
      <c r="CZQ109" s="2"/>
      <c r="CZR109" s="4"/>
      <c r="CZS109" s="2"/>
      <c r="CZT109" s="3"/>
      <c r="CZU109" s="2"/>
      <c r="CZV109" s="2"/>
      <c r="CZW109" s="5"/>
      <c r="CZX109" s="2"/>
      <c r="CZY109" s="4"/>
      <c r="CZZ109" s="2"/>
      <c r="DAA109" s="3"/>
      <c r="DAB109" s="2"/>
      <c r="DAC109" s="2"/>
      <c r="DAD109" s="5"/>
      <c r="DAE109" s="2"/>
      <c r="DAF109" s="4"/>
      <c r="DAG109" s="2"/>
      <c r="DAH109" s="3"/>
      <c r="DAI109" s="2"/>
      <c r="DAJ109" s="2"/>
      <c r="DAK109" s="5"/>
      <c r="DAL109" s="2"/>
      <c r="DAM109" s="4"/>
      <c r="DAN109" s="2"/>
      <c r="DAO109" s="3"/>
      <c r="DAP109" s="2"/>
      <c r="DAQ109" s="2"/>
      <c r="DAR109" s="5"/>
      <c r="DAS109" s="2"/>
      <c r="DAT109" s="4"/>
      <c r="DAU109" s="2"/>
      <c r="DAV109" s="3"/>
      <c r="DAW109" s="2"/>
      <c r="DAX109" s="2"/>
      <c r="DAY109" s="5"/>
      <c r="DAZ109" s="2"/>
      <c r="DBA109" s="4"/>
      <c r="DBB109" s="2"/>
      <c r="DBC109" s="3"/>
      <c r="DBD109" s="2"/>
      <c r="DBE109" s="2"/>
      <c r="DBF109" s="5"/>
      <c r="DBG109" s="2"/>
      <c r="DBH109" s="4"/>
      <c r="DBI109" s="2"/>
      <c r="DBJ109" s="3"/>
      <c r="DBK109" s="2"/>
      <c r="DBL109" s="2"/>
      <c r="DBM109" s="5"/>
      <c r="DBN109" s="2"/>
      <c r="DBO109" s="4"/>
      <c r="DBP109" s="2"/>
      <c r="DBQ109" s="3"/>
      <c r="DBR109" s="2"/>
      <c r="DBS109" s="2"/>
      <c r="DBT109" s="5"/>
      <c r="DBU109" s="2"/>
      <c r="DBV109" s="4"/>
      <c r="DBW109" s="2"/>
      <c r="DBX109" s="3"/>
      <c r="DBY109" s="2"/>
      <c r="DBZ109" s="2"/>
      <c r="DCA109" s="5"/>
      <c r="DCB109" s="2"/>
      <c r="DCC109" s="4"/>
      <c r="DCD109" s="2"/>
      <c r="DCE109" s="3"/>
      <c r="DCF109" s="2"/>
      <c r="DCG109" s="2"/>
      <c r="DCH109" s="5"/>
      <c r="DCI109" s="2"/>
      <c r="DCJ109" s="4"/>
      <c r="DCK109" s="2"/>
      <c r="DCL109" s="3"/>
      <c r="DCM109" s="2"/>
      <c r="DCN109" s="2"/>
      <c r="DCO109" s="5"/>
      <c r="DCP109" s="2"/>
      <c r="DCQ109" s="4"/>
      <c r="DCR109" s="2"/>
      <c r="DCS109" s="3"/>
      <c r="DCT109" s="2"/>
      <c r="DCU109" s="2"/>
      <c r="DCV109" s="5"/>
      <c r="DCW109" s="2"/>
      <c r="DCX109" s="4"/>
      <c r="DCY109" s="2"/>
      <c r="DCZ109" s="3"/>
      <c r="DDA109" s="2"/>
      <c r="DDB109" s="2"/>
      <c r="DDC109" s="5"/>
      <c r="DDD109" s="2"/>
      <c r="DDE109" s="4"/>
      <c r="DDF109" s="2"/>
      <c r="DDG109" s="3"/>
      <c r="DDH109" s="2"/>
      <c r="DDI109" s="2"/>
      <c r="DDJ109" s="5"/>
      <c r="DDK109" s="2"/>
      <c r="DDL109" s="4"/>
      <c r="DDM109" s="2"/>
      <c r="DDN109" s="3"/>
      <c r="DDO109" s="2"/>
      <c r="DDP109" s="2"/>
      <c r="DDQ109" s="5"/>
      <c r="DDR109" s="2"/>
      <c r="DDS109" s="4"/>
      <c r="DDT109" s="2"/>
      <c r="DDU109" s="3"/>
      <c r="DDV109" s="2"/>
      <c r="DDW109" s="2"/>
      <c r="DDX109" s="5"/>
      <c r="DDY109" s="2"/>
      <c r="DDZ109" s="4"/>
      <c r="DEA109" s="2"/>
      <c r="DEB109" s="3"/>
      <c r="DEC109" s="2"/>
      <c r="DED109" s="2"/>
      <c r="DEE109" s="5"/>
      <c r="DEF109" s="2"/>
      <c r="DEG109" s="4"/>
      <c r="DEH109" s="2"/>
      <c r="DEI109" s="3"/>
      <c r="DEJ109" s="2"/>
      <c r="DEK109" s="2"/>
      <c r="DEL109" s="5"/>
      <c r="DEM109" s="2"/>
      <c r="DEN109" s="4"/>
      <c r="DEO109" s="2"/>
      <c r="DEP109" s="3"/>
      <c r="DEQ109" s="2"/>
      <c r="DER109" s="2"/>
      <c r="DES109" s="5"/>
      <c r="DET109" s="2"/>
      <c r="DEU109" s="4"/>
      <c r="DEV109" s="2"/>
      <c r="DEW109" s="3"/>
      <c r="DEX109" s="2"/>
      <c r="DEY109" s="2"/>
      <c r="DEZ109" s="5"/>
      <c r="DFA109" s="2"/>
      <c r="DFB109" s="4"/>
      <c r="DFC109" s="2"/>
      <c r="DFD109" s="3"/>
      <c r="DFE109" s="2"/>
      <c r="DFF109" s="2"/>
      <c r="DFG109" s="5"/>
      <c r="DFH109" s="2"/>
      <c r="DFI109" s="4"/>
      <c r="DFJ109" s="2"/>
      <c r="DFK109" s="3"/>
      <c r="DFL109" s="2"/>
      <c r="DFM109" s="2"/>
      <c r="DFN109" s="5"/>
      <c r="DFO109" s="2"/>
      <c r="DFP109" s="4"/>
      <c r="DFQ109" s="2"/>
      <c r="DFR109" s="3"/>
      <c r="DFS109" s="2"/>
      <c r="DFT109" s="2"/>
      <c r="DFU109" s="5"/>
      <c r="DFV109" s="2"/>
      <c r="DFW109" s="4"/>
      <c r="DFX109" s="2"/>
      <c r="DFY109" s="3"/>
      <c r="DFZ109" s="2"/>
      <c r="DGA109" s="2"/>
      <c r="DGB109" s="5"/>
      <c r="DGC109" s="2"/>
      <c r="DGD109" s="4"/>
      <c r="DGE109" s="2"/>
      <c r="DGF109" s="3"/>
      <c r="DGG109" s="2"/>
      <c r="DGH109" s="2"/>
      <c r="DGI109" s="5"/>
      <c r="DGJ109" s="2"/>
      <c r="DGK109" s="4"/>
      <c r="DGL109" s="2"/>
      <c r="DGM109" s="3"/>
      <c r="DGN109" s="2"/>
      <c r="DGO109" s="2"/>
      <c r="DGP109" s="5"/>
      <c r="DGQ109" s="2"/>
      <c r="DGR109" s="4"/>
      <c r="DGS109" s="2"/>
      <c r="DGT109" s="3"/>
      <c r="DGU109" s="2"/>
      <c r="DGV109" s="2"/>
      <c r="DGW109" s="5"/>
      <c r="DGX109" s="2"/>
      <c r="DGY109" s="4"/>
      <c r="DGZ109" s="2"/>
      <c r="DHA109" s="3"/>
      <c r="DHB109" s="2"/>
      <c r="DHC109" s="2"/>
      <c r="DHD109" s="5"/>
      <c r="DHE109" s="2"/>
      <c r="DHF109" s="4"/>
      <c r="DHG109" s="2"/>
      <c r="DHH109" s="3"/>
      <c r="DHI109" s="2"/>
      <c r="DHJ109" s="2"/>
      <c r="DHK109" s="5"/>
      <c r="DHL109" s="2"/>
      <c r="DHM109" s="4"/>
      <c r="DHN109" s="2"/>
      <c r="DHO109" s="3"/>
      <c r="DHP109" s="2"/>
      <c r="DHQ109" s="2"/>
      <c r="DHR109" s="5"/>
      <c r="DHS109" s="2"/>
      <c r="DHT109" s="4"/>
      <c r="DHU109" s="2"/>
      <c r="DHV109" s="3"/>
      <c r="DHW109" s="2"/>
      <c r="DHX109" s="2"/>
      <c r="DHY109" s="5"/>
      <c r="DHZ109" s="2"/>
      <c r="DIA109" s="4"/>
      <c r="DIB109" s="2"/>
      <c r="DIC109" s="3"/>
      <c r="DID109" s="2"/>
      <c r="DIE109" s="2"/>
      <c r="DIF109" s="5"/>
      <c r="DIG109" s="2"/>
      <c r="DIH109" s="4"/>
      <c r="DII109" s="2"/>
      <c r="DIJ109" s="3"/>
      <c r="DIK109" s="2"/>
      <c r="DIL109" s="2"/>
      <c r="DIM109" s="5"/>
      <c r="DIN109" s="2"/>
      <c r="DIO109" s="4"/>
      <c r="DIP109" s="2"/>
      <c r="DIQ109" s="3"/>
      <c r="DIR109" s="2"/>
      <c r="DIS109" s="2"/>
      <c r="DIT109" s="5"/>
      <c r="DIU109" s="2"/>
      <c r="DIV109" s="4"/>
      <c r="DIW109" s="2"/>
      <c r="DIX109" s="3"/>
      <c r="DIY109" s="2"/>
      <c r="DIZ109" s="2"/>
      <c r="DJA109" s="5"/>
      <c r="DJB109" s="2"/>
      <c r="DJC109" s="4"/>
      <c r="DJD109" s="2"/>
      <c r="DJE109" s="3"/>
      <c r="DJF109" s="2"/>
      <c r="DJG109" s="2"/>
      <c r="DJH109" s="5"/>
      <c r="DJI109" s="2"/>
      <c r="DJJ109" s="4"/>
      <c r="DJK109" s="2"/>
      <c r="DJL109" s="3"/>
      <c r="DJM109" s="2"/>
      <c r="DJN109" s="2"/>
      <c r="DJO109" s="5"/>
      <c r="DJP109" s="2"/>
      <c r="DJQ109" s="4"/>
      <c r="DJR109" s="2"/>
      <c r="DJS109" s="3"/>
      <c r="DJT109" s="2"/>
      <c r="DJU109" s="2"/>
      <c r="DJV109" s="5"/>
      <c r="DJW109" s="2"/>
      <c r="DJX109" s="4"/>
      <c r="DJY109" s="2"/>
      <c r="DJZ109" s="3"/>
      <c r="DKA109" s="2"/>
      <c r="DKB109" s="2"/>
      <c r="DKC109" s="5"/>
      <c r="DKD109" s="2"/>
      <c r="DKE109" s="4"/>
      <c r="DKF109" s="2"/>
      <c r="DKG109" s="3"/>
      <c r="DKH109" s="2"/>
      <c r="DKI109" s="2"/>
      <c r="DKJ109" s="5"/>
      <c r="DKK109" s="2"/>
      <c r="DKL109" s="4"/>
      <c r="DKM109" s="2"/>
      <c r="DKN109" s="3"/>
      <c r="DKO109" s="2"/>
      <c r="DKP109" s="2"/>
      <c r="DKQ109" s="5"/>
      <c r="DKR109" s="2"/>
      <c r="DKS109" s="4"/>
      <c r="DKT109" s="2"/>
      <c r="DKU109" s="3"/>
      <c r="DKV109" s="2"/>
      <c r="DKW109" s="2"/>
      <c r="DKX109" s="5"/>
      <c r="DKY109" s="2"/>
      <c r="DKZ109" s="4"/>
      <c r="DLA109" s="2"/>
      <c r="DLB109" s="3"/>
      <c r="DLC109" s="2"/>
      <c r="DLD109" s="2"/>
      <c r="DLE109" s="5"/>
      <c r="DLF109" s="2"/>
      <c r="DLG109" s="4"/>
      <c r="DLH109" s="2"/>
      <c r="DLI109" s="3"/>
      <c r="DLJ109" s="2"/>
      <c r="DLK109" s="2"/>
      <c r="DLL109" s="5"/>
      <c r="DLM109" s="2"/>
      <c r="DLN109" s="4"/>
      <c r="DLO109" s="2"/>
      <c r="DLP109" s="3"/>
      <c r="DLQ109" s="2"/>
      <c r="DLR109" s="2"/>
      <c r="DLS109" s="5"/>
      <c r="DLT109" s="2"/>
      <c r="DLU109" s="4"/>
      <c r="DLV109" s="2"/>
      <c r="DLW109" s="3"/>
      <c r="DLX109" s="2"/>
      <c r="DLY109" s="2"/>
      <c r="DLZ109" s="5"/>
      <c r="DMA109" s="2"/>
      <c r="DMB109" s="4"/>
      <c r="DMC109" s="2"/>
      <c r="DMD109" s="3"/>
      <c r="DME109" s="2"/>
      <c r="DMF109" s="2"/>
      <c r="DMG109" s="5"/>
      <c r="DMH109" s="2"/>
      <c r="DMI109" s="4"/>
      <c r="DMJ109" s="2"/>
      <c r="DMK109" s="3"/>
      <c r="DML109" s="2"/>
      <c r="DMM109" s="2"/>
      <c r="DMN109" s="5"/>
      <c r="DMO109" s="2"/>
      <c r="DMP109" s="4"/>
      <c r="DMQ109" s="2"/>
      <c r="DMR109" s="3"/>
      <c r="DMS109" s="2"/>
      <c r="DMT109" s="2"/>
      <c r="DMU109" s="5"/>
      <c r="DMV109" s="2"/>
      <c r="DMW109" s="4"/>
      <c r="DMX109" s="2"/>
      <c r="DMY109" s="3"/>
      <c r="DMZ109" s="2"/>
      <c r="DNA109" s="2"/>
      <c r="DNB109" s="5"/>
      <c r="DNC109" s="2"/>
      <c r="DND109" s="4"/>
      <c r="DNE109" s="2"/>
      <c r="DNF109" s="3"/>
      <c r="DNG109" s="2"/>
      <c r="DNH109" s="2"/>
      <c r="DNI109" s="5"/>
      <c r="DNJ109" s="2"/>
      <c r="DNK109" s="4"/>
      <c r="DNL109" s="2"/>
      <c r="DNM109" s="3"/>
      <c r="DNN109" s="2"/>
      <c r="DNO109" s="2"/>
      <c r="DNP109" s="5"/>
      <c r="DNQ109" s="2"/>
      <c r="DNR109" s="4"/>
      <c r="DNS109" s="2"/>
      <c r="DNT109" s="3"/>
      <c r="DNU109" s="2"/>
      <c r="DNV109" s="2"/>
      <c r="DNW109" s="5"/>
      <c r="DNX109" s="2"/>
      <c r="DNY109" s="4"/>
      <c r="DNZ109" s="2"/>
      <c r="DOA109" s="3"/>
      <c r="DOB109" s="2"/>
      <c r="DOC109" s="2"/>
      <c r="DOD109" s="5"/>
      <c r="DOE109" s="2"/>
      <c r="DOF109" s="4"/>
      <c r="DOG109" s="2"/>
      <c r="DOH109" s="3"/>
      <c r="DOI109" s="2"/>
      <c r="DOJ109" s="2"/>
      <c r="DOK109" s="5"/>
      <c r="DOL109" s="2"/>
      <c r="DOM109" s="4"/>
      <c r="DON109" s="2"/>
      <c r="DOO109" s="3"/>
      <c r="DOP109" s="2"/>
      <c r="DOQ109" s="2"/>
      <c r="DOR109" s="5"/>
      <c r="DOS109" s="2"/>
      <c r="DOT109" s="4"/>
      <c r="DOU109" s="2"/>
      <c r="DOV109" s="3"/>
      <c r="DOW109" s="2"/>
      <c r="DOX109" s="2"/>
      <c r="DOY109" s="5"/>
      <c r="DOZ109" s="2"/>
      <c r="DPA109" s="4"/>
      <c r="DPB109" s="2"/>
      <c r="DPC109" s="3"/>
      <c r="DPD109" s="2"/>
      <c r="DPE109" s="2"/>
      <c r="DPF109" s="5"/>
      <c r="DPG109" s="2"/>
      <c r="DPH109" s="4"/>
      <c r="DPI109" s="2"/>
      <c r="DPJ109" s="3"/>
      <c r="DPK109" s="2"/>
      <c r="DPL109" s="2"/>
      <c r="DPM109" s="5"/>
      <c r="DPN109" s="2"/>
      <c r="DPO109" s="4"/>
      <c r="DPP109" s="2"/>
      <c r="DPQ109" s="3"/>
      <c r="DPR109" s="2"/>
      <c r="DPS109" s="2"/>
      <c r="DPT109" s="5"/>
      <c r="DPU109" s="2"/>
      <c r="DPV109" s="4"/>
      <c r="DPW109" s="2"/>
      <c r="DPX109" s="3"/>
      <c r="DPY109" s="2"/>
      <c r="DPZ109" s="2"/>
      <c r="DQA109" s="5"/>
      <c r="DQB109" s="2"/>
      <c r="DQC109" s="4"/>
      <c r="DQD109" s="2"/>
      <c r="DQE109" s="3"/>
      <c r="DQF109" s="2"/>
      <c r="DQG109" s="2"/>
      <c r="DQH109" s="5"/>
      <c r="DQI109" s="2"/>
      <c r="DQJ109" s="4"/>
      <c r="DQK109" s="2"/>
      <c r="DQL109" s="3"/>
      <c r="DQM109" s="2"/>
      <c r="DQN109" s="2"/>
      <c r="DQO109" s="5"/>
      <c r="DQP109" s="2"/>
      <c r="DQQ109" s="4"/>
      <c r="DQR109" s="2"/>
      <c r="DQS109" s="3"/>
      <c r="DQT109" s="2"/>
      <c r="DQU109" s="2"/>
      <c r="DQV109" s="5"/>
      <c r="DQW109" s="2"/>
      <c r="DQX109" s="4"/>
      <c r="DQY109" s="2"/>
      <c r="DQZ109" s="3"/>
      <c r="DRA109" s="2"/>
      <c r="DRB109" s="2"/>
      <c r="DRC109" s="5"/>
      <c r="DRD109" s="2"/>
      <c r="DRE109" s="4"/>
      <c r="DRF109" s="2"/>
      <c r="DRG109" s="3"/>
      <c r="DRH109" s="2"/>
      <c r="DRI109" s="2"/>
      <c r="DRJ109" s="5"/>
      <c r="DRK109" s="2"/>
      <c r="DRL109" s="4"/>
      <c r="DRM109" s="2"/>
      <c r="DRN109" s="3"/>
      <c r="DRO109" s="2"/>
      <c r="DRP109" s="2"/>
      <c r="DRQ109" s="5"/>
      <c r="DRR109" s="2"/>
      <c r="DRS109" s="4"/>
      <c r="DRT109" s="2"/>
      <c r="DRU109" s="3"/>
      <c r="DRV109" s="2"/>
      <c r="DRW109" s="2"/>
      <c r="DRX109" s="5"/>
      <c r="DRY109" s="2"/>
      <c r="DRZ109" s="4"/>
      <c r="DSA109" s="2"/>
      <c r="DSB109" s="3"/>
      <c r="DSC109" s="2"/>
      <c r="DSD109" s="2"/>
      <c r="DSE109" s="5"/>
      <c r="DSF109" s="2"/>
      <c r="DSG109" s="4"/>
      <c r="DSH109" s="2"/>
      <c r="DSI109" s="3"/>
      <c r="DSJ109" s="2"/>
      <c r="DSK109" s="2"/>
      <c r="DSL109" s="5"/>
      <c r="DSM109" s="2"/>
      <c r="DSN109" s="4"/>
      <c r="DSO109" s="2"/>
      <c r="DSP109" s="3"/>
      <c r="DSQ109" s="2"/>
      <c r="DSR109" s="2"/>
      <c r="DSS109" s="5"/>
      <c r="DST109" s="2"/>
      <c r="DSU109" s="4"/>
      <c r="DSV109" s="2"/>
      <c r="DSW109" s="3"/>
      <c r="DSX109" s="2"/>
      <c r="DSY109" s="2"/>
      <c r="DSZ109" s="5"/>
      <c r="DTA109" s="2"/>
      <c r="DTB109" s="4"/>
      <c r="DTC109" s="2"/>
      <c r="DTD109" s="3"/>
      <c r="DTE109" s="2"/>
      <c r="DTF109" s="2"/>
      <c r="DTG109" s="5"/>
      <c r="DTH109" s="2"/>
      <c r="DTI109" s="4"/>
      <c r="DTJ109" s="2"/>
      <c r="DTK109" s="3"/>
      <c r="DTL109" s="2"/>
      <c r="DTM109" s="2"/>
      <c r="DTN109" s="5"/>
      <c r="DTO109" s="2"/>
      <c r="DTP109" s="4"/>
      <c r="DTQ109" s="2"/>
      <c r="DTR109" s="3"/>
      <c r="DTS109" s="2"/>
      <c r="DTT109" s="2"/>
      <c r="DTU109" s="5"/>
      <c r="DTV109" s="2"/>
      <c r="DTW109" s="4"/>
      <c r="DTX109" s="2"/>
      <c r="DTY109" s="3"/>
      <c r="DTZ109" s="2"/>
      <c r="DUA109" s="2"/>
      <c r="DUB109" s="5"/>
      <c r="DUC109" s="2"/>
      <c r="DUD109" s="4"/>
      <c r="DUE109" s="2"/>
      <c r="DUF109" s="3"/>
      <c r="DUG109" s="2"/>
      <c r="DUH109" s="2"/>
      <c r="DUI109" s="5"/>
      <c r="DUJ109" s="2"/>
      <c r="DUK109" s="4"/>
      <c r="DUL109" s="2"/>
      <c r="DUM109" s="3"/>
      <c r="DUN109" s="2"/>
      <c r="DUO109" s="2"/>
      <c r="DUP109" s="5"/>
      <c r="DUQ109" s="2"/>
      <c r="DUR109" s="4"/>
      <c r="DUS109" s="2"/>
      <c r="DUT109" s="3"/>
      <c r="DUU109" s="2"/>
      <c r="DUV109" s="2"/>
      <c r="DUW109" s="5"/>
      <c r="DUX109" s="2"/>
      <c r="DUY109" s="4"/>
      <c r="DUZ109" s="2"/>
      <c r="DVA109" s="3"/>
      <c r="DVB109" s="2"/>
      <c r="DVC109" s="2"/>
      <c r="DVD109" s="5"/>
      <c r="DVE109" s="2"/>
      <c r="DVF109" s="4"/>
      <c r="DVG109" s="2"/>
      <c r="DVH109" s="3"/>
      <c r="DVI109" s="2"/>
      <c r="DVJ109" s="2"/>
      <c r="DVK109" s="5"/>
      <c r="DVL109" s="2"/>
      <c r="DVM109" s="4"/>
      <c r="DVN109" s="2"/>
      <c r="DVO109" s="3"/>
      <c r="DVP109" s="2"/>
      <c r="DVQ109" s="2"/>
      <c r="DVR109" s="5"/>
      <c r="DVS109" s="2"/>
      <c r="DVT109" s="4"/>
      <c r="DVU109" s="2"/>
      <c r="DVV109" s="3"/>
      <c r="DVW109" s="2"/>
      <c r="DVX109" s="2"/>
      <c r="DVY109" s="5"/>
      <c r="DVZ109" s="2"/>
      <c r="DWA109" s="4"/>
      <c r="DWB109" s="2"/>
      <c r="DWC109" s="3"/>
      <c r="DWD109" s="2"/>
      <c r="DWE109" s="2"/>
      <c r="DWF109" s="5"/>
      <c r="DWG109" s="2"/>
      <c r="DWH109" s="4"/>
      <c r="DWI109" s="2"/>
      <c r="DWJ109" s="3"/>
      <c r="DWK109" s="2"/>
      <c r="DWL109" s="2"/>
      <c r="DWM109" s="5"/>
      <c r="DWN109" s="2"/>
      <c r="DWO109" s="4"/>
      <c r="DWP109" s="2"/>
      <c r="DWQ109" s="3"/>
      <c r="DWR109" s="2"/>
      <c r="DWS109" s="2"/>
      <c r="DWT109" s="5"/>
      <c r="DWU109" s="2"/>
      <c r="DWV109" s="4"/>
      <c r="DWW109" s="2"/>
      <c r="DWX109" s="3"/>
      <c r="DWY109" s="2"/>
      <c r="DWZ109" s="2"/>
      <c r="DXA109" s="5"/>
      <c r="DXB109" s="2"/>
      <c r="DXC109" s="4"/>
      <c r="DXD109" s="2"/>
      <c r="DXE109" s="3"/>
      <c r="DXF109" s="2"/>
      <c r="DXG109" s="2"/>
      <c r="DXH109" s="5"/>
      <c r="DXI109" s="2"/>
      <c r="DXJ109" s="4"/>
      <c r="DXK109" s="2"/>
      <c r="DXL109" s="3"/>
      <c r="DXM109" s="2"/>
      <c r="DXN109" s="2"/>
      <c r="DXO109" s="5"/>
      <c r="DXP109" s="2"/>
      <c r="DXQ109" s="4"/>
      <c r="DXR109" s="2"/>
      <c r="DXS109" s="3"/>
      <c r="DXT109" s="2"/>
      <c r="DXU109" s="2"/>
      <c r="DXV109" s="5"/>
      <c r="DXW109" s="2"/>
      <c r="DXX109" s="4"/>
      <c r="DXY109" s="2"/>
      <c r="DXZ109" s="3"/>
      <c r="DYA109" s="2"/>
      <c r="DYB109" s="2"/>
      <c r="DYC109" s="5"/>
      <c r="DYD109" s="2"/>
      <c r="DYE109" s="4"/>
      <c r="DYF109" s="2"/>
      <c r="DYG109" s="3"/>
      <c r="DYH109" s="2"/>
      <c r="DYI109" s="2"/>
      <c r="DYJ109" s="5"/>
      <c r="DYK109" s="2"/>
      <c r="DYL109" s="4"/>
      <c r="DYM109" s="2"/>
      <c r="DYN109" s="3"/>
      <c r="DYO109" s="2"/>
      <c r="DYP109" s="2"/>
      <c r="DYQ109" s="5"/>
      <c r="DYR109" s="2"/>
      <c r="DYS109" s="4"/>
      <c r="DYT109" s="2"/>
      <c r="DYU109" s="3"/>
      <c r="DYV109" s="2"/>
      <c r="DYW109" s="2"/>
      <c r="DYX109" s="5"/>
      <c r="DYY109" s="2"/>
      <c r="DYZ109" s="4"/>
      <c r="DZA109" s="2"/>
      <c r="DZB109" s="3"/>
      <c r="DZC109" s="2"/>
      <c r="DZD109" s="2"/>
      <c r="DZE109" s="5"/>
      <c r="DZF109" s="2"/>
      <c r="DZG109" s="4"/>
      <c r="DZH109" s="2"/>
      <c r="DZI109" s="3"/>
      <c r="DZJ109" s="2"/>
      <c r="DZK109" s="2"/>
      <c r="DZL109" s="5"/>
      <c r="DZM109" s="2"/>
      <c r="DZN109" s="4"/>
      <c r="DZO109" s="2"/>
      <c r="DZP109" s="3"/>
      <c r="DZQ109" s="2"/>
      <c r="DZR109" s="2"/>
      <c r="DZS109" s="5"/>
      <c r="DZT109" s="2"/>
      <c r="DZU109" s="4"/>
      <c r="DZV109" s="2"/>
      <c r="DZW109" s="3"/>
      <c r="DZX109" s="2"/>
      <c r="DZY109" s="2"/>
      <c r="DZZ109" s="5"/>
      <c r="EAA109" s="2"/>
      <c r="EAB109" s="4"/>
      <c r="EAC109" s="2"/>
      <c r="EAD109" s="3"/>
      <c r="EAE109" s="2"/>
      <c r="EAF109" s="2"/>
      <c r="EAG109" s="5"/>
      <c r="EAH109" s="2"/>
      <c r="EAI109" s="4"/>
      <c r="EAJ109" s="2"/>
      <c r="EAK109" s="3"/>
      <c r="EAL109" s="2"/>
      <c r="EAM109" s="2"/>
      <c r="EAN109" s="5"/>
      <c r="EAO109" s="2"/>
      <c r="EAP109" s="4"/>
      <c r="EAQ109" s="2"/>
      <c r="EAR109" s="3"/>
      <c r="EAS109" s="2"/>
      <c r="EAT109" s="2"/>
      <c r="EAU109" s="5"/>
      <c r="EAV109" s="2"/>
      <c r="EAW109" s="4"/>
      <c r="EAX109" s="2"/>
      <c r="EAY109" s="3"/>
      <c r="EAZ109" s="2"/>
      <c r="EBA109" s="2"/>
      <c r="EBB109" s="5"/>
      <c r="EBC109" s="2"/>
      <c r="EBD109" s="4"/>
      <c r="EBE109" s="2"/>
      <c r="EBF109" s="3"/>
      <c r="EBG109" s="2"/>
      <c r="EBH109" s="2"/>
      <c r="EBI109" s="5"/>
      <c r="EBJ109" s="2"/>
      <c r="EBK109" s="4"/>
      <c r="EBL109" s="2"/>
      <c r="EBM109" s="3"/>
      <c r="EBN109" s="2"/>
      <c r="EBO109" s="2"/>
      <c r="EBP109" s="5"/>
      <c r="EBQ109" s="2"/>
      <c r="EBR109" s="4"/>
      <c r="EBS109" s="2"/>
      <c r="EBT109" s="3"/>
      <c r="EBU109" s="2"/>
      <c r="EBV109" s="2"/>
      <c r="EBW109" s="5"/>
      <c r="EBX109" s="2"/>
      <c r="EBY109" s="4"/>
      <c r="EBZ109" s="2"/>
      <c r="ECA109" s="3"/>
      <c r="ECB109" s="2"/>
      <c r="ECC109" s="2"/>
      <c r="ECD109" s="5"/>
      <c r="ECE109" s="2"/>
      <c r="ECF109" s="4"/>
      <c r="ECG109" s="2"/>
      <c r="ECH109" s="3"/>
      <c r="ECI109" s="2"/>
      <c r="ECJ109" s="2"/>
      <c r="ECK109" s="5"/>
      <c r="ECL109" s="2"/>
      <c r="ECM109" s="4"/>
      <c r="ECN109" s="2"/>
      <c r="ECO109" s="3"/>
      <c r="ECP109" s="2"/>
      <c r="ECQ109" s="2"/>
      <c r="ECR109" s="5"/>
      <c r="ECS109" s="2"/>
      <c r="ECT109" s="4"/>
      <c r="ECU109" s="2"/>
      <c r="ECV109" s="3"/>
      <c r="ECW109" s="2"/>
      <c r="ECX109" s="2"/>
      <c r="ECY109" s="5"/>
      <c r="ECZ109" s="2"/>
      <c r="EDA109" s="4"/>
      <c r="EDB109" s="2"/>
      <c r="EDC109" s="3"/>
      <c r="EDD109" s="2"/>
      <c r="EDE109" s="2"/>
      <c r="EDF109" s="5"/>
      <c r="EDG109" s="2"/>
      <c r="EDH109" s="4"/>
      <c r="EDI109" s="2"/>
      <c r="EDJ109" s="3"/>
      <c r="EDK109" s="2"/>
      <c r="EDL109" s="2"/>
      <c r="EDM109" s="5"/>
      <c r="EDN109" s="2"/>
      <c r="EDO109" s="4"/>
      <c r="EDP109" s="2"/>
      <c r="EDQ109" s="3"/>
      <c r="EDR109" s="2"/>
      <c r="EDS109" s="2"/>
      <c r="EDT109" s="5"/>
      <c r="EDU109" s="2"/>
      <c r="EDV109" s="4"/>
      <c r="EDW109" s="2"/>
      <c r="EDX109" s="3"/>
      <c r="EDY109" s="2"/>
      <c r="EDZ109" s="2"/>
      <c r="EEA109" s="5"/>
      <c r="EEB109" s="2"/>
      <c r="EEC109" s="4"/>
      <c r="EED109" s="2"/>
      <c r="EEE109" s="3"/>
      <c r="EEF109" s="2"/>
      <c r="EEG109" s="2"/>
      <c r="EEH109" s="5"/>
      <c r="EEI109" s="2"/>
      <c r="EEJ109" s="4"/>
      <c r="EEK109" s="2"/>
      <c r="EEL109" s="3"/>
      <c r="EEM109" s="2"/>
      <c r="EEN109" s="2"/>
      <c r="EEO109" s="5"/>
      <c r="EEP109" s="2"/>
      <c r="EEQ109" s="4"/>
      <c r="EER109" s="2"/>
      <c r="EES109" s="3"/>
      <c r="EET109" s="2"/>
      <c r="EEU109" s="2"/>
      <c r="EEV109" s="5"/>
      <c r="EEW109" s="2"/>
      <c r="EEX109" s="4"/>
      <c r="EEY109" s="2"/>
      <c r="EEZ109" s="3"/>
      <c r="EFA109" s="2"/>
      <c r="EFB109" s="2"/>
      <c r="EFC109" s="5"/>
      <c r="EFD109" s="2"/>
      <c r="EFE109" s="4"/>
      <c r="EFF109" s="2"/>
      <c r="EFG109" s="3"/>
      <c r="EFH109" s="2"/>
      <c r="EFI109" s="2"/>
      <c r="EFJ109" s="5"/>
      <c r="EFK109" s="2"/>
      <c r="EFL109" s="4"/>
      <c r="EFM109" s="2"/>
      <c r="EFN109" s="3"/>
      <c r="EFO109" s="2"/>
      <c r="EFP109" s="2"/>
      <c r="EFQ109" s="5"/>
      <c r="EFR109" s="2"/>
      <c r="EFS109" s="4"/>
      <c r="EFT109" s="2"/>
      <c r="EFU109" s="3"/>
      <c r="EFV109" s="2"/>
      <c r="EFW109" s="2"/>
      <c r="EFX109" s="5"/>
      <c r="EFY109" s="2"/>
      <c r="EFZ109" s="4"/>
      <c r="EGA109" s="2"/>
      <c r="EGB109" s="3"/>
      <c r="EGC109" s="2"/>
      <c r="EGD109" s="2"/>
      <c r="EGE109" s="5"/>
      <c r="EGF109" s="2"/>
      <c r="EGG109" s="4"/>
      <c r="EGH109" s="2"/>
      <c r="EGI109" s="3"/>
      <c r="EGJ109" s="2"/>
      <c r="EGK109" s="2"/>
      <c r="EGL109" s="5"/>
      <c r="EGM109" s="2"/>
      <c r="EGN109" s="4"/>
      <c r="EGO109" s="2"/>
      <c r="EGP109" s="3"/>
      <c r="EGQ109" s="2"/>
      <c r="EGR109" s="2"/>
      <c r="EGS109" s="5"/>
      <c r="EGT109" s="2"/>
      <c r="EGU109" s="4"/>
      <c r="EGV109" s="2"/>
      <c r="EGW109" s="3"/>
      <c r="EGX109" s="2"/>
      <c r="EGY109" s="2"/>
      <c r="EGZ109" s="5"/>
      <c r="EHA109" s="2"/>
      <c r="EHB109" s="4"/>
      <c r="EHC109" s="2"/>
      <c r="EHD109" s="3"/>
      <c r="EHE109" s="2"/>
      <c r="EHF109" s="2"/>
      <c r="EHG109" s="5"/>
      <c r="EHH109" s="2"/>
      <c r="EHI109" s="4"/>
      <c r="EHJ109" s="2"/>
      <c r="EHK109" s="3"/>
      <c r="EHL109" s="2"/>
      <c r="EHM109" s="2"/>
      <c r="EHN109" s="5"/>
      <c r="EHO109" s="2"/>
      <c r="EHP109" s="4"/>
      <c r="EHQ109" s="2"/>
      <c r="EHR109" s="3"/>
      <c r="EHS109" s="2"/>
      <c r="EHT109" s="2"/>
      <c r="EHU109" s="5"/>
      <c r="EHV109" s="2"/>
      <c r="EHW109" s="4"/>
      <c r="EHX109" s="2"/>
      <c r="EHY109" s="3"/>
      <c r="EHZ109" s="2"/>
      <c r="EIA109" s="2"/>
      <c r="EIB109" s="5"/>
      <c r="EIC109" s="2"/>
      <c r="EID109" s="4"/>
      <c r="EIE109" s="2"/>
      <c r="EIF109" s="3"/>
      <c r="EIG109" s="2"/>
      <c r="EIH109" s="2"/>
      <c r="EII109" s="5"/>
      <c r="EIJ109" s="2"/>
      <c r="EIK109" s="4"/>
      <c r="EIL109" s="2"/>
      <c r="EIM109" s="3"/>
      <c r="EIN109" s="2"/>
      <c r="EIO109" s="2"/>
      <c r="EIP109" s="5"/>
      <c r="EIQ109" s="2"/>
      <c r="EIR109" s="4"/>
      <c r="EIS109" s="2"/>
      <c r="EIT109" s="3"/>
      <c r="EIU109" s="2"/>
      <c r="EIV109" s="2"/>
      <c r="EIW109" s="5"/>
      <c r="EIX109" s="2"/>
      <c r="EIY109" s="4"/>
      <c r="EIZ109" s="2"/>
      <c r="EJA109" s="3"/>
      <c r="EJB109" s="2"/>
      <c r="EJC109" s="2"/>
      <c r="EJD109" s="5"/>
      <c r="EJE109" s="2"/>
      <c r="EJF109" s="4"/>
      <c r="EJG109" s="2"/>
      <c r="EJH109" s="3"/>
      <c r="EJI109" s="2"/>
      <c r="EJJ109" s="2"/>
      <c r="EJK109" s="5"/>
      <c r="EJL109" s="2"/>
      <c r="EJM109" s="4"/>
      <c r="EJN109" s="2"/>
      <c r="EJO109" s="3"/>
      <c r="EJP109" s="2"/>
      <c r="EJQ109" s="2"/>
      <c r="EJR109" s="5"/>
      <c r="EJS109" s="2"/>
      <c r="EJT109" s="4"/>
      <c r="EJU109" s="2"/>
      <c r="EJV109" s="3"/>
      <c r="EJW109" s="2"/>
      <c r="EJX109" s="2"/>
      <c r="EJY109" s="5"/>
      <c r="EJZ109" s="2"/>
      <c r="EKA109" s="4"/>
      <c r="EKB109" s="2"/>
      <c r="EKC109" s="3"/>
      <c r="EKD109" s="2"/>
      <c r="EKE109" s="2"/>
      <c r="EKF109" s="5"/>
      <c r="EKG109" s="2"/>
      <c r="EKH109" s="4"/>
      <c r="EKI109" s="2"/>
      <c r="EKJ109" s="3"/>
      <c r="EKK109" s="2"/>
      <c r="EKL109" s="2"/>
      <c r="EKM109" s="5"/>
      <c r="EKN109" s="2"/>
      <c r="EKO109" s="4"/>
      <c r="EKP109" s="2"/>
      <c r="EKQ109" s="3"/>
      <c r="EKR109" s="2"/>
      <c r="EKS109" s="2"/>
      <c r="EKT109" s="5"/>
      <c r="EKU109" s="2"/>
      <c r="EKV109" s="4"/>
      <c r="EKW109" s="2"/>
      <c r="EKX109" s="3"/>
      <c r="EKY109" s="2"/>
      <c r="EKZ109" s="2"/>
      <c r="ELA109" s="5"/>
      <c r="ELB109" s="2"/>
      <c r="ELC109" s="4"/>
      <c r="ELD109" s="2"/>
      <c r="ELE109" s="3"/>
      <c r="ELF109" s="2"/>
      <c r="ELG109" s="2"/>
      <c r="ELH109" s="5"/>
      <c r="ELI109" s="2"/>
      <c r="ELJ109" s="4"/>
      <c r="ELK109" s="2"/>
      <c r="ELL109" s="3"/>
      <c r="ELM109" s="2"/>
      <c r="ELN109" s="2"/>
      <c r="ELO109" s="5"/>
      <c r="ELP109" s="2"/>
      <c r="ELQ109" s="4"/>
      <c r="ELR109" s="2"/>
      <c r="ELS109" s="3"/>
      <c r="ELT109" s="2"/>
      <c r="ELU109" s="2"/>
      <c r="ELV109" s="5"/>
      <c r="ELW109" s="2"/>
      <c r="ELX109" s="4"/>
      <c r="ELY109" s="2"/>
      <c r="ELZ109" s="3"/>
      <c r="EMA109" s="2"/>
      <c r="EMB109" s="2"/>
      <c r="EMC109" s="5"/>
      <c r="EMD109" s="2"/>
      <c r="EME109" s="4"/>
      <c r="EMF109" s="2"/>
      <c r="EMG109" s="3"/>
      <c r="EMH109" s="2"/>
      <c r="EMI109" s="2"/>
      <c r="EMJ109" s="5"/>
      <c r="EMK109" s="2"/>
      <c r="EML109" s="4"/>
      <c r="EMM109" s="2"/>
      <c r="EMN109" s="3"/>
      <c r="EMO109" s="2"/>
      <c r="EMP109" s="2"/>
      <c r="EMQ109" s="5"/>
      <c r="EMR109" s="2"/>
      <c r="EMS109" s="4"/>
      <c r="EMT109" s="2"/>
      <c r="EMU109" s="3"/>
      <c r="EMV109" s="2"/>
      <c r="EMW109" s="2"/>
      <c r="EMX109" s="5"/>
      <c r="EMY109" s="2"/>
      <c r="EMZ109" s="4"/>
      <c r="ENA109" s="2"/>
      <c r="ENB109" s="3"/>
      <c r="ENC109" s="2"/>
      <c r="END109" s="2"/>
      <c r="ENE109" s="5"/>
      <c r="ENF109" s="2"/>
      <c r="ENG109" s="4"/>
      <c r="ENH109" s="2"/>
      <c r="ENI109" s="3"/>
      <c r="ENJ109" s="2"/>
      <c r="ENK109" s="2"/>
      <c r="ENL109" s="5"/>
      <c r="ENM109" s="2"/>
      <c r="ENN109" s="4"/>
      <c r="ENO109" s="2"/>
      <c r="ENP109" s="3"/>
      <c r="ENQ109" s="2"/>
      <c r="ENR109" s="2"/>
      <c r="ENS109" s="5"/>
      <c r="ENT109" s="2"/>
      <c r="ENU109" s="4"/>
      <c r="ENV109" s="2"/>
      <c r="ENW109" s="3"/>
      <c r="ENX109" s="2"/>
      <c r="ENY109" s="2"/>
      <c r="ENZ109" s="5"/>
      <c r="EOA109" s="2"/>
      <c r="EOB109" s="4"/>
      <c r="EOC109" s="2"/>
      <c r="EOD109" s="3"/>
      <c r="EOE109" s="2"/>
      <c r="EOF109" s="2"/>
      <c r="EOG109" s="5"/>
      <c r="EOH109" s="2"/>
      <c r="EOI109" s="4"/>
      <c r="EOJ109" s="2"/>
      <c r="EOK109" s="3"/>
      <c r="EOL109" s="2"/>
      <c r="EOM109" s="2"/>
      <c r="EON109" s="5"/>
      <c r="EOO109" s="2"/>
      <c r="EOP109" s="4"/>
      <c r="EOQ109" s="2"/>
      <c r="EOR109" s="3"/>
      <c r="EOS109" s="2"/>
      <c r="EOT109" s="2"/>
      <c r="EOU109" s="5"/>
      <c r="EOV109" s="2"/>
      <c r="EOW109" s="4"/>
      <c r="EOX109" s="2"/>
      <c r="EOY109" s="3"/>
      <c r="EOZ109" s="2"/>
      <c r="EPA109" s="2"/>
      <c r="EPB109" s="5"/>
      <c r="EPC109" s="2"/>
      <c r="EPD109" s="4"/>
      <c r="EPE109" s="2"/>
      <c r="EPF109" s="3"/>
      <c r="EPG109" s="2"/>
      <c r="EPH109" s="2"/>
      <c r="EPI109" s="5"/>
      <c r="EPJ109" s="2"/>
      <c r="EPK109" s="4"/>
      <c r="EPL109" s="2"/>
      <c r="EPM109" s="3"/>
      <c r="EPN109" s="2"/>
      <c r="EPO109" s="2"/>
      <c r="EPP109" s="5"/>
      <c r="EPQ109" s="2"/>
      <c r="EPR109" s="4"/>
      <c r="EPS109" s="2"/>
      <c r="EPT109" s="3"/>
      <c r="EPU109" s="2"/>
      <c r="EPV109" s="2"/>
      <c r="EPW109" s="5"/>
      <c r="EPX109" s="2"/>
      <c r="EPY109" s="4"/>
      <c r="EPZ109" s="2"/>
      <c r="EQA109" s="3"/>
      <c r="EQB109" s="2"/>
      <c r="EQC109" s="2"/>
      <c r="EQD109" s="5"/>
      <c r="EQE109" s="2"/>
      <c r="EQF109" s="4"/>
      <c r="EQG109" s="2"/>
      <c r="EQH109" s="3"/>
      <c r="EQI109" s="2"/>
      <c r="EQJ109" s="2"/>
      <c r="EQK109" s="5"/>
      <c r="EQL109" s="2"/>
      <c r="EQM109" s="4"/>
      <c r="EQN109" s="2"/>
      <c r="EQO109" s="3"/>
      <c r="EQP109" s="2"/>
      <c r="EQQ109" s="2"/>
      <c r="EQR109" s="5"/>
      <c r="EQS109" s="2"/>
      <c r="EQT109" s="4"/>
      <c r="EQU109" s="2"/>
      <c r="EQV109" s="3"/>
      <c r="EQW109" s="2"/>
      <c r="EQX109" s="2"/>
      <c r="EQY109" s="5"/>
      <c r="EQZ109" s="2"/>
      <c r="ERA109" s="4"/>
      <c r="ERB109" s="2"/>
      <c r="ERC109" s="3"/>
      <c r="ERD109" s="2"/>
      <c r="ERE109" s="2"/>
      <c r="ERF109" s="5"/>
      <c r="ERG109" s="2"/>
      <c r="ERH109" s="4"/>
      <c r="ERI109" s="2"/>
      <c r="ERJ109" s="3"/>
      <c r="ERK109" s="2"/>
      <c r="ERL109" s="2"/>
      <c r="ERM109" s="5"/>
      <c r="ERN109" s="2"/>
      <c r="ERO109" s="4"/>
      <c r="ERP109" s="2"/>
      <c r="ERQ109" s="3"/>
      <c r="ERR109" s="2"/>
      <c r="ERS109" s="2"/>
      <c r="ERT109" s="5"/>
      <c r="ERU109" s="2"/>
      <c r="ERV109" s="4"/>
      <c r="ERW109" s="2"/>
      <c r="ERX109" s="3"/>
      <c r="ERY109" s="2"/>
      <c r="ERZ109" s="2"/>
      <c r="ESA109" s="5"/>
      <c r="ESB109" s="2"/>
      <c r="ESC109" s="4"/>
      <c r="ESD109" s="2"/>
      <c r="ESE109" s="3"/>
      <c r="ESF109" s="2"/>
      <c r="ESG109" s="2"/>
      <c r="ESH109" s="5"/>
      <c r="ESI109" s="2"/>
      <c r="ESJ109" s="4"/>
      <c r="ESK109" s="2"/>
      <c r="ESL109" s="3"/>
      <c r="ESM109" s="2"/>
      <c r="ESN109" s="2"/>
      <c r="ESO109" s="5"/>
      <c r="ESP109" s="2"/>
      <c r="ESQ109" s="4"/>
      <c r="ESR109" s="2"/>
      <c r="ESS109" s="3"/>
      <c r="EST109" s="2"/>
      <c r="ESU109" s="2"/>
      <c r="ESV109" s="5"/>
      <c r="ESW109" s="2"/>
      <c r="ESX109" s="4"/>
      <c r="ESY109" s="2"/>
      <c r="ESZ109" s="3"/>
      <c r="ETA109" s="2"/>
      <c r="ETB109" s="2"/>
      <c r="ETC109" s="5"/>
      <c r="ETD109" s="2"/>
      <c r="ETE109" s="4"/>
      <c r="ETF109" s="2"/>
      <c r="ETG109" s="3"/>
      <c r="ETH109" s="2"/>
      <c r="ETI109" s="2"/>
      <c r="ETJ109" s="5"/>
      <c r="ETK109" s="2"/>
      <c r="ETL109" s="4"/>
      <c r="ETM109" s="2"/>
      <c r="ETN109" s="3"/>
      <c r="ETO109" s="2"/>
      <c r="ETP109" s="2"/>
      <c r="ETQ109" s="5"/>
      <c r="ETR109" s="2"/>
      <c r="ETS109" s="4"/>
      <c r="ETT109" s="2"/>
      <c r="ETU109" s="3"/>
      <c r="ETV109" s="2"/>
      <c r="ETW109" s="2"/>
      <c r="ETX109" s="5"/>
      <c r="ETY109" s="2"/>
      <c r="ETZ109" s="4"/>
      <c r="EUA109" s="2"/>
      <c r="EUB109" s="3"/>
      <c r="EUC109" s="2"/>
      <c r="EUD109" s="2"/>
      <c r="EUE109" s="5"/>
      <c r="EUF109" s="2"/>
      <c r="EUG109" s="4"/>
      <c r="EUH109" s="2"/>
      <c r="EUI109" s="3"/>
      <c r="EUJ109" s="2"/>
      <c r="EUK109" s="2"/>
      <c r="EUL109" s="5"/>
      <c r="EUM109" s="2"/>
      <c r="EUN109" s="4"/>
      <c r="EUO109" s="2"/>
      <c r="EUP109" s="3"/>
      <c r="EUQ109" s="2"/>
      <c r="EUR109" s="2"/>
      <c r="EUS109" s="5"/>
      <c r="EUT109" s="2"/>
      <c r="EUU109" s="4"/>
      <c r="EUV109" s="2"/>
      <c r="EUW109" s="3"/>
      <c r="EUX109" s="2"/>
      <c r="EUY109" s="2"/>
      <c r="EUZ109" s="5"/>
      <c r="EVA109" s="2"/>
      <c r="EVB109" s="4"/>
      <c r="EVC109" s="2"/>
      <c r="EVD109" s="3"/>
      <c r="EVE109" s="2"/>
      <c r="EVF109" s="2"/>
      <c r="EVG109" s="5"/>
      <c r="EVH109" s="2"/>
      <c r="EVI109" s="4"/>
      <c r="EVJ109" s="2"/>
      <c r="EVK109" s="3"/>
      <c r="EVL109" s="2"/>
      <c r="EVM109" s="2"/>
      <c r="EVN109" s="5"/>
      <c r="EVO109" s="2"/>
      <c r="EVP109" s="4"/>
      <c r="EVQ109" s="2"/>
      <c r="EVR109" s="3"/>
      <c r="EVS109" s="2"/>
      <c r="EVT109" s="2"/>
      <c r="EVU109" s="5"/>
      <c r="EVV109" s="2"/>
      <c r="EVW109" s="4"/>
      <c r="EVX109" s="2"/>
      <c r="EVY109" s="3"/>
      <c r="EVZ109" s="2"/>
      <c r="EWA109" s="2"/>
      <c r="EWB109" s="5"/>
      <c r="EWC109" s="2"/>
      <c r="EWD109" s="4"/>
      <c r="EWE109" s="2"/>
      <c r="EWF109" s="3"/>
      <c r="EWG109" s="2"/>
      <c r="EWH109" s="2"/>
      <c r="EWI109" s="5"/>
      <c r="EWJ109" s="2"/>
      <c r="EWK109" s="4"/>
      <c r="EWL109" s="2"/>
      <c r="EWM109" s="3"/>
      <c r="EWN109" s="2"/>
      <c r="EWO109" s="2"/>
      <c r="EWP109" s="5"/>
      <c r="EWQ109" s="2"/>
      <c r="EWR109" s="4"/>
      <c r="EWS109" s="2"/>
      <c r="EWT109" s="3"/>
      <c r="EWU109" s="2"/>
      <c r="EWV109" s="2"/>
      <c r="EWW109" s="5"/>
      <c r="EWX109" s="2"/>
      <c r="EWY109" s="4"/>
      <c r="EWZ109" s="2"/>
      <c r="EXA109" s="3"/>
      <c r="EXB109" s="2"/>
      <c r="EXC109" s="2"/>
      <c r="EXD109" s="5"/>
      <c r="EXE109" s="2"/>
      <c r="EXF109" s="4"/>
      <c r="EXG109" s="2"/>
      <c r="EXH109" s="3"/>
      <c r="EXI109" s="2"/>
      <c r="EXJ109" s="2"/>
      <c r="EXK109" s="5"/>
      <c r="EXL109" s="2"/>
      <c r="EXM109" s="4"/>
      <c r="EXN109" s="2"/>
      <c r="EXO109" s="3"/>
      <c r="EXP109" s="2"/>
      <c r="EXQ109" s="2"/>
      <c r="EXR109" s="5"/>
      <c r="EXS109" s="2"/>
      <c r="EXT109" s="4"/>
      <c r="EXU109" s="2"/>
      <c r="EXV109" s="3"/>
      <c r="EXW109" s="2"/>
      <c r="EXX109" s="2"/>
      <c r="EXY109" s="5"/>
      <c r="EXZ109" s="2"/>
      <c r="EYA109" s="4"/>
      <c r="EYB109" s="2"/>
      <c r="EYC109" s="3"/>
      <c r="EYD109" s="2"/>
      <c r="EYE109" s="2"/>
      <c r="EYF109" s="5"/>
      <c r="EYG109" s="2"/>
      <c r="EYH109" s="4"/>
      <c r="EYI109" s="2"/>
      <c r="EYJ109" s="3"/>
      <c r="EYK109" s="2"/>
      <c r="EYL109" s="2"/>
      <c r="EYM109" s="5"/>
      <c r="EYN109" s="2"/>
      <c r="EYO109" s="4"/>
      <c r="EYP109" s="2"/>
      <c r="EYQ109" s="3"/>
      <c r="EYR109" s="2"/>
      <c r="EYS109" s="2"/>
      <c r="EYT109" s="5"/>
      <c r="EYU109" s="2"/>
      <c r="EYV109" s="4"/>
      <c r="EYW109" s="2"/>
      <c r="EYX109" s="3"/>
      <c r="EYY109" s="2"/>
      <c r="EYZ109" s="2"/>
      <c r="EZA109" s="5"/>
      <c r="EZB109" s="2"/>
      <c r="EZC109" s="4"/>
      <c r="EZD109" s="2"/>
      <c r="EZE109" s="3"/>
      <c r="EZF109" s="2"/>
      <c r="EZG109" s="2"/>
      <c r="EZH109" s="5"/>
      <c r="EZI109" s="2"/>
      <c r="EZJ109" s="4"/>
      <c r="EZK109" s="2"/>
      <c r="EZL109" s="3"/>
      <c r="EZM109" s="2"/>
      <c r="EZN109" s="2"/>
      <c r="EZO109" s="5"/>
      <c r="EZP109" s="2"/>
      <c r="EZQ109" s="4"/>
      <c r="EZR109" s="2"/>
      <c r="EZS109" s="3"/>
      <c r="EZT109" s="2"/>
      <c r="EZU109" s="2"/>
      <c r="EZV109" s="5"/>
      <c r="EZW109" s="2"/>
      <c r="EZX109" s="4"/>
      <c r="EZY109" s="2"/>
      <c r="EZZ109" s="3"/>
      <c r="FAA109" s="2"/>
      <c r="FAB109" s="2"/>
      <c r="FAC109" s="5"/>
      <c r="FAD109" s="2"/>
      <c r="FAE109" s="4"/>
      <c r="FAF109" s="2"/>
      <c r="FAG109" s="3"/>
      <c r="FAH109" s="2"/>
      <c r="FAI109" s="2"/>
      <c r="FAJ109" s="5"/>
      <c r="FAK109" s="2"/>
      <c r="FAL109" s="4"/>
      <c r="FAM109" s="2"/>
      <c r="FAN109" s="3"/>
      <c r="FAO109" s="2"/>
      <c r="FAP109" s="2"/>
      <c r="FAQ109" s="5"/>
      <c r="FAR109" s="2"/>
      <c r="FAS109" s="4"/>
      <c r="FAT109" s="2"/>
      <c r="FAU109" s="3"/>
      <c r="FAV109" s="2"/>
      <c r="FAW109" s="2"/>
      <c r="FAX109" s="5"/>
      <c r="FAY109" s="2"/>
      <c r="FAZ109" s="4"/>
      <c r="FBA109" s="2"/>
      <c r="FBB109" s="3"/>
      <c r="FBC109" s="2"/>
      <c r="FBD109" s="2"/>
      <c r="FBE109" s="5"/>
      <c r="FBF109" s="2"/>
      <c r="FBG109" s="4"/>
      <c r="FBH109" s="2"/>
      <c r="FBI109" s="3"/>
      <c r="FBJ109" s="2"/>
      <c r="FBK109" s="2"/>
      <c r="FBL109" s="5"/>
      <c r="FBM109" s="2"/>
      <c r="FBN109" s="4"/>
      <c r="FBO109" s="2"/>
      <c r="FBP109" s="3"/>
      <c r="FBQ109" s="2"/>
      <c r="FBR109" s="2"/>
      <c r="FBS109" s="5"/>
      <c r="FBT109" s="2"/>
      <c r="FBU109" s="4"/>
      <c r="FBV109" s="2"/>
      <c r="FBW109" s="3"/>
      <c r="FBX109" s="2"/>
      <c r="FBY109" s="2"/>
      <c r="FBZ109" s="5"/>
      <c r="FCA109" s="2"/>
      <c r="FCB109" s="4"/>
      <c r="FCC109" s="2"/>
      <c r="FCD109" s="3"/>
      <c r="FCE109" s="2"/>
      <c r="FCF109" s="2"/>
      <c r="FCG109" s="5"/>
      <c r="FCH109" s="2"/>
      <c r="FCI109" s="4"/>
      <c r="FCJ109" s="2"/>
      <c r="FCK109" s="3"/>
      <c r="FCL109" s="2"/>
      <c r="FCM109" s="2"/>
      <c r="FCN109" s="5"/>
      <c r="FCO109" s="2"/>
      <c r="FCP109" s="4"/>
      <c r="FCQ109" s="2"/>
      <c r="FCR109" s="3"/>
      <c r="FCS109" s="2"/>
      <c r="FCT109" s="2"/>
      <c r="FCU109" s="5"/>
      <c r="FCV109" s="2"/>
      <c r="FCW109" s="4"/>
      <c r="FCX109" s="2"/>
      <c r="FCY109" s="3"/>
      <c r="FCZ109" s="2"/>
      <c r="FDA109" s="2"/>
      <c r="FDB109" s="5"/>
      <c r="FDC109" s="2"/>
      <c r="FDD109" s="4"/>
      <c r="FDE109" s="2"/>
      <c r="FDF109" s="3"/>
      <c r="FDG109" s="2"/>
      <c r="FDH109" s="2"/>
      <c r="FDI109" s="5"/>
      <c r="FDJ109" s="2"/>
      <c r="FDK109" s="4"/>
      <c r="FDL109" s="2"/>
      <c r="FDM109" s="3"/>
      <c r="FDN109" s="2"/>
      <c r="FDO109" s="2"/>
      <c r="FDP109" s="5"/>
      <c r="FDQ109" s="2"/>
      <c r="FDR109" s="4"/>
      <c r="FDS109" s="2"/>
      <c r="FDT109" s="3"/>
      <c r="FDU109" s="2"/>
      <c r="FDV109" s="2"/>
      <c r="FDW109" s="5"/>
      <c r="FDX109" s="2"/>
      <c r="FDY109" s="4"/>
      <c r="FDZ109" s="2"/>
      <c r="FEA109" s="3"/>
      <c r="FEB109" s="2"/>
      <c r="FEC109" s="2"/>
      <c r="FED109" s="5"/>
      <c r="FEE109" s="2"/>
      <c r="FEF109" s="4"/>
      <c r="FEG109" s="2"/>
      <c r="FEH109" s="3"/>
      <c r="FEI109" s="2"/>
      <c r="FEJ109" s="2"/>
      <c r="FEK109" s="5"/>
      <c r="FEL109" s="2"/>
      <c r="FEM109" s="4"/>
      <c r="FEN109" s="2"/>
      <c r="FEO109" s="3"/>
      <c r="FEP109" s="2"/>
      <c r="FEQ109" s="2"/>
      <c r="FER109" s="5"/>
      <c r="FES109" s="2"/>
      <c r="FET109" s="4"/>
      <c r="FEU109" s="2"/>
      <c r="FEV109" s="3"/>
      <c r="FEW109" s="2"/>
      <c r="FEX109" s="2"/>
      <c r="FEY109" s="5"/>
      <c r="FEZ109" s="2"/>
      <c r="FFA109" s="4"/>
      <c r="FFB109" s="2"/>
      <c r="FFC109" s="3"/>
      <c r="FFD109" s="2"/>
      <c r="FFE109" s="2"/>
      <c r="FFF109" s="5"/>
      <c r="FFG109" s="2"/>
      <c r="FFH109" s="4"/>
      <c r="FFI109" s="2"/>
      <c r="FFJ109" s="3"/>
      <c r="FFK109" s="2"/>
      <c r="FFL109" s="2"/>
      <c r="FFM109" s="5"/>
      <c r="FFN109" s="2"/>
      <c r="FFO109" s="4"/>
      <c r="FFP109" s="2"/>
      <c r="FFQ109" s="3"/>
      <c r="FFR109" s="2"/>
      <c r="FFS109" s="2"/>
      <c r="FFT109" s="5"/>
      <c r="FFU109" s="2"/>
      <c r="FFV109" s="4"/>
      <c r="FFW109" s="2"/>
      <c r="FFX109" s="3"/>
      <c r="FFY109" s="2"/>
      <c r="FFZ109" s="2"/>
      <c r="FGA109" s="5"/>
      <c r="FGB109" s="2"/>
      <c r="FGC109" s="4"/>
      <c r="FGD109" s="2"/>
      <c r="FGE109" s="3"/>
      <c r="FGF109" s="2"/>
      <c r="FGG109" s="2"/>
      <c r="FGH109" s="5"/>
      <c r="FGI109" s="2"/>
      <c r="FGJ109" s="4"/>
      <c r="FGK109" s="2"/>
      <c r="FGL109" s="3"/>
      <c r="FGM109" s="2"/>
      <c r="FGN109" s="2"/>
      <c r="FGO109" s="5"/>
      <c r="FGP109" s="2"/>
      <c r="FGQ109" s="4"/>
      <c r="FGR109" s="2"/>
      <c r="FGS109" s="3"/>
      <c r="FGT109" s="2"/>
      <c r="FGU109" s="2"/>
      <c r="FGV109" s="5"/>
      <c r="FGW109" s="2"/>
      <c r="FGX109" s="4"/>
      <c r="FGY109" s="2"/>
      <c r="FGZ109" s="3"/>
      <c r="FHA109" s="2"/>
      <c r="FHB109" s="2"/>
      <c r="FHC109" s="5"/>
      <c r="FHD109" s="2"/>
      <c r="FHE109" s="4"/>
      <c r="FHF109" s="2"/>
      <c r="FHG109" s="3"/>
      <c r="FHH109" s="2"/>
      <c r="FHI109" s="2"/>
      <c r="FHJ109" s="5"/>
      <c r="FHK109" s="2"/>
      <c r="FHL109" s="4"/>
      <c r="FHM109" s="2"/>
      <c r="FHN109" s="3"/>
      <c r="FHO109" s="2"/>
      <c r="FHP109" s="2"/>
      <c r="FHQ109" s="5"/>
      <c r="FHR109" s="2"/>
      <c r="FHS109" s="4"/>
      <c r="FHT109" s="2"/>
      <c r="FHU109" s="3"/>
      <c r="FHV109" s="2"/>
      <c r="FHW109" s="2"/>
      <c r="FHX109" s="5"/>
      <c r="FHY109" s="2"/>
      <c r="FHZ109" s="4"/>
      <c r="FIA109" s="2"/>
      <c r="FIB109" s="3"/>
      <c r="FIC109" s="2"/>
      <c r="FID109" s="2"/>
      <c r="FIE109" s="5"/>
      <c r="FIF109" s="2"/>
      <c r="FIG109" s="4"/>
      <c r="FIH109" s="2"/>
      <c r="FII109" s="3"/>
      <c r="FIJ109" s="2"/>
      <c r="FIK109" s="2"/>
      <c r="FIL109" s="5"/>
      <c r="FIM109" s="2"/>
      <c r="FIN109" s="4"/>
      <c r="FIO109" s="2"/>
      <c r="FIP109" s="3"/>
      <c r="FIQ109" s="2"/>
      <c r="FIR109" s="2"/>
      <c r="FIS109" s="5"/>
      <c r="FIT109" s="2"/>
      <c r="FIU109" s="4"/>
      <c r="FIV109" s="2"/>
      <c r="FIW109" s="3"/>
      <c r="FIX109" s="2"/>
      <c r="FIY109" s="2"/>
      <c r="FIZ109" s="5"/>
      <c r="FJA109" s="2"/>
      <c r="FJB109" s="4"/>
      <c r="FJC109" s="2"/>
      <c r="FJD109" s="3"/>
      <c r="FJE109" s="2"/>
      <c r="FJF109" s="2"/>
      <c r="FJG109" s="5"/>
      <c r="FJH109" s="2"/>
      <c r="FJI109" s="4"/>
      <c r="FJJ109" s="2"/>
      <c r="FJK109" s="3"/>
      <c r="FJL109" s="2"/>
      <c r="FJM109" s="2"/>
      <c r="FJN109" s="5"/>
      <c r="FJO109" s="2"/>
      <c r="FJP109" s="4"/>
      <c r="FJQ109" s="2"/>
      <c r="FJR109" s="3"/>
      <c r="FJS109" s="2"/>
      <c r="FJT109" s="2"/>
      <c r="FJU109" s="5"/>
      <c r="FJV109" s="2"/>
      <c r="FJW109" s="4"/>
      <c r="FJX109" s="2"/>
      <c r="FJY109" s="3"/>
      <c r="FJZ109" s="2"/>
      <c r="FKA109" s="2"/>
      <c r="FKB109" s="5"/>
      <c r="FKC109" s="2"/>
      <c r="FKD109" s="4"/>
      <c r="FKE109" s="2"/>
      <c r="FKF109" s="3"/>
      <c r="FKG109" s="2"/>
      <c r="FKH109" s="2"/>
      <c r="FKI109" s="5"/>
      <c r="FKJ109" s="2"/>
      <c r="FKK109" s="4"/>
      <c r="FKL109" s="2"/>
      <c r="FKM109" s="3"/>
      <c r="FKN109" s="2"/>
      <c r="FKO109" s="2"/>
      <c r="FKP109" s="5"/>
      <c r="FKQ109" s="2"/>
      <c r="FKR109" s="4"/>
      <c r="FKS109" s="2"/>
      <c r="FKT109" s="3"/>
      <c r="FKU109" s="2"/>
      <c r="FKV109" s="2"/>
      <c r="FKW109" s="5"/>
      <c r="FKX109" s="2"/>
      <c r="FKY109" s="4"/>
      <c r="FKZ109" s="2"/>
      <c r="FLA109" s="3"/>
      <c r="FLB109" s="2"/>
      <c r="FLC109" s="2"/>
      <c r="FLD109" s="5"/>
      <c r="FLE109" s="2"/>
      <c r="FLF109" s="4"/>
      <c r="FLG109" s="2"/>
      <c r="FLH109" s="3"/>
      <c r="FLI109" s="2"/>
      <c r="FLJ109" s="2"/>
      <c r="FLK109" s="5"/>
      <c r="FLL109" s="2"/>
      <c r="FLM109" s="4"/>
      <c r="FLN109" s="2"/>
      <c r="FLO109" s="3"/>
      <c r="FLP109" s="2"/>
      <c r="FLQ109" s="2"/>
      <c r="FLR109" s="5"/>
      <c r="FLS109" s="2"/>
      <c r="FLT109" s="4"/>
      <c r="FLU109" s="2"/>
      <c r="FLV109" s="3"/>
      <c r="FLW109" s="2"/>
      <c r="FLX109" s="2"/>
      <c r="FLY109" s="5"/>
      <c r="FLZ109" s="2"/>
      <c r="FMA109" s="4"/>
      <c r="FMB109" s="2"/>
      <c r="FMC109" s="3"/>
      <c r="FMD109" s="2"/>
      <c r="FME109" s="2"/>
      <c r="FMF109" s="5"/>
      <c r="FMG109" s="2"/>
      <c r="FMH109" s="4"/>
      <c r="FMI109" s="2"/>
      <c r="FMJ109" s="3"/>
      <c r="FMK109" s="2"/>
      <c r="FML109" s="2"/>
      <c r="FMM109" s="5"/>
      <c r="FMN109" s="2"/>
      <c r="FMO109" s="4"/>
      <c r="FMP109" s="2"/>
      <c r="FMQ109" s="3"/>
      <c r="FMR109" s="2"/>
      <c r="FMS109" s="2"/>
      <c r="FMT109" s="5"/>
      <c r="FMU109" s="2"/>
      <c r="FMV109" s="4"/>
      <c r="FMW109" s="2"/>
      <c r="FMX109" s="3"/>
      <c r="FMY109" s="2"/>
      <c r="FMZ109" s="2"/>
      <c r="FNA109" s="5"/>
      <c r="FNB109" s="2"/>
      <c r="FNC109" s="4"/>
      <c r="FND109" s="2"/>
      <c r="FNE109" s="3"/>
      <c r="FNF109" s="2"/>
      <c r="FNG109" s="2"/>
      <c r="FNH109" s="5"/>
      <c r="FNI109" s="2"/>
      <c r="FNJ109" s="4"/>
      <c r="FNK109" s="2"/>
      <c r="FNL109" s="3"/>
      <c r="FNM109" s="2"/>
      <c r="FNN109" s="2"/>
      <c r="FNO109" s="5"/>
      <c r="FNP109" s="2"/>
      <c r="FNQ109" s="4"/>
      <c r="FNR109" s="2"/>
      <c r="FNS109" s="3"/>
      <c r="FNT109" s="2"/>
      <c r="FNU109" s="2"/>
      <c r="FNV109" s="5"/>
      <c r="FNW109" s="2"/>
      <c r="FNX109" s="4"/>
      <c r="FNY109" s="2"/>
      <c r="FNZ109" s="3"/>
      <c r="FOA109" s="2"/>
      <c r="FOB109" s="2"/>
      <c r="FOC109" s="5"/>
      <c r="FOD109" s="2"/>
      <c r="FOE109" s="4"/>
      <c r="FOF109" s="2"/>
      <c r="FOG109" s="3"/>
      <c r="FOH109" s="2"/>
      <c r="FOI109" s="2"/>
      <c r="FOJ109" s="5"/>
      <c r="FOK109" s="2"/>
      <c r="FOL109" s="4"/>
      <c r="FOM109" s="2"/>
      <c r="FON109" s="3"/>
      <c r="FOO109" s="2"/>
      <c r="FOP109" s="2"/>
      <c r="FOQ109" s="5"/>
      <c r="FOR109" s="2"/>
      <c r="FOS109" s="4"/>
      <c r="FOT109" s="2"/>
      <c r="FOU109" s="3"/>
      <c r="FOV109" s="2"/>
      <c r="FOW109" s="2"/>
      <c r="FOX109" s="5"/>
      <c r="FOY109" s="2"/>
      <c r="FOZ109" s="4"/>
      <c r="FPA109" s="2"/>
      <c r="FPB109" s="3"/>
      <c r="FPC109" s="2"/>
      <c r="FPD109" s="2"/>
      <c r="FPE109" s="5"/>
      <c r="FPF109" s="2"/>
      <c r="FPG109" s="4"/>
      <c r="FPH109" s="2"/>
      <c r="FPI109" s="3"/>
      <c r="FPJ109" s="2"/>
      <c r="FPK109" s="2"/>
      <c r="FPL109" s="5"/>
      <c r="FPM109" s="2"/>
      <c r="FPN109" s="4"/>
      <c r="FPO109" s="2"/>
      <c r="FPP109" s="3"/>
      <c r="FPQ109" s="2"/>
      <c r="FPR109" s="2"/>
      <c r="FPS109" s="5"/>
      <c r="FPT109" s="2"/>
      <c r="FPU109" s="4"/>
      <c r="FPV109" s="2"/>
      <c r="FPW109" s="3"/>
      <c r="FPX109" s="2"/>
      <c r="FPY109" s="2"/>
      <c r="FPZ109" s="5"/>
      <c r="FQA109" s="2"/>
      <c r="FQB109" s="4"/>
      <c r="FQC109" s="2"/>
      <c r="FQD109" s="3"/>
      <c r="FQE109" s="2"/>
      <c r="FQF109" s="2"/>
      <c r="FQG109" s="5"/>
      <c r="FQH109" s="2"/>
      <c r="FQI109" s="4"/>
      <c r="FQJ109" s="2"/>
      <c r="FQK109" s="3"/>
      <c r="FQL109" s="2"/>
      <c r="FQM109" s="2"/>
      <c r="FQN109" s="5"/>
      <c r="FQO109" s="2"/>
      <c r="FQP109" s="4"/>
      <c r="FQQ109" s="2"/>
      <c r="FQR109" s="3"/>
      <c r="FQS109" s="2"/>
      <c r="FQT109" s="2"/>
      <c r="FQU109" s="5"/>
      <c r="FQV109" s="2"/>
      <c r="FQW109" s="4"/>
      <c r="FQX109" s="2"/>
      <c r="FQY109" s="3"/>
      <c r="FQZ109" s="2"/>
      <c r="FRA109" s="2"/>
      <c r="FRB109" s="5"/>
      <c r="FRC109" s="2"/>
      <c r="FRD109" s="4"/>
      <c r="FRE109" s="2"/>
      <c r="FRF109" s="3"/>
      <c r="FRG109" s="2"/>
      <c r="FRH109" s="2"/>
      <c r="FRI109" s="5"/>
      <c r="FRJ109" s="2"/>
      <c r="FRK109" s="4"/>
      <c r="FRL109" s="2"/>
      <c r="FRM109" s="3"/>
      <c r="FRN109" s="2"/>
      <c r="FRO109" s="2"/>
      <c r="FRP109" s="5"/>
      <c r="FRQ109" s="2"/>
      <c r="FRR109" s="4"/>
      <c r="FRS109" s="2"/>
      <c r="FRT109" s="3"/>
      <c r="FRU109" s="2"/>
      <c r="FRV109" s="2"/>
      <c r="FRW109" s="5"/>
      <c r="FRX109" s="2"/>
      <c r="FRY109" s="4"/>
      <c r="FRZ109" s="2"/>
      <c r="FSA109" s="3"/>
      <c r="FSB109" s="2"/>
      <c r="FSC109" s="2"/>
      <c r="FSD109" s="5"/>
      <c r="FSE109" s="2"/>
      <c r="FSF109" s="4"/>
      <c r="FSG109" s="2"/>
      <c r="FSH109" s="3"/>
      <c r="FSI109" s="2"/>
      <c r="FSJ109" s="2"/>
      <c r="FSK109" s="5"/>
      <c r="FSL109" s="2"/>
      <c r="FSM109" s="4"/>
      <c r="FSN109" s="2"/>
      <c r="FSO109" s="3"/>
      <c r="FSP109" s="2"/>
      <c r="FSQ109" s="2"/>
      <c r="FSR109" s="5"/>
      <c r="FSS109" s="2"/>
      <c r="FST109" s="4"/>
      <c r="FSU109" s="2"/>
      <c r="FSV109" s="3"/>
      <c r="FSW109" s="2"/>
      <c r="FSX109" s="2"/>
      <c r="FSY109" s="5"/>
      <c r="FSZ109" s="2"/>
      <c r="FTA109" s="4"/>
      <c r="FTB109" s="2"/>
      <c r="FTC109" s="3"/>
      <c r="FTD109" s="2"/>
      <c r="FTE109" s="2"/>
      <c r="FTF109" s="5"/>
      <c r="FTG109" s="2"/>
      <c r="FTH109" s="4"/>
      <c r="FTI109" s="2"/>
      <c r="FTJ109" s="3"/>
      <c r="FTK109" s="2"/>
      <c r="FTL109" s="2"/>
      <c r="FTM109" s="5"/>
      <c r="FTN109" s="2"/>
      <c r="FTO109" s="4"/>
      <c r="FTP109" s="2"/>
      <c r="FTQ109" s="3"/>
      <c r="FTR109" s="2"/>
      <c r="FTS109" s="2"/>
      <c r="FTT109" s="5"/>
      <c r="FTU109" s="2"/>
      <c r="FTV109" s="4"/>
      <c r="FTW109" s="2"/>
      <c r="FTX109" s="3"/>
      <c r="FTY109" s="2"/>
      <c r="FTZ109" s="2"/>
      <c r="FUA109" s="5"/>
      <c r="FUB109" s="2"/>
      <c r="FUC109" s="4"/>
      <c r="FUD109" s="2"/>
      <c r="FUE109" s="3"/>
      <c r="FUF109" s="2"/>
      <c r="FUG109" s="2"/>
      <c r="FUH109" s="5"/>
      <c r="FUI109" s="2"/>
      <c r="FUJ109" s="4"/>
      <c r="FUK109" s="2"/>
      <c r="FUL109" s="3"/>
      <c r="FUM109" s="2"/>
      <c r="FUN109" s="2"/>
      <c r="FUO109" s="5"/>
      <c r="FUP109" s="2"/>
      <c r="FUQ109" s="4"/>
      <c r="FUR109" s="2"/>
      <c r="FUS109" s="3"/>
      <c r="FUT109" s="2"/>
      <c r="FUU109" s="2"/>
      <c r="FUV109" s="5"/>
      <c r="FUW109" s="2"/>
      <c r="FUX109" s="4"/>
      <c r="FUY109" s="2"/>
      <c r="FUZ109" s="3"/>
      <c r="FVA109" s="2"/>
      <c r="FVB109" s="2"/>
      <c r="FVC109" s="5"/>
      <c r="FVD109" s="2"/>
      <c r="FVE109" s="4"/>
      <c r="FVF109" s="2"/>
      <c r="FVG109" s="3"/>
      <c r="FVH109" s="2"/>
      <c r="FVI109" s="2"/>
      <c r="FVJ109" s="5"/>
      <c r="FVK109" s="2"/>
      <c r="FVL109" s="4"/>
      <c r="FVM109" s="2"/>
      <c r="FVN109" s="3"/>
      <c r="FVO109" s="2"/>
      <c r="FVP109" s="2"/>
      <c r="FVQ109" s="5"/>
      <c r="FVR109" s="2"/>
      <c r="FVS109" s="4"/>
      <c r="FVT109" s="2"/>
      <c r="FVU109" s="3"/>
      <c r="FVV109" s="2"/>
      <c r="FVW109" s="2"/>
      <c r="FVX109" s="5"/>
      <c r="FVY109" s="2"/>
      <c r="FVZ109" s="4"/>
      <c r="FWA109" s="2"/>
      <c r="FWB109" s="3"/>
      <c r="FWC109" s="2"/>
      <c r="FWD109" s="2"/>
      <c r="FWE109" s="5"/>
      <c r="FWF109" s="2"/>
      <c r="FWG109" s="4"/>
      <c r="FWH109" s="2"/>
      <c r="FWI109" s="3"/>
      <c r="FWJ109" s="2"/>
      <c r="FWK109" s="2"/>
      <c r="FWL109" s="5"/>
      <c r="FWM109" s="2"/>
      <c r="FWN109" s="4"/>
      <c r="FWO109" s="2"/>
      <c r="FWP109" s="3"/>
      <c r="FWQ109" s="2"/>
      <c r="FWR109" s="2"/>
      <c r="FWS109" s="5"/>
      <c r="FWT109" s="2"/>
      <c r="FWU109" s="4"/>
      <c r="FWV109" s="2"/>
      <c r="FWW109" s="3"/>
      <c r="FWX109" s="2"/>
      <c r="FWY109" s="2"/>
      <c r="FWZ109" s="5"/>
      <c r="FXA109" s="2"/>
      <c r="FXB109" s="4"/>
      <c r="FXC109" s="2"/>
      <c r="FXD109" s="3"/>
      <c r="FXE109" s="2"/>
      <c r="FXF109" s="2"/>
      <c r="FXG109" s="5"/>
      <c r="FXH109" s="2"/>
      <c r="FXI109" s="4"/>
      <c r="FXJ109" s="2"/>
      <c r="FXK109" s="3"/>
      <c r="FXL109" s="2"/>
      <c r="FXM109" s="2"/>
      <c r="FXN109" s="5"/>
      <c r="FXO109" s="2"/>
      <c r="FXP109" s="4"/>
      <c r="FXQ109" s="2"/>
      <c r="FXR109" s="3"/>
      <c r="FXS109" s="2"/>
      <c r="FXT109" s="2"/>
      <c r="FXU109" s="5"/>
      <c r="FXV109" s="2"/>
      <c r="FXW109" s="4"/>
      <c r="FXX109" s="2"/>
      <c r="FXY109" s="3"/>
      <c r="FXZ109" s="2"/>
      <c r="FYA109" s="2"/>
      <c r="FYB109" s="5"/>
      <c r="FYC109" s="2"/>
      <c r="FYD109" s="4"/>
      <c r="FYE109" s="2"/>
      <c r="FYF109" s="3"/>
      <c r="FYG109" s="2"/>
      <c r="FYH109" s="2"/>
      <c r="FYI109" s="5"/>
      <c r="FYJ109" s="2"/>
      <c r="FYK109" s="4"/>
      <c r="FYL109" s="2"/>
      <c r="FYM109" s="3"/>
      <c r="FYN109" s="2"/>
      <c r="FYO109" s="2"/>
      <c r="FYP109" s="5"/>
      <c r="FYQ109" s="2"/>
      <c r="FYR109" s="4"/>
      <c r="FYS109" s="2"/>
      <c r="FYT109" s="3"/>
      <c r="FYU109" s="2"/>
      <c r="FYV109" s="2"/>
      <c r="FYW109" s="5"/>
      <c r="FYX109" s="2"/>
      <c r="FYY109" s="4"/>
      <c r="FYZ109" s="2"/>
      <c r="FZA109" s="3"/>
      <c r="FZB109" s="2"/>
      <c r="FZC109" s="2"/>
      <c r="FZD109" s="5"/>
      <c r="FZE109" s="2"/>
      <c r="FZF109" s="4"/>
      <c r="FZG109" s="2"/>
      <c r="FZH109" s="3"/>
      <c r="FZI109" s="2"/>
      <c r="FZJ109" s="2"/>
      <c r="FZK109" s="5"/>
      <c r="FZL109" s="2"/>
      <c r="FZM109" s="4"/>
      <c r="FZN109" s="2"/>
      <c r="FZO109" s="3"/>
      <c r="FZP109" s="2"/>
      <c r="FZQ109" s="2"/>
      <c r="FZR109" s="5"/>
      <c r="FZS109" s="2"/>
      <c r="FZT109" s="4"/>
      <c r="FZU109" s="2"/>
      <c r="FZV109" s="3"/>
      <c r="FZW109" s="2"/>
      <c r="FZX109" s="2"/>
      <c r="FZY109" s="5"/>
      <c r="FZZ109" s="2"/>
      <c r="GAA109" s="4"/>
      <c r="GAB109" s="2"/>
      <c r="GAC109" s="3"/>
      <c r="GAD109" s="2"/>
      <c r="GAE109" s="2"/>
      <c r="GAF109" s="5"/>
      <c r="GAG109" s="2"/>
      <c r="GAH109" s="4"/>
      <c r="GAI109" s="2"/>
      <c r="GAJ109" s="3"/>
      <c r="GAK109" s="2"/>
      <c r="GAL109" s="2"/>
      <c r="GAM109" s="5"/>
      <c r="GAN109" s="2"/>
      <c r="GAO109" s="4"/>
      <c r="GAP109" s="2"/>
      <c r="GAQ109" s="3"/>
      <c r="GAR109" s="2"/>
      <c r="GAS109" s="2"/>
      <c r="GAT109" s="5"/>
      <c r="GAU109" s="2"/>
      <c r="GAV109" s="4"/>
      <c r="GAW109" s="2"/>
      <c r="GAX109" s="3"/>
      <c r="GAY109" s="2"/>
      <c r="GAZ109" s="2"/>
      <c r="GBA109" s="5"/>
      <c r="GBB109" s="2"/>
      <c r="GBC109" s="4"/>
      <c r="GBD109" s="2"/>
      <c r="GBE109" s="3"/>
      <c r="GBF109" s="2"/>
      <c r="GBG109" s="2"/>
      <c r="GBH109" s="5"/>
      <c r="GBI109" s="2"/>
      <c r="GBJ109" s="4"/>
      <c r="GBK109" s="2"/>
      <c r="GBL109" s="3"/>
      <c r="GBM109" s="2"/>
      <c r="GBN109" s="2"/>
      <c r="GBO109" s="5"/>
      <c r="GBP109" s="2"/>
      <c r="GBQ109" s="4"/>
      <c r="GBR109" s="2"/>
      <c r="GBS109" s="3"/>
      <c r="GBT109" s="2"/>
      <c r="GBU109" s="2"/>
      <c r="GBV109" s="5"/>
      <c r="GBW109" s="2"/>
      <c r="GBX109" s="4"/>
      <c r="GBY109" s="2"/>
      <c r="GBZ109" s="3"/>
      <c r="GCA109" s="2"/>
      <c r="GCB109" s="2"/>
      <c r="GCC109" s="5"/>
      <c r="GCD109" s="2"/>
      <c r="GCE109" s="4"/>
      <c r="GCF109" s="2"/>
      <c r="GCG109" s="3"/>
      <c r="GCH109" s="2"/>
      <c r="GCI109" s="2"/>
      <c r="GCJ109" s="5"/>
      <c r="GCK109" s="2"/>
      <c r="GCL109" s="4"/>
      <c r="GCM109" s="2"/>
      <c r="GCN109" s="3"/>
      <c r="GCO109" s="2"/>
      <c r="GCP109" s="2"/>
      <c r="GCQ109" s="5"/>
      <c r="GCR109" s="2"/>
      <c r="GCS109" s="4"/>
      <c r="GCT109" s="2"/>
      <c r="GCU109" s="3"/>
      <c r="GCV109" s="2"/>
      <c r="GCW109" s="2"/>
      <c r="GCX109" s="5"/>
      <c r="GCY109" s="2"/>
      <c r="GCZ109" s="4"/>
      <c r="GDA109" s="2"/>
      <c r="GDB109" s="3"/>
      <c r="GDC109" s="2"/>
      <c r="GDD109" s="2"/>
      <c r="GDE109" s="5"/>
      <c r="GDF109" s="2"/>
      <c r="GDG109" s="4"/>
      <c r="GDH109" s="2"/>
      <c r="GDI109" s="3"/>
      <c r="GDJ109" s="2"/>
      <c r="GDK109" s="2"/>
      <c r="GDL109" s="5"/>
      <c r="GDM109" s="2"/>
      <c r="GDN109" s="4"/>
      <c r="GDO109" s="2"/>
      <c r="GDP109" s="3"/>
      <c r="GDQ109" s="2"/>
      <c r="GDR109" s="2"/>
      <c r="GDS109" s="5"/>
      <c r="GDT109" s="2"/>
      <c r="GDU109" s="4"/>
      <c r="GDV109" s="2"/>
      <c r="GDW109" s="3"/>
      <c r="GDX109" s="2"/>
      <c r="GDY109" s="2"/>
      <c r="GDZ109" s="5"/>
      <c r="GEA109" s="2"/>
      <c r="GEB109" s="4"/>
      <c r="GEC109" s="2"/>
      <c r="GED109" s="3"/>
      <c r="GEE109" s="2"/>
      <c r="GEF109" s="2"/>
      <c r="GEG109" s="5"/>
      <c r="GEH109" s="2"/>
      <c r="GEI109" s="4"/>
      <c r="GEJ109" s="2"/>
      <c r="GEK109" s="3"/>
      <c r="GEL109" s="2"/>
      <c r="GEM109" s="2"/>
      <c r="GEN109" s="5"/>
      <c r="GEO109" s="2"/>
      <c r="GEP109" s="4"/>
      <c r="GEQ109" s="2"/>
      <c r="GER109" s="3"/>
      <c r="GES109" s="2"/>
      <c r="GET109" s="2"/>
      <c r="GEU109" s="5"/>
      <c r="GEV109" s="2"/>
      <c r="GEW109" s="4"/>
      <c r="GEX109" s="2"/>
      <c r="GEY109" s="3"/>
      <c r="GEZ109" s="2"/>
      <c r="GFA109" s="2"/>
      <c r="GFB109" s="5"/>
      <c r="GFC109" s="2"/>
      <c r="GFD109" s="4"/>
      <c r="GFE109" s="2"/>
      <c r="GFF109" s="3"/>
      <c r="GFG109" s="2"/>
      <c r="GFH109" s="2"/>
      <c r="GFI109" s="5"/>
      <c r="GFJ109" s="2"/>
      <c r="GFK109" s="4"/>
      <c r="GFL109" s="2"/>
      <c r="GFM109" s="3"/>
      <c r="GFN109" s="2"/>
      <c r="GFO109" s="2"/>
      <c r="GFP109" s="5"/>
      <c r="GFQ109" s="2"/>
      <c r="GFR109" s="4"/>
      <c r="GFS109" s="2"/>
      <c r="GFT109" s="3"/>
      <c r="GFU109" s="2"/>
      <c r="GFV109" s="2"/>
      <c r="GFW109" s="5"/>
      <c r="GFX109" s="2"/>
      <c r="GFY109" s="4"/>
      <c r="GFZ109" s="2"/>
      <c r="GGA109" s="3"/>
      <c r="GGB109" s="2"/>
      <c r="GGC109" s="2"/>
      <c r="GGD109" s="5"/>
      <c r="GGE109" s="2"/>
      <c r="GGF109" s="4"/>
      <c r="GGG109" s="2"/>
      <c r="GGH109" s="3"/>
      <c r="GGI109" s="2"/>
      <c r="GGJ109" s="2"/>
      <c r="GGK109" s="5"/>
      <c r="GGL109" s="2"/>
      <c r="GGM109" s="4"/>
      <c r="GGN109" s="2"/>
      <c r="GGO109" s="3"/>
      <c r="GGP109" s="2"/>
      <c r="GGQ109" s="2"/>
      <c r="GGR109" s="5"/>
      <c r="GGS109" s="2"/>
      <c r="GGT109" s="4"/>
      <c r="GGU109" s="2"/>
      <c r="GGV109" s="3"/>
      <c r="GGW109" s="2"/>
      <c r="GGX109" s="2"/>
      <c r="GGY109" s="5"/>
      <c r="GGZ109" s="2"/>
      <c r="GHA109" s="4"/>
      <c r="GHB109" s="2"/>
      <c r="GHC109" s="3"/>
      <c r="GHD109" s="2"/>
      <c r="GHE109" s="2"/>
      <c r="GHF109" s="5"/>
      <c r="GHG109" s="2"/>
      <c r="GHH109" s="4"/>
      <c r="GHI109" s="2"/>
      <c r="GHJ109" s="3"/>
      <c r="GHK109" s="2"/>
      <c r="GHL109" s="2"/>
      <c r="GHM109" s="5"/>
      <c r="GHN109" s="2"/>
      <c r="GHO109" s="4"/>
      <c r="GHP109" s="2"/>
      <c r="GHQ109" s="3"/>
      <c r="GHR109" s="2"/>
      <c r="GHS109" s="2"/>
      <c r="GHT109" s="5"/>
      <c r="GHU109" s="2"/>
      <c r="GHV109" s="4"/>
      <c r="GHW109" s="2"/>
      <c r="GHX109" s="3"/>
      <c r="GHY109" s="2"/>
      <c r="GHZ109" s="2"/>
      <c r="GIA109" s="5"/>
      <c r="GIB109" s="2"/>
      <c r="GIC109" s="4"/>
      <c r="GID109" s="2"/>
      <c r="GIE109" s="3"/>
      <c r="GIF109" s="2"/>
      <c r="GIG109" s="2"/>
      <c r="GIH109" s="5"/>
      <c r="GII109" s="2"/>
      <c r="GIJ109" s="4"/>
      <c r="GIK109" s="2"/>
      <c r="GIL109" s="3"/>
      <c r="GIM109" s="2"/>
      <c r="GIN109" s="2"/>
      <c r="GIO109" s="5"/>
      <c r="GIP109" s="2"/>
      <c r="GIQ109" s="4"/>
      <c r="GIR109" s="2"/>
      <c r="GIS109" s="3"/>
      <c r="GIT109" s="2"/>
      <c r="GIU109" s="2"/>
      <c r="GIV109" s="5"/>
      <c r="GIW109" s="2"/>
      <c r="GIX109" s="4"/>
      <c r="GIY109" s="2"/>
      <c r="GIZ109" s="3"/>
      <c r="GJA109" s="2"/>
      <c r="GJB109" s="2"/>
      <c r="GJC109" s="5"/>
      <c r="GJD109" s="2"/>
      <c r="GJE109" s="4"/>
      <c r="GJF109" s="2"/>
      <c r="GJG109" s="3"/>
      <c r="GJH109" s="2"/>
      <c r="GJI109" s="2"/>
      <c r="GJJ109" s="5"/>
      <c r="GJK109" s="2"/>
      <c r="GJL109" s="4"/>
      <c r="GJM109" s="2"/>
      <c r="GJN109" s="3"/>
      <c r="GJO109" s="2"/>
      <c r="GJP109" s="2"/>
      <c r="GJQ109" s="5"/>
      <c r="GJR109" s="2"/>
      <c r="GJS109" s="4"/>
      <c r="GJT109" s="2"/>
      <c r="GJU109" s="3"/>
      <c r="GJV109" s="2"/>
      <c r="GJW109" s="2"/>
      <c r="GJX109" s="5"/>
      <c r="GJY109" s="2"/>
      <c r="GJZ109" s="4"/>
      <c r="GKA109" s="2"/>
      <c r="GKB109" s="3"/>
      <c r="GKC109" s="2"/>
      <c r="GKD109" s="2"/>
      <c r="GKE109" s="5"/>
      <c r="GKF109" s="2"/>
      <c r="GKG109" s="4"/>
      <c r="GKH109" s="2"/>
      <c r="GKI109" s="3"/>
      <c r="GKJ109" s="2"/>
      <c r="GKK109" s="2"/>
      <c r="GKL109" s="5"/>
      <c r="GKM109" s="2"/>
      <c r="GKN109" s="4"/>
      <c r="GKO109" s="2"/>
      <c r="GKP109" s="3"/>
      <c r="GKQ109" s="2"/>
      <c r="GKR109" s="2"/>
      <c r="GKS109" s="5"/>
      <c r="GKT109" s="2"/>
      <c r="GKU109" s="4"/>
      <c r="GKV109" s="2"/>
      <c r="GKW109" s="3"/>
      <c r="GKX109" s="2"/>
      <c r="GKY109" s="2"/>
      <c r="GKZ109" s="5"/>
      <c r="GLA109" s="2"/>
      <c r="GLB109" s="4"/>
      <c r="GLC109" s="2"/>
      <c r="GLD109" s="3"/>
      <c r="GLE109" s="2"/>
      <c r="GLF109" s="2"/>
      <c r="GLG109" s="5"/>
      <c r="GLH109" s="2"/>
      <c r="GLI109" s="4"/>
      <c r="GLJ109" s="2"/>
      <c r="GLK109" s="3"/>
      <c r="GLL109" s="2"/>
      <c r="GLM109" s="2"/>
      <c r="GLN109" s="5"/>
      <c r="GLO109" s="2"/>
      <c r="GLP109" s="4"/>
      <c r="GLQ109" s="2"/>
      <c r="GLR109" s="3"/>
      <c r="GLS109" s="2"/>
      <c r="GLT109" s="2"/>
      <c r="GLU109" s="5"/>
      <c r="GLV109" s="2"/>
      <c r="GLW109" s="4"/>
      <c r="GLX109" s="2"/>
      <c r="GLY109" s="3"/>
      <c r="GLZ109" s="2"/>
      <c r="GMA109" s="2"/>
      <c r="GMB109" s="5"/>
      <c r="GMC109" s="2"/>
      <c r="GMD109" s="4"/>
      <c r="GME109" s="2"/>
      <c r="GMF109" s="3"/>
      <c r="GMG109" s="2"/>
      <c r="GMH109" s="2"/>
      <c r="GMI109" s="5"/>
      <c r="GMJ109" s="2"/>
      <c r="GMK109" s="4"/>
      <c r="GML109" s="2"/>
      <c r="GMM109" s="3"/>
      <c r="GMN109" s="2"/>
      <c r="GMO109" s="2"/>
      <c r="GMP109" s="5"/>
      <c r="GMQ109" s="2"/>
      <c r="GMR109" s="4"/>
      <c r="GMS109" s="2"/>
      <c r="GMT109" s="3"/>
      <c r="GMU109" s="2"/>
      <c r="GMV109" s="2"/>
      <c r="GMW109" s="5"/>
      <c r="GMX109" s="2"/>
      <c r="GMY109" s="4"/>
      <c r="GMZ109" s="2"/>
      <c r="GNA109" s="3"/>
      <c r="GNB109" s="2"/>
      <c r="GNC109" s="2"/>
      <c r="GND109" s="5"/>
      <c r="GNE109" s="2"/>
      <c r="GNF109" s="4"/>
      <c r="GNG109" s="2"/>
      <c r="GNH109" s="3"/>
      <c r="GNI109" s="2"/>
      <c r="GNJ109" s="2"/>
      <c r="GNK109" s="5"/>
      <c r="GNL109" s="2"/>
      <c r="GNM109" s="4"/>
      <c r="GNN109" s="2"/>
      <c r="GNO109" s="3"/>
      <c r="GNP109" s="2"/>
      <c r="GNQ109" s="2"/>
      <c r="GNR109" s="5"/>
      <c r="GNS109" s="2"/>
      <c r="GNT109" s="4"/>
      <c r="GNU109" s="2"/>
      <c r="GNV109" s="3"/>
      <c r="GNW109" s="2"/>
      <c r="GNX109" s="2"/>
      <c r="GNY109" s="5"/>
      <c r="GNZ109" s="2"/>
      <c r="GOA109" s="4"/>
      <c r="GOB109" s="2"/>
      <c r="GOC109" s="3"/>
      <c r="GOD109" s="2"/>
      <c r="GOE109" s="2"/>
      <c r="GOF109" s="5"/>
      <c r="GOG109" s="2"/>
      <c r="GOH109" s="4"/>
      <c r="GOI109" s="2"/>
      <c r="GOJ109" s="3"/>
      <c r="GOK109" s="2"/>
      <c r="GOL109" s="2"/>
      <c r="GOM109" s="5"/>
      <c r="GON109" s="2"/>
      <c r="GOO109" s="4"/>
      <c r="GOP109" s="2"/>
      <c r="GOQ109" s="3"/>
      <c r="GOR109" s="2"/>
      <c r="GOS109" s="2"/>
      <c r="GOT109" s="5"/>
      <c r="GOU109" s="2"/>
      <c r="GOV109" s="4"/>
      <c r="GOW109" s="2"/>
      <c r="GOX109" s="3"/>
      <c r="GOY109" s="2"/>
      <c r="GOZ109" s="2"/>
      <c r="GPA109" s="5"/>
      <c r="GPB109" s="2"/>
      <c r="GPC109" s="4"/>
      <c r="GPD109" s="2"/>
      <c r="GPE109" s="3"/>
      <c r="GPF109" s="2"/>
      <c r="GPG109" s="2"/>
      <c r="GPH109" s="5"/>
      <c r="GPI109" s="2"/>
      <c r="GPJ109" s="4"/>
      <c r="GPK109" s="2"/>
      <c r="GPL109" s="3"/>
      <c r="GPM109" s="2"/>
      <c r="GPN109" s="2"/>
      <c r="GPO109" s="5"/>
      <c r="GPP109" s="2"/>
      <c r="GPQ109" s="4"/>
      <c r="GPR109" s="2"/>
      <c r="GPS109" s="3"/>
      <c r="GPT109" s="2"/>
      <c r="GPU109" s="2"/>
      <c r="GPV109" s="5"/>
      <c r="GPW109" s="2"/>
      <c r="GPX109" s="4"/>
      <c r="GPY109" s="2"/>
      <c r="GPZ109" s="3"/>
      <c r="GQA109" s="2"/>
      <c r="GQB109" s="2"/>
      <c r="GQC109" s="5"/>
      <c r="GQD109" s="2"/>
      <c r="GQE109" s="4"/>
      <c r="GQF109" s="2"/>
      <c r="GQG109" s="3"/>
      <c r="GQH109" s="2"/>
      <c r="GQI109" s="2"/>
      <c r="GQJ109" s="5"/>
      <c r="GQK109" s="2"/>
      <c r="GQL109" s="4"/>
      <c r="GQM109" s="2"/>
      <c r="GQN109" s="3"/>
      <c r="GQO109" s="2"/>
      <c r="GQP109" s="2"/>
      <c r="GQQ109" s="5"/>
      <c r="GQR109" s="2"/>
      <c r="GQS109" s="4"/>
      <c r="GQT109" s="2"/>
      <c r="GQU109" s="3"/>
      <c r="GQV109" s="2"/>
      <c r="GQW109" s="2"/>
      <c r="GQX109" s="5"/>
      <c r="GQY109" s="2"/>
      <c r="GQZ109" s="4"/>
      <c r="GRA109" s="2"/>
      <c r="GRB109" s="3"/>
      <c r="GRC109" s="2"/>
      <c r="GRD109" s="2"/>
      <c r="GRE109" s="5"/>
      <c r="GRF109" s="2"/>
      <c r="GRG109" s="4"/>
      <c r="GRH109" s="2"/>
      <c r="GRI109" s="3"/>
      <c r="GRJ109" s="2"/>
      <c r="GRK109" s="2"/>
      <c r="GRL109" s="5"/>
      <c r="GRM109" s="2"/>
      <c r="GRN109" s="4"/>
      <c r="GRO109" s="2"/>
      <c r="GRP109" s="3"/>
      <c r="GRQ109" s="2"/>
      <c r="GRR109" s="2"/>
      <c r="GRS109" s="5"/>
      <c r="GRT109" s="2"/>
      <c r="GRU109" s="4"/>
      <c r="GRV109" s="2"/>
      <c r="GRW109" s="3"/>
      <c r="GRX109" s="2"/>
      <c r="GRY109" s="2"/>
      <c r="GRZ109" s="5"/>
      <c r="GSA109" s="2"/>
      <c r="GSB109" s="4"/>
      <c r="GSC109" s="2"/>
      <c r="GSD109" s="3"/>
      <c r="GSE109" s="2"/>
      <c r="GSF109" s="2"/>
      <c r="GSG109" s="5"/>
      <c r="GSH109" s="2"/>
      <c r="GSI109" s="4"/>
      <c r="GSJ109" s="2"/>
      <c r="GSK109" s="3"/>
      <c r="GSL109" s="2"/>
      <c r="GSM109" s="2"/>
      <c r="GSN109" s="5"/>
      <c r="GSO109" s="2"/>
      <c r="GSP109" s="4"/>
      <c r="GSQ109" s="2"/>
      <c r="GSR109" s="3"/>
      <c r="GSS109" s="2"/>
      <c r="GST109" s="2"/>
      <c r="GSU109" s="5"/>
      <c r="GSV109" s="2"/>
      <c r="GSW109" s="4"/>
      <c r="GSX109" s="2"/>
      <c r="GSY109" s="3"/>
      <c r="GSZ109" s="2"/>
      <c r="GTA109" s="2"/>
      <c r="GTB109" s="5"/>
      <c r="GTC109" s="2"/>
      <c r="GTD109" s="4"/>
      <c r="GTE109" s="2"/>
      <c r="GTF109" s="3"/>
      <c r="GTG109" s="2"/>
      <c r="GTH109" s="2"/>
      <c r="GTI109" s="5"/>
      <c r="GTJ109" s="2"/>
      <c r="GTK109" s="4"/>
      <c r="GTL109" s="2"/>
      <c r="GTM109" s="3"/>
      <c r="GTN109" s="2"/>
      <c r="GTO109" s="2"/>
      <c r="GTP109" s="5"/>
      <c r="GTQ109" s="2"/>
      <c r="GTR109" s="4"/>
      <c r="GTS109" s="2"/>
      <c r="GTT109" s="3"/>
      <c r="GTU109" s="2"/>
      <c r="GTV109" s="2"/>
      <c r="GTW109" s="5"/>
      <c r="GTX109" s="2"/>
      <c r="GTY109" s="4"/>
      <c r="GTZ109" s="2"/>
      <c r="GUA109" s="3"/>
      <c r="GUB109" s="2"/>
      <c r="GUC109" s="2"/>
      <c r="GUD109" s="5"/>
      <c r="GUE109" s="2"/>
      <c r="GUF109" s="4"/>
      <c r="GUG109" s="2"/>
      <c r="GUH109" s="3"/>
      <c r="GUI109" s="2"/>
      <c r="GUJ109" s="2"/>
      <c r="GUK109" s="5"/>
      <c r="GUL109" s="2"/>
      <c r="GUM109" s="4"/>
      <c r="GUN109" s="2"/>
      <c r="GUO109" s="3"/>
      <c r="GUP109" s="2"/>
      <c r="GUQ109" s="2"/>
      <c r="GUR109" s="5"/>
      <c r="GUS109" s="2"/>
      <c r="GUT109" s="4"/>
      <c r="GUU109" s="2"/>
      <c r="GUV109" s="3"/>
      <c r="GUW109" s="2"/>
      <c r="GUX109" s="2"/>
      <c r="GUY109" s="5"/>
      <c r="GUZ109" s="2"/>
      <c r="GVA109" s="4"/>
      <c r="GVB109" s="2"/>
      <c r="GVC109" s="3"/>
      <c r="GVD109" s="2"/>
      <c r="GVE109" s="2"/>
      <c r="GVF109" s="5"/>
      <c r="GVG109" s="2"/>
      <c r="GVH109" s="4"/>
      <c r="GVI109" s="2"/>
      <c r="GVJ109" s="3"/>
      <c r="GVK109" s="2"/>
      <c r="GVL109" s="2"/>
      <c r="GVM109" s="5"/>
      <c r="GVN109" s="2"/>
      <c r="GVO109" s="4"/>
      <c r="GVP109" s="2"/>
      <c r="GVQ109" s="3"/>
      <c r="GVR109" s="2"/>
      <c r="GVS109" s="2"/>
      <c r="GVT109" s="5"/>
      <c r="GVU109" s="2"/>
      <c r="GVV109" s="4"/>
      <c r="GVW109" s="2"/>
      <c r="GVX109" s="3"/>
      <c r="GVY109" s="2"/>
      <c r="GVZ109" s="2"/>
      <c r="GWA109" s="5"/>
      <c r="GWB109" s="2"/>
      <c r="GWC109" s="4"/>
      <c r="GWD109" s="2"/>
      <c r="GWE109" s="3"/>
      <c r="GWF109" s="2"/>
      <c r="GWG109" s="2"/>
      <c r="GWH109" s="5"/>
      <c r="GWI109" s="2"/>
      <c r="GWJ109" s="4"/>
      <c r="GWK109" s="2"/>
      <c r="GWL109" s="3"/>
      <c r="GWM109" s="2"/>
      <c r="GWN109" s="2"/>
      <c r="GWO109" s="5"/>
      <c r="GWP109" s="2"/>
      <c r="GWQ109" s="4"/>
      <c r="GWR109" s="2"/>
      <c r="GWS109" s="3"/>
      <c r="GWT109" s="2"/>
      <c r="GWU109" s="2"/>
      <c r="GWV109" s="5"/>
      <c r="GWW109" s="2"/>
      <c r="GWX109" s="4"/>
      <c r="GWY109" s="2"/>
      <c r="GWZ109" s="3"/>
      <c r="GXA109" s="2"/>
      <c r="GXB109" s="2"/>
      <c r="GXC109" s="5"/>
      <c r="GXD109" s="2"/>
      <c r="GXE109" s="4"/>
      <c r="GXF109" s="2"/>
      <c r="GXG109" s="3"/>
      <c r="GXH109" s="2"/>
      <c r="GXI109" s="2"/>
      <c r="GXJ109" s="5"/>
      <c r="GXK109" s="2"/>
      <c r="GXL109" s="4"/>
      <c r="GXM109" s="2"/>
      <c r="GXN109" s="3"/>
      <c r="GXO109" s="2"/>
      <c r="GXP109" s="2"/>
      <c r="GXQ109" s="5"/>
      <c r="GXR109" s="2"/>
      <c r="GXS109" s="4"/>
      <c r="GXT109" s="2"/>
      <c r="GXU109" s="3"/>
      <c r="GXV109" s="2"/>
      <c r="GXW109" s="2"/>
      <c r="GXX109" s="5"/>
      <c r="GXY109" s="2"/>
      <c r="GXZ109" s="4"/>
      <c r="GYA109" s="2"/>
      <c r="GYB109" s="3"/>
      <c r="GYC109" s="2"/>
      <c r="GYD109" s="2"/>
      <c r="GYE109" s="5"/>
      <c r="GYF109" s="2"/>
      <c r="GYG109" s="4"/>
      <c r="GYH109" s="2"/>
      <c r="GYI109" s="3"/>
      <c r="GYJ109" s="2"/>
      <c r="GYK109" s="2"/>
      <c r="GYL109" s="5"/>
      <c r="GYM109" s="2"/>
      <c r="GYN109" s="4"/>
      <c r="GYO109" s="2"/>
      <c r="GYP109" s="3"/>
      <c r="GYQ109" s="2"/>
      <c r="GYR109" s="2"/>
      <c r="GYS109" s="5"/>
      <c r="GYT109" s="2"/>
      <c r="GYU109" s="4"/>
      <c r="GYV109" s="2"/>
      <c r="GYW109" s="3"/>
      <c r="GYX109" s="2"/>
      <c r="GYY109" s="2"/>
      <c r="GYZ109" s="5"/>
      <c r="GZA109" s="2"/>
      <c r="GZB109" s="4"/>
      <c r="GZC109" s="2"/>
      <c r="GZD109" s="3"/>
      <c r="GZE109" s="2"/>
      <c r="GZF109" s="2"/>
      <c r="GZG109" s="5"/>
      <c r="GZH109" s="2"/>
      <c r="GZI109" s="4"/>
      <c r="GZJ109" s="2"/>
      <c r="GZK109" s="3"/>
      <c r="GZL109" s="2"/>
      <c r="GZM109" s="2"/>
      <c r="GZN109" s="5"/>
      <c r="GZO109" s="2"/>
      <c r="GZP109" s="4"/>
      <c r="GZQ109" s="2"/>
      <c r="GZR109" s="3"/>
      <c r="GZS109" s="2"/>
      <c r="GZT109" s="2"/>
      <c r="GZU109" s="5"/>
      <c r="GZV109" s="2"/>
      <c r="GZW109" s="4"/>
      <c r="GZX109" s="2"/>
      <c r="GZY109" s="3"/>
      <c r="GZZ109" s="2"/>
      <c r="HAA109" s="2"/>
      <c r="HAB109" s="5"/>
      <c r="HAC109" s="2"/>
      <c r="HAD109" s="4"/>
      <c r="HAE109" s="2"/>
      <c r="HAF109" s="3"/>
      <c r="HAG109" s="2"/>
      <c r="HAH109" s="2"/>
      <c r="HAI109" s="5"/>
      <c r="HAJ109" s="2"/>
      <c r="HAK109" s="4"/>
      <c r="HAL109" s="2"/>
      <c r="HAM109" s="3"/>
      <c r="HAN109" s="2"/>
      <c r="HAO109" s="2"/>
      <c r="HAP109" s="5"/>
      <c r="HAQ109" s="2"/>
      <c r="HAR109" s="4"/>
      <c r="HAS109" s="2"/>
      <c r="HAT109" s="3"/>
      <c r="HAU109" s="2"/>
      <c r="HAV109" s="2"/>
      <c r="HAW109" s="5"/>
      <c r="HAX109" s="2"/>
      <c r="HAY109" s="4"/>
      <c r="HAZ109" s="2"/>
      <c r="HBA109" s="3"/>
      <c r="HBB109" s="2"/>
      <c r="HBC109" s="2"/>
      <c r="HBD109" s="5"/>
      <c r="HBE109" s="2"/>
      <c r="HBF109" s="4"/>
      <c r="HBG109" s="2"/>
      <c r="HBH109" s="3"/>
      <c r="HBI109" s="2"/>
      <c r="HBJ109" s="2"/>
      <c r="HBK109" s="5"/>
      <c r="HBL109" s="2"/>
      <c r="HBM109" s="4"/>
      <c r="HBN109" s="2"/>
      <c r="HBO109" s="3"/>
      <c r="HBP109" s="2"/>
      <c r="HBQ109" s="2"/>
      <c r="HBR109" s="5"/>
      <c r="HBS109" s="2"/>
      <c r="HBT109" s="4"/>
      <c r="HBU109" s="2"/>
      <c r="HBV109" s="3"/>
      <c r="HBW109" s="2"/>
      <c r="HBX109" s="2"/>
      <c r="HBY109" s="5"/>
      <c r="HBZ109" s="2"/>
      <c r="HCA109" s="4"/>
      <c r="HCB109" s="2"/>
      <c r="HCC109" s="3"/>
      <c r="HCD109" s="2"/>
      <c r="HCE109" s="2"/>
      <c r="HCF109" s="5"/>
      <c r="HCG109" s="2"/>
      <c r="HCH109" s="4"/>
      <c r="HCI109" s="2"/>
      <c r="HCJ109" s="3"/>
      <c r="HCK109" s="2"/>
      <c r="HCL109" s="2"/>
      <c r="HCM109" s="5"/>
      <c r="HCN109" s="2"/>
      <c r="HCO109" s="4"/>
      <c r="HCP109" s="2"/>
      <c r="HCQ109" s="3"/>
      <c r="HCR109" s="2"/>
      <c r="HCS109" s="2"/>
      <c r="HCT109" s="5"/>
      <c r="HCU109" s="2"/>
      <c r="HCV109" s="4"/>
      <c r="HCW109" s="2"/>
      <c r="HCX109" s="3"/>
      <c r="HCY109" s="2"/>
      <c r="HCZ109" s="2"/>
      <c r="HDA109" s="5"/>
      <c r="HDB109" s="2"/>
      <c r="HDC109" s="4"/>
      <c r="HDD109" s="2"/>
      <c r="HDE109" s="3"/>
      <c r="HDF109" s="2"/>
      <c r="HDG109" s="2"/>
      <c r="HDH109" s="5"/>
      <c r="HDI109" s="2"/>
      <c r="HDJ109" s="4"/>
      <c r="HDK109" s="2"/>
      <c r="HDL109" s="3"/>
      <c r="HDM109" s="2"/>
      <c r="HDN109" s="2"/>
      <c r="HDO109" s="5"/>
      <c r="HDP109" s="2"/>
      <c r="HDQ109" s="4"/>
      <c r="HDR109" s="2"/>
      <c r="HDS109" s="3"/>
      <c r="HDT109" s="2"/>
      <c r="HDU109" s="2"/>
      <c r="HDV109" s="5"/>
      <c r="HDW109" s="2"/>
      <c r="HDX109" s="4"/>
      <c r="HDY109" s="2"/>
      <c r="HDZ109" s="3"/>
      <c r="HEA109" s="2"/>
      <c r="HEB109" s="2"/>
      <c r="HEC109" s="5"/>
      <c r="HED109" s="2"/>
      <c r="HEE109" s="4"/>
      <c r="HEF109" s="2"/>
      <c r="HEG109" s="3"/>
      <c r="HEH109" s="2"/>
      <c r="HEI109" s="2"/>
      <c r="HEJ109" s="5"/>
      <c r="HEK109" s="2"/>
      <c r="HEL109" s="4"/>
      <c r="HEM109" s="2"/>
      <c r="HEN109" s="3"/>
      <c r="HEO109" s="2"/>
      <c r="HEP109" s="2"/>
      <c r="HEQ109" s="5"/>
      <c r="HER109" s="2"/>
      <c r="HES109" s="4"/>
      <c r="HET109" s="2"/>
      <c r="HEU109" s="3"/>
      <c r="HEV109" s="2"/>
      <c r="HEW109" s="2"/>
      <c r="HEX109" s="5"/>
      <c r="HEY109" s="2"/>
      <c r="HEZ109" s="4"/>
      <c r="HFA109" s="2"/>
      <c r="HFB109" s="3"/>
      <c r="HFC109" s="2"/>
      <c r="HFD109" s="2"/>
      <c r="HFE109" s="5"/>
      <c r="HFF109" s="2"/>
      <c r="HFG109" s="4"/>
      <c r="HFH109" s="2"/>
      <c r="HFI109" s="3"/>
      <c r="HFJ109" s="2"/>
      <c r="HFK109" s="2"/>
      <c r="HFL109" s="5"/>
      <c r="HFM109" s="2"/>
      <c r="HFN109" s="4"/>
      <c r="HFO109" s="2"/>
      <c r="HFP109" s="3"/>
      <c r="HFQ109" s="2"/>
      <c r="HFR109" s="2"/>
      <c r="HFS109" s="5"/>
      <c r="HFT109" s="2"/>
      <c r="HFU109" s="4"/>
      <c r="HFV109" s="2"/>
      <c r="HFW109" s="3"/>
      <c r="HFX109" s="2"/>
      <c r="HFY109" s="2"/>
      <c r="HFZ109" s="5"/>
      <c r="HGA109" s="2"/>
      <c r="HGB109" s="4"/>
      <c r="HGC109" s="2"/>
      <c r="HGD109" s="3"/>
      <c r="HGE109" s="2"/>
      <c r="HGF109" s="2"/>
      <c r="HGG109" s="5"/>
      <c r="HGH109" s="2"/>
      <c r="HGI109" s="4"/>
      <c r="HGJ109" s="2"/>
      <c r="HGK109" s="3"/>
      <c r="HGL109" s="2"/>
      <c r="HGM109" s="2"/>
      <c r="HGN109" s="5"/>
      <c r="HGO109" s="2"/>
      <c r="HGP109" s="4"/>
      <c r="HGQ109" s="2"/>
      <c r="HGR109" s="3"/>
      <c r="HGS109" s="2"/>
      <c r="HGT109" s="2"/>
      <c r="HGU109" s="5"/>
      <c r="HGV109" s="2"/>
      <c r="HGW109" s="4"/>
      <c r="HGX109" s="2"/>
      <c r="HGY109" s="3"/>
      <c r="HGZ109" s="2"/>
      <c r="HHA109" s="2"/>
      <c r="HHB109" s="5"/>
      <c r="HHC109" s="2"/>
      <c r="HHD109" s="4"/>
      <c r="HHE109" s="2"/>
      <c r="HHF109" s="3"/>
      <c r="HHG109" s="2"/>
      <c r="HHH109" s="2"/>
      <c r="HHI109" s="5"/>
      <c r="HHJ109" s="2"/>
      <c r="HHK109" s="4"/>
      <c r="HHL109" s="2"/>
      <c r="HHM109" s="3"/>
      <c r="HHN109" s="2"/>
      <c r="HHO109" s="2"/>
      <c r="HHP109" s="5"/>
      <c r="HHQ109" s="2"/>
      <c r="HHR109" s="4"/>
      <c r="HHS109" s="2"/>
      <c r="HHT109" s="3"/>
      <c r="HHU109" s="2"/>
      <c r="HHV109" s="2"/>
      <c r="HHW109" s="5"/>
      <c r="HHX109" s="2"/>
      <c r="HHY109" s="4"/>
      <c r="HHZ109" s="2"/>
      <c r="HIA109" s="3"/>
      <c r="HIB109" s="2"/>
      <c r="HIC109" s="2"/>
      <c r="HID109" s="5"/>
      <c r="HIE109" s="2"/>
      <c r="HIF109" s="4"/>
      <c r="HIG109" s="2"/>
      <c r="HIH109" s="3"/>
      <c r="HII109" s="2"/>
      <c r="HIJ109" s="2"/>
      <c r="HIK109" s="5"/>
      <c r="HIL109" s="2"/>
      <c r="HIM109" s="4"/>
      <c r="HIN109" s="2"/>
      <c r="HIO109" s="3"/>
      <c r="HIP109" s="2"/>
      <c r="HIQ109" s="2"/>
      <c r="HIR109" s="5"/>
      <c r="HIS109" s="2"/>
      <c r="HIT109" s="4"/>
      <c r="HIU109" s="2"/>
      <c r="HIV109" s="3"/>
      <c r="HIW109" s="2"/>
      <c r="HIX109" s="2"/>
      <c r="HIY109" s="5"/>
      <c r="HIZ109" s="2"/>
      <c r="HJA109" s="4"/>
      <c r="HJB109" s="2"/>
      <c r="HJC109" s="3"/>
      <c r="HJD109" s="2"/>
      <c r="HJE109" s="2"/>
      <c r="HJF109" s="5"/>
      <c r="HJG109" s="2"/>
      <c r="HJH109" s="4"/>
      <c r="HJI109" s="2"/>
      <c r="HJJ109" s="3"/>
      <c r="HJK109" s="2"/>
      <c r="HJL109" s="2"/>
      <c r="HJM109" s="5"/>
      <c r="HJN109" s="2"/>
      <c r="HJO109" s="4"/>
      <c r="HJP109" s="2"/>
      <c r="HJQ109" s="3"/>
      <c r="HJR109" s="2"/>
      <c r="HJS109" s="2"/>
      <c r="HJT109" s="5"/>
      <c r="HJU109" s="2"/>
      <c r="HJV109" s="4"/>
      <c r="HJW109" s="2"/>
      <c r="HJX109" s="3"/>
      <c r="HJY109" s="2"/>
      <c r="HJZ109" s="2"/>
      <c r="HKA109" s="5"/>
      <c r="HKB109" s="2"/>
      <c r="HKC109" s="4"/>
      <c r="HKD109" s="2"/>
      <c r="HKE109" s="3"/>
      <c r="HKF109" s="2"/>
      <c r="HKG109" s="2"/>
      <c r="HKH109" s="5"/>
      <c r="HKI109" s="2"/>
      <c r="HKJ109" s="4"/>
      <c r="HKK109" s="2"/>
      <c r="HKL109" s="3"/>
      <c r="HKM109" s="2"/>
      <c r="HKN109" s="2"/>
      <c r="HKO109" s="5"/>
      <c r="HKP109" s="2"/>
      <c r="HKQ109" s="4"/>
      <c r="HKR109" s="2"/>
      <c r="HKS109" s="3"/>
      <c r="HKT109" s="2"/>
      <c r="HKU109" s="2"/>
      <c r="HKV109" s="5"/>
      <c r="HKW109" s="2"/>
      <c r="HKX109" s="4"/>
      <c r="HKY109" s="2"/>
      <c r="HKZ109" s="3"/>
      <c r="HLA109" s="2"/>
      <c r="HLB109" s="2"/>
      <c r="HLC109" s="5"/>
      <c r="HLD109" s="2"/>
      <c r="HLE109" s="4"/>
      <c r="HLF109" s="2"/>
      <c r="HLG109" s="3"/>
      <c r="HLH109" s="2"/>
      <c r="HLI109" s="2"/>
      <c r="HLJ109" s="5"/>
      <c r="HLK109" s="2"/>
      <c r="HLL109" s="4"/>
      <c r="HLM109" s="2"/>
      <c r="HLN109" s="3"/>
      <c r="HLO109" s="2"/>
      <c r="HLP109" s="2"/>
      <c r="HLQ109" s="5"/>
      <c r="HLR109" s="2"/>
      <c r="HLS109" s="4"/>
      <c r="HLT109" s="2"/>
      <c r="HLU109" s="3"/>
      <c r="HLV109" s="2"/>
      <c r="HLW109" s="2"/>
      <c r="HLX109" s="5"/>
      <c r="HLY109" s="2"/>
      <c r="HLZ109" s="4"/>
      <c r="HMA109" s="2"/>
      <c r="HMB109" s="3"/>
      <c r="HMC109" s="2"/>
      <c r="HMD109" s="2"/>
      <c r="HME109" s="5"/>
      <c r="HMF109" s="2"/>
      <c r="HMG109" s="4"/>
      <c r="HMH109" s="2"/>
      <c r="HMI109" s="3"/>
      <c r="HMJ109" s="2"/>
      <c r="HMK109" s="2"/>
      <c r="HML109" s="5"/>
      <c r="HMM109" s="2"/>
      <c r="HMN109" s="4"/>
      <c r="HMO109" s="2"/>
      <c r="HMP109" s="3"/>
      <c r="HMQ109" s="2"/>
      <c r="HMR109" s="2"/>
      <c r="HMS109" s="5"/>
      <c r="HMT109" s="2"/>
      <c r="HMU109" s="4"/>
      <c r="HMV109" s="2"/>
      <c r="HMW109" s="3"/>
      <c r="HMX109" s="2"/>
      <c r="HMY109" s="2"/>
      <c r="HMZ109" s="5"/>
      <c r="HNA109" s="2"/>
      <c r="HNB109" s="4"/>
      <c r="HNC109" s="2"/>
      <c r="HND109" s="3"/>
      <c r="HNE109" s="2"/>
      <c r="HNF109" s="2"/>
      <c r="HNG109" s="5"/>
      <c r="HNH109" s="2"/>
      <c r="HNI109" s="4"/>
      <c r="HNJ109" s="2"/>
      <c r="HNK109" s="3"/>
      <c r="HNL109" s="2"/>
      <c r="HNM109" s="2"/>
      <c r="HNN109" s="5"/>
      <c r="HNO109" s="2"/>
      <c r="HNP109" s="4"/>
      <c r="HNQ109" s="2"/>
      <c r="HNR109" s="3"/>
      <c r="HNS109" s="2"/>
      <c r="HNT109" s="2"/>
      <c r="HNU109" s="5"/>
      <c r="HNV109" s="2"/>
      <c r="HNW109" s="4"/>
      <c r="HNX109" s="2"/>
      <c r="HNY109" s="3"/>
      <c r="HNZ109" s="2"/>
      <c r="HOA109" s="2"/>
      <c r="HOB109" s="5"/>
      <c r="HOC109" s="2"/>
      <c r="HOD109" s="4"/>
      <c r="HOE109" s="2"/>
      <c r="HOF109" s="3"/>
      <c r="HOG109" s="2"/>
      <c r="HOH109" s="2"/>
      <c r="HOI109" s="5"/>
      <c r="HOJ109" s="2"/>
      <c r="HOK109" s="4"/>
      <c r="HOL109" s="2"/>
      <c r="HOM109" s="3"/>
      <c r="HON109" s="2"/>
      <c r="HOO109" s="2"/>
      <c r="HOP109" s="5"/>
      <c r="HOQ109" s="2"/>
      <c r="HOR109" s="4"/>
      <c r="HOS109" s="2"/>
      <c r="HOT109" s="3"/>
      <c r="HOU109" s="2"/>
      <c r="HOV109" s="2"/>
      <c r="HOW109" s="5"/>
      <c r="HOX109" s="2"/>
      <c r="HOY109" s="4"/>
      <c r="HOZ109" s="2"/>
      <c r="HPA109" s="3"/>
      <c r="HPB109" s="2"/>
      <c r="HPC109" s="2"/>
      <c r="HPD109" s="5"/>
      <c r="HPE109" s="2"/>
      <c r="HPF109" s="4"/>
      <c r="HPG109" s="2"/>
      <c r="HPH109" s="3"/>
      <c r="HPI109" s="2"/>
      <c r="HPJ109" s="2"/>
      <c r="HPK109" s="5"/>
      <c r="HPL109" s="2"/>
      <c r="HPM109" s="4"/>
      <c r="HPN109" s="2"/>
      <c r="HPO109" s="3"/>
      <c r="HPP109" s="2"/>
      <c r="HPQ109" s="2"/>
      <c r="HPR109" s="5"/>
      <c r="HPS109" s="2"/>
      <c r="HPT109" s="4"/>
      <c r="HPU109" s="2"/>
      <c r="HPV109" s="3"/>
      <c r="HPW109" s="2"/>
      <c r="HPX109" s="2"/>
      <c r="HPY109" s="5"/>
      <c r="HPZ109" s="2"/>
      <c r="HQA109" s="4"/>
      <c r="HQB109" s="2"/>
      <c r="HQC109" s="3"/>
      <c r="HQD109" s="2"/>
      <c r="HQE109" s="2"/>
      <c r="HQF109" s="5"/>
      <c r="HQG109" s="2"/>
      <c r="HQH109" s="4"/>
      <c r="HQI109" s="2"/>
      <c r="HQJ109" s="3"/>
      <c r="HQK109" s="2"/>
      <c r="HQL109" s="2"/>
      <c r="HQM109" s="5"/>
      <c r="HQN109" s="2"/>
      <c r="HQO109" s="4"/>
      <c r="HQP109" s="2"/>
      <c r="HQQ109" s="3"/>
      <c r="HQR109" s="2"/>
      <c r="HQS109" s="2"/>
      <c r="HQT109" s="5"/>
      <c r="HQU109" s="2"/>
      <c r="HQV109" s="4"/>
      <c r="HQW109" s="2"/>
      <c r="HQX109" s="3"/>
      <c r="HQY109" s="2"/>
      <c r="HQZ109" s="2"/>
      <c r="HRA109" s="5"/>
      <c r="HRB109" s="2"/>
      <c r="HRC109" s="4"/>
      <c r="HRD109" s="2"/>
      <c r="HRE109" s="3"/>
      <c r="HRF109" s="2"/>
      <c r="HRG109" s="2"/>
      <c r="HRH109" s="5"/>
      <c r="HRI109" s="2"/>
      <c r="HRJ109" s="4"/>
      <c r="HRK109" s="2"/>
      <c r="HRL109" s="3"/>
      <c r="HRM109" s="2"/>
      <c r="HRN109" s="2"/>
      <c r="HRO109" s="5"/>
      <c r="HRP109" s="2"/>
      <c r="HRQ109" s="4"/>
      <c r="HRR109" s="2"/>
      <c r="HRS109" s="3"/>
      <c r="HRT109" s="2"/>
      <c r="HRU109" s="2"/>
      <c r="HRV109" s="5"/>
      <c r="HRW109" s="2"/>
      <c r="HRX109" s="4"/>
      <c r="HRY109" s="2"/>
      <c r="HRZ109" s="3"/>
      <c r="HSA109" s="2"/>
      <c r="HSB109" s="2"/>
      <c r="HSC109" s="5"/>
      <c r="HSD109" s="2"/>
      <c r="HSE109" s="4"/>
      <c r="HSF109" s="2"/>
      <c r="HSG109" s="3"/>
      <c r="HSH109" s="2"/>
      <c r="HSI109" s="2"/>
      <c r="HSJ109" s="5"/>
      <c r="HSK109" s="2"/>
      <c r="HSL109" s="4"/>
      <c r="HSM109" s="2"/>
      <c r="HSN109" s="3"/>
      <c r="HSO109" s="2"/>
      <c r="HSP109" s="2"/>
      <c r="HSQ109" s="5"/>
      <c r="HSR109" s="2"/>
      <c r="HSS109" s="4"/>
      <c r="HST109" s="2"/>
      <c r="HSU109" s="3"/>
      <c r="HSV109" s="2"/>
      <c r="HSW109" s="2"/>
      <c r="HSX109" s="5"/>
      <c r="HSY109" s="2"/>
      <c r="HSZ109" s="4"/>
      <c r="HTA109" s="2"/>
      <c r="HTB109" s="3"/>
      <c r="HTC109" s="2"/>
      <c r="HTD109" s="2"/>
      <c r="HTE109" s="5"/>
      <c r="HTF109" s="2"/>
      <c r="HTG109" s="4"/>
      <c r="HTH109" s="2"/>
      <c r="HTI109" s="3"/>
      <c r="HTJ109" s="2"/>
      <c r="HTK109" s="2"/>
      <c r="HTL109" s="5"/>
      <c r="HTM109" s="2"/>
      <c r="HTN109" s="4"/>
      <c r="HTO109" s="2"/>
      <c r="HTP109" s="3"/>
      <c r="HTQ109" s="2"/>
      <c r="HTR109" s="2"/>
      <c r="HTS109" s="5"/>
      <c r="HTT109" s="2"/>
      <c r="HTU109" s="4"/>
      <c r="HTV109" s="2"/>
      <c r="HTW109" s="3"/>
      <c r="HTX109" s="2"/>
      <c r="HTY109" s="2"/>
      <c r="HTZ109" s="5"/>
      <c r="HUA109" s="2"/>
      <c r="HUB109" s="4"/>
      <c r="HUC109" s="2"/>
      <c r="HUD109" s="3"/>
      <c r="HUE109" s="2"/>
      <c r="HUF109" s="2"/>
      <c r="HUG109" s="5"/>
      <c r="HUH109" s="2"/>
      <c r="HUI109" s="4"/>
      <c r="HUJ109" s="2"/>
      <c r="HUK109" s="3"/>
      <c r="HUL109" s="2"/>
      <c r="HUM109" s="2"/>
      <c r="HUN109" s="5"/>
      <c r="HUO109" s="2"/>
      <c r="HUP109" s="4"/>
      <c r="HUQ109" s="2"/>
      <c r="HUR109" s="3"/>
      <c r="HUS109" s="2"/>
      <c r="HUT109" s="2"/>
      <c r="HUU109" s="5"/>
      <c r="HUV109" s="2"/>
      <c r="HUW109" s="4"/>
      <c r="HUX109" s="2"/>
      <c r="HUY109" s="3"/>
      <c r="HUZ109" s="2"/>
      <c r="HVA109" s="2"/>
      <c r="HVB109" s="5"/>
      <c r="HVC109" s="2"/>
      <c r="HVD109" s="4"/>
      <c r="HVE109" s="2"/>
      <c r="HVF109" s="3"/>
      <c r="HVG109" s="2"/>
      <c r="HVH109" s="2"/>
      <c r="HVI109" s="5"/>
      <c r="HVJ109" s="2"/>
      <c r="HVK109" s="4"/>
      <c r="HVL109" s="2"/>
      <c r="HVM109" s="3"/>
      <c r="HVN109" s="2"/>
      <c r="HVO109" s="2"/>
      <c r="HVP109" s="5"/>
      <c r="HVQ109" s="2"/>
      <c r="HVR109" s="4"/>
      <c r="HVS109" s="2"/>
      <c r="HVT109" s="3"/>
      <c r="HVU109" s="2"/>
      <c r="HVV109" s="2"/>
      <c r="HVW109" s="5"/>
      <c r="HVX109" s="2"/>
      <c r="HVY109" s="4"/>
      <c r="HVZ109" s="2"/>
      <c r="HWA109" s="3"/>
      <c r="HWB109" s="2"/>
      <c r="HWC109" s="2"/>
      <c r="HWD109" s="5"/>
      <c r="HWE109" s="2"/>
      <c r="HWF109" s="4"/>
      <c r="HWG109" s="2"/>
      <c r="HWH109" s="3"/>
      <c r="HWI109" s="2"/>
      <c r="HWJ109" s="2"/>
      <c r="HWK109" s="5"/>
      <c r="HWL109" s="2"/>
      <c r="HWM109" s="4"/>
      <c r="HWN109" s="2"/>
      <c r="HWO109" s="3"/>
      <c r="HWP109" s="2"/>
      <c r="HWQ109" s="2"/>
      <c r="HWR109" s="5"/>
      <c r="HWS109" s="2"/>
      <c r="HWT109" s="4"/>
      <c r="HWU109" s="2"/>
      <c r="HWV109" s="3"/>
      <c r="HWW109" s="2"/>
      <c r="HWX109" s="2"/>
      <c r="HWY109" s="5"/>
      <c r="HWZ109" s="2"/>
      <c r="HXA109" s="4"/>
      <c r="HXB109" s="2"/>
      <c r="HXC109" s="3"/>
      <c r="HXD109" s="2"/>
      <c r="HXE109" s="2"/>
      <c r="HXF109" s="5"/>
      <c r="HXG109" s="2"/>
      <c r="HXH109" s="4"/>
      <c r="HXI109" s="2"/>
      <c r="HXJ109" s="3"/>
      <c r="HXK109" s="2"/>
      <c r="HXL109" s="2"/>
      <c r="HXM109" s="5"/>
      <c r="HXN109" s="2"/>
      <c r="HXO109" s="4"/>
      <c r="HXP109" s="2"/>
      <c r="HXQ109" s="3"/>
      <c r="HXR109" s="2"/>
      <c r="HXS109" s="2"/>
      <c r="HXT109" s="5"/>
      <c r="HXU109" s="2"/>
      <c r="HXV109" s="4"/>
      <c r="HXW109" s="2"/>
      <c r="HXX109" s="3"/>
      <c r="HXY109" s="2"/>
      <c r="HXZ109" s="2"/>
      <c r="HYA109" s="5"/>
      <c r="HYB109" s="2"/>
      <c r="HYC109" s="4"/>
      <c r="HYD109" s="2"/>
      <c r="HYE109" s="3"/>
      <c r="HYF109" s="2"/>
      <c r="HYG109" s="2"/>
      <c r="HYH109" s="5"/>
      <c r="HYI109" s="2"/>
      <c r="HYJ109" s="4"/>
      <c r="HYK109" s="2"/>
      <c r="HYL109" s="3"/>
      <c r="HYM109" s="2"/>
      <c r="HYN109" s="2"/>
      <c r="HYO109" s="5"/>
      <c r="HYP109" s="2"/>
      <c r="HYQ109" s="4"/>
      <c r="HYR109" s="2"/>
      <c r="HYS109" s="3"/>
      <c r="HYT109" s="2"/>
      <c r="HYU109" s="2"/>
      <c r="HYV109" s="5"/>
      <c r="HYW109" s="2"/>
      <c r="HYX109" s="4"/>
      <c r="HYY109" s="2"/>
      <c r="HYZ109" s="3"/>
      <c r="HZA109" s="2"/>
      <c r="HZB109" s="2"/>
      <c r="HZC109" s="5"/>
      <c r="HZD109" s="2"/>
      <c r="HZE109" s="4"/>
      <c r="HZF109" s="2"/>
      <c r="HZG109" s="3"/>
      <c r="HZH109" s="2"/>
      <c r="HZI109" s="2"/>
      <c r="HZJ109" s="5"/>
      <c r="HZK109" s="2"/>
      <c r="HZL109" s="4"/>
      <c r="HZM109" s="2"/>
      <c r="HZN109" s="3"/>
      <c r="HZO109" s="2"/>
      <c r="HZP109" s="2"/>
      <c r="HZQ109" s="5"/>
      <c r="HZR109" s="2"/>
      <c r="HZS109" s="4"/>
      <c r="HZT109" s="2"/>
      <c r="HZU109" s="3"/>
      <c r="HZV109" s="2"/>
      <c r="HZW109" s="2"/>
      <c r="HZX109" s="5"/>
      <c r="HZY109" s="2"/>
      <c r="HZZ109" s="4"/>
      <c r="IAA109" s="2"/>
      <c r="IAB109" s="3"/>
      <c r="IAC109" s="2"/>
      <c r="IAD109" s="2"/>
      <c r="IAE109" s="5"/>
      <c r="IAF109" s="2"/>
      <c r="IAG109" s="4"/>
      <c r="IAH109" s="2"/>
      <c r="IAI109" s="3"/>
      <c r="IAJ109" s="2"/>
      <c r="IAK109" s="2"/>
      <c r="IAL109" s="5"/>
      <c r="IAM109" s="2"/>
      <c r="IAN109" s="4"/>
      <c r="IAO109" s="2"/>
      <c r="IAP109" s="3"/>
      <c r="IAQ109" s="2"/>
      <c r="IAR109" s="2"/>
      <c r="IAS109" s="5"/>
      <c r="IAT109" s="2"/>
      <c r="IAU109" s="4"/>
      <c r="IAV109" s="2"/>
      <c r="IAW109" s="3"/>
      <c r="IAX109" s="2"/>
      <c r="IAY109" s="2"/>
      <c r="IAZ109" s="5"/>
      <c r="IBA109" s="2"/>
      <c r="IBB109" s="4"/>
      <c r="IBC109" s="2"/>
      <c r="IBD109" s="3"/>
      <c r="IBE109" s="2"/>
      <c r="IBF109" s="2"/>
      <c r="IBG109" s="5"/>
      <c r="IBH109" s="2"/>
      <c r="IBI109" s="4"/>
      <c r="IBJ109" s="2"/>
      <c r="IBK109" s="3"/>
      <c r="IBL109" s="2"/>
      <c r="IBM109" s="2"/>
      <c r="IBN109" s="5"/>
      <c r="IBO109" s="2"/>
      <c r="IBP109" s="4"/>
      <c r="IBQ109" s="2"/>
      <c r="IBR109" s="3"/>
      <c r="IBS109" s="2"/>
      <c r="IBT109" s="2"/>
      <c r="IBU109" s="5"/>
      <c r="IBV109" s="2"/>
      <c r="IBW109" s="4"/>
      <c r="IBX109" s="2"/>
      <c r="IBY109" s="3"/>
      <c r="IBZ109" s="2"/>
      <c r="ICA109" s="2"/>
      <c r="ICB109" s="5"/>
      <c r="ICC109" s="2"/>
      <c r="ICD109" s="4"/>
      <c r="ICE109" s="2"/>
      <c r="ICF109" s="3"/>
      <c r="ICG109" s="2"/>
      <c r="ICH109" s="2"/>
      <c r="ICI109" s="5"/>
      <c r="ICJ109" s="2"/>
      <c r="ICK109" s="4"/>
      <c r="ICL109" s="2"/>
      <c r="ICM109" s="3"/>
      <c r="ICN109" s="2"/>
      <c r="ICO109" s="2"/>
      <c r="ICP109" s="5"/>
      <c r="ICQ109" s="2"/>
      <c r="ICR109" s="4"/>
      <c r="ICS109" s="2"/>
      <c r="ICT109" s="3"/>
      <c r="ICU109" s="2"/>
      <c r="ICV109" s="2"/>
      <c r="ICW109" s="5"/>
      <c r="ICX109" s="2"/>
      <c r="ICY109" s="4"/>
      <c r="ICZ109" s="2"/>
      <c r="IDA109" s="3"/>
      <c r="IDB109" s="2"/>
      <c r="IDC109" s="2"/>
      <c r="IDD109" s="5"/>
      <c r="IDE109" s="2"/>
      <c r="IDF109" s="4"/>
      <c r="IDG109" s="2"/>
      <c r="IDH109" s="3"/>
      <c r="IDI109" s="2"/>
      <c r="IDJ109" s="2"/>
      <c r="IDK109" s="5"/>
      <c r="IDL109" s="2"/>
      <c r="IDM109" s="4"/>
      <c r="IDN109" s="2"/>
      <c r="IDO109" s="3"/>
      <c r="IDP109" s="2"/>
      <c r="IDQ109" s="2"/>
      <c r="IDR109" s="5"/>
      <c r="IDS109" s="2"/>
      <c r="IDT109" s="4"/>
      <c r="IDU109" s="2"/>
      <c r="IDV109" s="3"/>
      <c r="IDW109" s="2"/>
      <c r="IDX109" s="2"/>
      <c r="IDY109" s="5"/>
      <c r="IDZ109" s="2"/>
      <c r="IEA109" s="4"/>
      <c r="IEB109" s="2"/>
      <c r="IEC109" s="3"/>
      <c r="IED109" s="2"/>
      <c r="IEE109" s="2"/>
      <c r="IEF109" s="5"/>
      <c r="IEG109" s="2"/>
      <c r="IEH109" s="4"/>
      <c r="IEI109" s="2"/>
      <c r="IEJ109" s="3"/>
      <c r="IEK109" s="2"/>
      <c r="IEL109" s="2"/>
      <c r="IEM109" s="5"/>
      <c r="IEN109" s="2"/>
      <c r="IEO109" s="4"/>
      <c r="IEP109" s="2"/>
      <c r="IEQ109" s="3"/>
      <c r="IER109" s="2"/>
      <c r="IES109" s="2"/>
      <c r="IET109" s="5"/>
      <c r="IEU109" s="2"/>
      <c r="IEV109" s="4"/>
      <c r="IEW109" s="2"/>
      <c r="IEX109" s="3"/>
      <c r="IEY109" s="2"/>
      <c r="IEZ109" s="2"/>
      <c r="IFA109" s="5"/>
      <c r="IFB109" s="2"/>
      <c r="IFC109" s="4"/>
      <c r="IFD109" s="2"/>
      <c r="IFE109" s="3"/>
      <c r="IFF109" s="2"/>
      <c r="IFG109" s="2"/>
      <c r="IFH109" s="5"/>
      <c r="IFI109" s="2"/>
      <c r="IFJ109" s="4"/>
      <c r="IFK109" s="2"/>
      <c r="IFL109" s="3"/>
      <c r="IFM109" s="2"/>
      <c r="IFN109" s="2"/>
      <c r="IFO109" s="5"/>
      <c r="IFP109" s="2"/>
      <c r="IFQ109" s="4"/>
      <c r="IFR109" s="2"/>
      <c r="IFS109" s="3"/>
      <c r="IFT109" s="2"/>
      <c r="IFU109" s="2"/>
      <c r="IFV109" s="5"/>
      <c r="IFW109" s="2"/>
      <c r="IFX109" s="4"/>
      <c r="IFY109" s="2"/>
      <c r="IFZ109" s="3"/>
      <c r="IGA109" s="2"/>
      <c r="IGB109" s="2"/>
      <c r="IGC109" s="5"/>
      <c r="IGD109" s="2"/>
      <c r="IGE109" s="4"/>
      <c r="IGF109" s="2"/>
      <c r="IGG109" s="3"/>
      <c r="IGH109" s="2"/>
      <c r="IGI109" s="2"/>
      <c r="IGJ109" s="5"/>
      <c r="IGK109" s="2"/>
      <c r="IGL109" s="4"/>
      <c r="IGM109" s="2"/>
      <c r="IGN109" s="3"/>
      <c r="IGO109" s="2"/>
      <c r="IGP109" s="2"/>
      <c r="IGQ109" s="5"/>
      <c r="IGR109" s="2"/>
      <c r="IGS109" s="4"/>
      <c r="IGT109" s="2"/>
      <c r="IGU109" s="3"/>
      <c r="IGV109" s="2"/>
      <c r="IGW109" s="2"/>
      <c r="IGX109" s="5"/>
      <c r="IGY109" s="2"/>
      <c r="IGZ109" s="4"/>
      <c r="IHA109" s="2"/>
      <c r="IHB109" s="3"/>
      <c r="IHC109" s="2"/>
      <c r="IHD109" s="2"/>
      <c r="IHE109" s="5"/>
      <c r="IHF109" s="2"/>
      <c r="IHG109" s="4"/>
      <c r="IHH109" s="2"/>
      <c r="IHI109" s="3"/>
      <c r="IHJ109" s="2"/>
      <c r="IHK109" s="2"/>
      <c r="IHL109" s="5"/>
      <c r="IHM109" s="2"/>
      <c r="IHN109" s="4"/>
      <c r="IHO109" s="2"/>
      <c r="IHP109" s="3"/>
      <c r="IHQ109" s="2"/>
      <c r="IHR109" s="2"/>
      <c r="IHS109" s="5"/>
      <c r="IHT109" s="2"/>
      <c r="IHU109" s="4"/>
      <c r="IHV109" s="2"/>
      <c r="IHW109" s="3"/>
      <c r="IHX109" s="2"/>
      <c r="IHY109" s="2"/>
      <c r="IHZ109" s="5"/>
      <c r="IIA109" s="2"/>
      <c r="IIB109" s="4"/>
      <c r="IIC109" s="2"/>
      <c r="IID109" s="3"/>
      <c r="IIE109" s="2"/>
      <c r="IIF109" s="2"/>
      <c r="IIG109" s="5"/>
      <c r="IIH109" s="2"/>
      <c r="III109" s="4"/>
      <c r="IIJ109" s="2"/>
      <c r="IIK109" s="3"/>
      <c r="IIL109" s="2"/>
      <c r="IIM109" s="2"/>
      <c r="IIN109" s="5"/>
      <c r="IIO109" s="2"/>
      <c r="IIP109" s="4"/>
      <c r="IIQ109" s="2"/>
      <c r="IIR109" s="3"/>
      <c r="IIS109" s="2"/>
      <c r="IIT109" s="2"/>
      <c r="IIU109" s="5"/>
      <c r="IIV109" s="2"/>
      <c r="IIW109" s="4"/>
      <c r="IIX109" s="2"/>
      <c r="IIY109" s="3"/>
      <c r="IIZ109" s="2"/>
      <c r="IJA109" s="2"/>
      <c r="IJB109" s="5"/>
      <c r="IJC109" s="2"/>
      <c r="IJD109" s="4"/>
      <c r="IJE109" s="2"/>
      <c r="IJF109" s="3"/>
      <c r="IJG109" s="2"/>
      <c r="IJH109" s="2"/>
      <c r="IJI109" s="5"/>
      <c r="IJJ109" s="2"/>
      <c r="IJK109" s="4"/>
      <c r="IJL109" s="2"/>
      <c r="IJM109" s="3"/>
      <c r="IJN109" s="2"/>
      <c r="IJO109" s="2"/>
      <c r="IJP109" s="5"/>
      <c r="IJQ109" s="2"/>
      <c r="IJR109" s="4"/>
      <c r="IJS109" s="2"/>
      <c r="IJT109" s="3"/>
      <c r="IJU109" s="2"/>
      <c r="IJV109" s="2"/>
      <c r="IJW109" s="5"/>
      <c r="IJX109" s="2"/>
      <c r="IJY109" s="4"/>
      <c r="IJZ109" s="2"/>
      <c r="IKA109" s="3"/>
      <c r="IKB109" s="2"/>
      <c r="IKC109" s="2"/>
      <c r="IKD109" s="5"/>
      <c r="IKE109" s="2"/>
      <c r="IKF109" s="4"/>
      <c r="IKG109" s="2"/>
      <c r="IKH109" s="3"/>
      <c r="IKI109" s="2"/>
      <c r="IKJ109" s="2"/>
      <c r="IKK109" s="5"/>
      <c r="IKL109" s="2"/>
      <c r="IKM109" s="4"/>
      <c r="IKN109" s="2"/>
      <c r="IKO109" s="3"/>
      <c r="IKP109" s="2"/>
      <c r="IKQ109" s="2"/>
      <c r="IKR109" s="5"/>
      <c r="IKS109" s="2"/>
      <c r="IKT109" s="4"/>
      <c r="IKU109" s="2"/>
      <c r="IKV109" s="3"/>
      <c r="IKW109" s="2"/>
      <c r="IKX109" s="2"/>
      <c r="IKY109" s="5"/>
      <c r="IKZ109" s="2"/>
      <c r="ILA109" s="4"/>
      <c r="ILB109" s="2"/>
      <c r="ILC109" s="3"/>
      <c r="ILD109" s="2"/>
      <c r="ILE109" s="2"/>
      <c r="ILF109" s="5"/>
      <c r="ILG109" s="2"/>
      <c r="ILH109" s="4"/>
      <c r="ILI109" s="2"/>
      <c r="ILJ109" s="3"/>
      <c r="ILK109" s="2"/>
      <c r="ILL109" s="2"/>
      <c r="ILM109" s="5"/>
      <c r="ILN109" s="2"/>
      <c r="ILO109" s="4"/>
      <c r="ILP109" s="2"/>
      <c r="ILQ109" s="3"/>
      <c r="ILR109" s="2"/>
      <c r="ILS109" s="2"/>
      <c r="ILT109" s="5"/>
      <c r="ILU109" s="2"/>
      <c r="ILV109" s="4"/>
      <c r="ILW109" s="2"/>
      <c r="ILX109" s="3"/>
      <c r="ILY109" s="2"/>
      <c r="ILZ109" s="2"/>
      <c r="IMA109" s="5"/>
      <c r="IMB109" s="2"/>
      <c r="IMC109" s="4"/>
      <c r="IMD109" s="2"/>
      <c r="IME109" s="3"/>
      <c r="IMF109" s="2"/>
      <c r="IMG109" s="2"/>
      <c r="IMH109" s="5"/>
      <c r="IMI109" s="2"/>
      <c r="IMJ109" s="4"/>
      <c r="IMK109" s="2"/>
      <c r="IML109" s="3"/>
      <c r="IMM109" s="2"/>
      <c r="IMN109" s="2"/>
      <c r="IMO109" s="5"/>
      <c r="IMP109" s="2"/>
      <c r="IMQ109" s="4"/>
      <c r="IMR109" s="2"/>
      <c r="IMS109" s="3"/>
      <c r="IMT109" s="2"/>
      <c r="IMU109" s="2"/>
      <c r="IMV109" s="5"/>
      <c r="IMW109" s="2"/>
      <c r="IMX109" s="4"/>
      <c r="IMY109" s="2"/>
      <c r="IMZ109" s="3"/>
      <c r="INA109" s="2"/>
      <c r="INB109" s="2"/>
      <c r="INC109" s="5"/>
      <c r="IND109" s="2"/>
      <c r="INE109" s="4"/>
      <c r="INF109" s="2"/>
      <c r="ING109" s="3"/>
      <c r="INH109" s="2"/>
      <c r="INI109" s="2"/>
      <c r="INJ109" s="5"/>
      <c r="INK109" s="2"/>
      <c r="INL109" s="4"/>
      <c r="INM109" s="2"/>
      <c r="INN109" s="3"/>
      <c r="INO109" s="2"/>
      <c r="INP109" s="2"/>
      <c r="INQ109" s="5"/>
      <c r="INR109" s="2"/>
      <c r="INS109" s="4"/>
      <c r="INT109" s="2"/>
      <c r="INU109" s="3"/>
      <c r="INV109" s="2"/>
      <c r="INW109" s="2"/>
      <c r="INX109" s="5"/>
      <c r="INY109" s="2"/>
      <c r="INZ109" s="4"/>
      <c r="IOA109" s="2"/>
      <c r="IOB109" s="3"/>
      <c r="IOC109" s="2"/>
      <c r="IOD109" s="2"/>
      <c r="IOE109" s="5"/>
      <c r="IOF109" s="2"/>
      <c r="IOG109" s="4"/>
      <c r="IOH109" s="2"/>
      <c r="IOI109" s="3"/>
      <c r="IOJ109" s="2"/>
      <c r="IOK109" s="2"/>
      <c r="IOL109" s="5"/>
      <c r="IOM109" s="2"/>
      <c r="ION109" s="4"/>
      <c r="IOO109" s="2"/>
      <c r="IOP109" s="3"/>
      <c r="IOQ109" s="2"/>
      <c r="IOR109" s="2"/>
      <c r="IOS109" s="5"/>
      <c r="IOT109" s="2"/>
      <c r="IOU109" s="4"/>
      <c r="IOV109" s="2"/>
      <c r="IOW109" s="3"/>
      <c r="IOX109" s="2"/>
      <c r="IOY109" s="2"/>
      <c r="IOZ109" s="5"/>
      <c r="IPA109" s="2"/>
      <c r="IPB109" s="4"/>
      <c r="IPC109" s="2"/>
      <c r="IPD109" s="3"/>
      <c r="IPE109" s="2"/>
      <c r="IPF109" s="2"/>
      <c r="IPG109" s="5"/>
      <c r="IPH109" s="2"/>
      <c r="IPI109" s="4"/>
      <c r="IPJ109" s="2"/>
      <c r="IPK109" s="3"/>
      <c r="IPL109" s="2"/>
      <c r="IPM109" s="2"/>
      <c r="IPN109" s="5"/>
      <c r="IPO109" s="2"/>
      <c r="IPP109" s="4"/>
      <c r="IPQ109" s="2"/>
      <c r="IPR109" s="3"/>
      <c r="IPS109" s="2"/>
      <c r="IPT109" s="2"/>
      <c r="IPU109" s="5"/>
      <c r="IPV109" s="2"/>
      <c r="IPW109" s="4"/>
      <c r="IPX109" s="2"/>
      <c r="IPY109" s="3"/>
      <c r="IPZ109" s="2"/>
      <c r="IQA109" s="2"/>
      <c r="IQB109" s="5"/>
      <c r="IQC109" s="2"/>
      <c r="IQD109" s="4"/>
      <c r="IQE109" s="2"/>
      <c r="IQF109" s="3"/>
      <c r="IQG109" s="2"/>
      <c r="IQH109" s="2"/>
      <c r="IQI109" s="5"/>
      <c r="IQJ109" s="2"/>
      <c r="IQK109" s="4"/>
      <c r="IQL109" s="2"/>
      <c r="IQM109" s="3"/>
      <c r="IQN109" s="2"/>
      <c r="IQO109" s="2"/>
      <c r="IQP109" s="5"/>
      <c r="IQQ109" s="2"/>
      <c r="IQR109" s="4"/>
      <c r="IQS109" s="2"/>
      <c r="IQT109" s="3"/>
      <c r="IQU109" s="2"/>
      <c r="IQV109" s="2"/>
      <c r="IQW109" s="5"/>
      <c r="IQX109" s="2"/>
      <c r="IQY109" s="4"/>
      <c r="IQZ109" s="2"/>
      <c r="IRA109" s="3"/>
      <c r="IRB109" s="2"/>
      <c r="IRC109" s="2"/>
      <c r="IRD109" s="5"/>
      <c r="IRE109" s="2"/>
      <c r="IRF109" s="4"/>
      <c r="IRG109" s="2"/>
      <c r="IRH109" s="3"/>
      <c r="IRI109" s="2"/>
      <c r="IRJ109" s="2"/>
      <c r="IRK109" s="5"/>
      <c r="IRL109" s="2"/>
      <c r="IRM109" s="4"/>
      <c r="IRN109" s="2"/>
      <c r="IRO109" s="3"/>
      <c r="IRP109" s="2"/>
      <c r="IRQ109" s="2"/>
      <c r="IRR109" s="5"/>
      <c r="IRS109" s="2"/>
      <c r="IRT109" s="4"/>
      <c r="IRU109" s="2"/>
      <c r="IRV109" s="3"/>
      <c r="IRW109" s="2"/>
      <c r="IRX109" s="2"/>
      <c r="IRY109" s="5"/>
      <c r="IRZ109" s="2"/>
      <c r="ISA109" s="4"/>
      <c r="ISB109" s="2"/>
      <c r="ISC109" s="3"/>
      <c r="ISD109" s="2"/>
      <c r="ISE109" s="2"/>
      <c r="ISF109" s="5"/>
      <c r="ISG109" s="2"/>
      <c r="ISH109" s="4"/>
      <c r="ISI109" s="2"/>
      <c r="ISJ109" s="3"/>
      <c r="ISK109" s="2"/>
      <c r="ISL109" s="2"/>
      <c r="ISM109" s="5"/>
      <c r="ISN109" s="2"/>
      <c r="ISO109" s="4"/>
      <c r="ISP109" s="2"/>
      <c r="ISQ109" s="3"/>
      <c r="ISR109" s="2"/>
      <c r="ISS109" s="2"/>
      <c r="IST109" s="5"/>
      <c r="ISU109" s="2"/>
      <c r="ISV109" s="4"/>
      <c r="ISW109" s="2"/>
      <c r="ISX109" s="3"/>
      <c r="ISY109" s="2"/>
      <c r="ISZ109" s="2"/>
      <c r="ITA109" s="5"/>
      <c r="ITB109" s="2"/>
      <c r="ITC109" s="4"/>
      <c r="ITD109" s="2"/>
      <c r="ITE109" s="3"/>
      <c r="ITF109" s="2"/>
      <c r="ITG109" s="2"/>
      <c r="ITH109" s="5"/>
      <c r="ITI109" s="2"/>
      <c r="ITJ109" s="4"/>
      <c r="ITK109" s="2"/>
      <c r="ITL109" s="3"/>
      <c r="ITM109" s="2"/>
      <c r="ITN109" s="2"/>
      <c r="ITO109" s="5"/>
      <c r="ITP109" s="2"/>
      <c r="ITQ109" s="4"/>
      <c r="ITR109" s="2"/>
      <c r="ITS109" s="3"/>
      <c r="ITT109" s="2"/>
      <c r="ITU109" s="2"/>
      <c r="ITV109" s="5"/>
      <c r="ITW109" s="2"/>
      <c r="ITX109" s="4"/>
      <c r="ITY109" s="2"/>
      <c r="ITZ109" s="3"/>
      <c r="IUA109" s="2"/>
      <c r="IUB109" s="2"/>
      <c r="IUC109" s="5"/>
      <c r="IUD109" s="2"/>
      <c r="IUE109" s="4"/>
      <c r="IUF109" s="2"/>
      <c r="IUG109" s="3"/>
      <c r="IUH109" s="2"/>
      <c r="IUI109" s="2"/>
      <c r="IUJ109" s="5"/>
      <c r="IUK109" s="2"/>
      <c r="IUL109" s="4"/>
      <c r="IUM109" s="2"/>
      <c r="IUN109" s="3"/>
      <c r="IUO109" s="2"/>
      <c r="IUP109" s="2"/>
      <c r="IUQ109" s="5"/>
      <c r="IUR109" s="2"/>
      <c r="IUS109" s="4"/>
      <c r="IUT109" s="2"/>
      <c r="IUU109" s="3"/>
      <c r="IUV109" s="2"/>
      <c r="IUW109" s="2"/>
      <c r="IUX109" s="5"/>
      <c r="IUY109" s="2"/>
      <c r="IUZ109" s="4"/>
      <c r="IVA109" s="2"/>
      <c r="IVB109" s="3"/>
      <c r="IVC109" s="2"/>
      <c r="IVD109" s="2"/>
      <c r="IVE109" s="5"/>
      <c r="IVF109" s="2"/>
      <c r="IVG109" s="4"/>
      <c r="IVH109" s="2"/>
      <c r="IVI109" s="3"/>
      <c r="IVJ109" s="2"/>
      <c r="IVK109" s="2"/>
      <c r="IVL109" s="5"/>
      <c r="IVM109" s="2"/>
      <c r="IVN109" s="4"/>
      <c r="IVO109" s="2"/>
      <c r="IVP109" s="3"/>
      <c r="IVQ109" s="2"/>
      <c r="IVR109" s="2"/>
      <c r="IVS109" s="5"/>
      <c r="IVT109" s="2"/>
      <c r="IVU109" s="4"/>
      <c r="IVV109" s="2"/>
      <c r="IVW109" s="3"/>
      <c r="IVX109" s="2"/>
      <c r="IVY109" s="2"/>
      <c r="IVZ109" s="5"/>
      <c r="IWA109" s="2"/>
      <c r="IWB109" s="4"/>
      <c r="IWC109" s="2"/>
      <c r="IWD109" s="3"/>
      <c r="IWE109" s="2"/>
      <c r="IWF109" s="2"/>
      <c r="IWG109" s="5"/>
      <c r="IWH109" s="2"/>
      <c r="IWI109" s="4"/>
      <c r="IWJ109" s="2"/>
      <c r="IWK109" s="3"/>
      <c r="IWL109" s="2"/>
      <c r="IWM109" s="2"/>
      <c r="IWN109" s="5"/>
      <c r="IWO109" s="2"/>
      <c r="IWP109" s="4"/>
      <c r="IWQ109" s="2"/>
      <c r="IWR109" s="3"/>
      <c r="IWS109" s="2"/>
      <c r="IWT109" s="2"/>
      <c r="IWU109" s="5"/>
      <c r="IWV109" s="2"/>
      <c r="IWW109" s="4"/>
      <c r="IWX109" s="2"/>
      <c r="IWY109" s="3"/>
      <c r="IWZ109" s="2"/>
      <c r="IXA109" s="2"/>
      <c r="IXB109" s="5"/>
      <c r="IXC109" s="2"/>
      <c r="IXD109" s="4"/>
      <c r="IXE109" s="2"/>
      <c r="IXF109" s="3"/>
      <c r="IXG109" s="2"/>
      <c r="IXH109" s="2"/>
      <c r="IXI109" s="5"/>
      <c r="IXJ109" s="2"/>
      <c r="IXK109" s="4"/>
      <c r="IXL109" s="2"/>
      <c r="IXM109" s="3"/>
      <c r="IXN109" s="2"/>
      <c r="IXO109" s="2"/>
      <c r="IXP109" s="5"/>
      <c r="IXQ109" s="2"/>
      <c r="IXR109" s="4"/>
      <c r="IXS109" s="2"/>
      <c r="IXT109" s="3"/>
      <c r="IXU109" s="2"/>
      <c r="IXV109" s="2"/>
      <c r="IXW109" s="5"/>
      <c r="IXX109" s="2"/>
      <c r="IXY109" s="4"/>
      <c r="IXZ109" s="2"/>
      <c r="IYA109" s="3"/>
      <c r="IYB109" s="2"/>
      <c r="IYC109" s="2"/>
      <c r="IYD109" s="5"/>
      <c r="IYE109" s="2"/>
      <c r="IYF109" s="4"/>
      <c r="IYG109" s="2"/>
      <c r="IYH109" s="3"/>
      <c r="IYI109" s="2"/>
      <c r="IYJ109" s="2"/>
      <c r="IYK109" s="5"/>
      <c r="IYL109" s="2"/>
      <c r="IYM109" s="4"/>
      <c r="IYN109" s="2"/>
      <c r="IYO109" s="3"/>
      <c r="IYP109" s="2"/>
      <c r="IYQ109" s="2"/>
      <c r="IYR109" s="5"/>
      <c r="IYS109" s="2"/>
      <c r="IYT109" s="4"/>
      <c r="IYU109" s="2"/>
      <c r="IYV109" s="3"/>
      <c r="IYW109" s="2"/>
      <c r="IYX109" s="2"/>
      <c r="IYY109" s="5"/>
      <c r="IYZ109" s="2"/>
      <c r="IZA109" s="4"/>
      <c r="IZB109" s="2"/>
      <c r="IZC109" s="3"/>
      <c r="IZD109" s="2"/>
      <c r="IZE109" s="2"/>
      <c r="IZF109" s="5"/>
      <c r="IZG109" s="2"/>
      <c r="IZH109" s="4"/>
      <c r="IZI109" s="2"/>
      <c r="IZJ109" s="3"/>
      <c r="IZK109" s="2"/>
      <c r="IZL109" s="2"/>
      <c r="IZM109" s="5"/>
      <c r="IZN109" s="2"/>
      <c r="IZO109" s="4"/>
      <c r="IZP109" s="2"/>
      <c r="IZQ109" s="3"/>
      <c r="IZR109" s="2"/>
      <c r="IZS109" s="2"/>
      <c r="IZT109" s="5"/>
      <c r="IZU109" s="2"/>
      <c r="IZV109" s="4"/>
      <c r="IZW109" s="2"/>
      <c r="IZX109" s="3"/>
      <c r="IZY109" s="2"/>
      <c r="IZZ109" s="2"/>
      <c r="JAA109" s="5"/>
      <c r="JAB109" s="2"/>
      <c r="JAC109" s="4"/>
      <c r="JAD109" s="2"/>
      <c r="JAE109" s="3"/>
      <c r="JAF109" s="2"/>
      <c r="JAG109" s="2"/>
      <c r="JAH109" s="5"/>
      <c r="JAI109" s="2"/>
      <c r="JAJ109" s="4"/>
      <c r="JAK109" s="2"/>
      <c r="JAL109" s="3"/>
      <c r="JAM109" s="2"/>
      <c r="JAN109" s="2"/>
      <c r="JAO109" s="5"/>
      <c r="JAP109" s="2"/>
      <c r="JAQ109" s="4"/>
      <c r="JAR109" s="2"/>
      <c r="JAS109" s="3"/>
      <c r="JAT109" s="2"/>
      <c r="JAU109" s="2"/>
      <c r="JAV109" s="5"/>
      <c r="JAW109" s="2"/>
      <c r="JAX109" s="4"/>
      <c r="JAY109" s="2"/>
      <c r="JAZ109" s="3"/>
      <c r="JBA109" s="2"/>
      <c r="JBB109" s="2"/>
      <c r="JBC109" s="5"/>
      <c r="JBD109" s="2"/>
      <c r="JBE109" s="4"/>
      <c r="JBF109" s="2"/>
      <c r="JBG109" s="3"/>
      <c r="JBH109" s="2"/>
      <c r="JBI109" s="2"/>
      <c r="JBJ109" s="5"/>
      <c r="JBK109" s="2"/>
      <c r="JBL109" s="4"/>
      <c r="JBM109" s="2"/>
      <c r="JBN109" s="3"/>
      <c r="JBO109" s="2"/>
      <c r="JBP109" s="2"/>
      <c r="JBQ109" s="5"/>
      <c r="JBR109" s="2"/>
      <c r="JBS109" s="4"/>
      <c r="JBT109" s="2"/>
      <c r="JBU109" s="3"/>
      <c r="JBV109" s="2"/>
      <c r="JBW109" s="2"/>
      <c r="JBX109" s="5"/>
      <c r="JBY109" s="2"/>
      <c r="JBZ109" s="4"/>
      <c r="JCA109" s="2"/>
      <c r="JCB109" s="3"/>
      <c r="JCC109" s="2"/>
      <c r="JCD109" s="2"/>
      <c r="JCE109" s="5"/>
      <c r="JCF109" s="2"/>
      <c r="JCG109" s="4"/>
      <c r="JCH109" s="2"/>
      <c r="JCI109" s="3"/>
      <c r="JCJ109" s="2"/>
      <c r="JCK109" s="2"/>
      <c r="JCL109" s="5"/>
      <c r="JCM109" s="2"/>
      <c r="JCN109" s="4"/>
      <c r="JCO109" s="2"/>
      <c r="JCP109" s="3"/>
      <c r="JCQ109" s="2"/>
      <c r="JCR109" s="2"/>
      <c r="JCS109" s="5"/>
      <c r="JCT109" s="2"/>
      <c r="JCU109" s="4"/>
      <c r="JCV109" s="2"/>
      <c r="JCW109" s="3"/>
      <c r="JCX109" s="2"/>
      <c r="JCY109" s="2"/>
      <c r="JCZ109" s="5"/>
      <c r="JDA109" s="2"/>
      <c r="JDB109" s="4"/>
      <c r="JDC109" s="2"/>
      <c r="JDD109" s="3"/>
      <c r="JDE109" s="2"/>
      <c r="JDF109" s="2"/>
      <c r="JDG109" s="5"/>
      <c r="JDH109" s="2"/>
      <c r="JDI109" s="4"/>
      <c r="JDJ109" s="2"/>
      <c r="JDK109" s="3"/>
      <c r="JDL109" s="2"/>
      <c r="JDM109" s="2"/>
      <c r="JDN109" s="5"/>
      <c r="JDO109" s="2"/>
      <c r="JDP109" s="4"/>
      <c r="JDQ109" s="2"/>
      <c r="JDR109" s="3"/>
      <c r="JDS109" s="2"/>
      <c r="JDT109" s="2"/>
      <c r="JDU109" s="5"/>
      <c r="JDV109" s="2"/>
      <c r="JDW109" s="4"/>
      <c r="JDX109" s="2"/>
      <c r="JDY109" s="3"/>
      <c r="JDZ109" s="2"/>
      <c r="JEA109" s="2"/>
      <c r="JEB109" s="5"/>
      <c r="JEC109" s="2"/>
      <c r="JED109" s="4"/>
      <c r="JEE109" s="2"/>
      <c r="JEF109" s="3"/>
      <c r="JEG109" s="2"/>
      <c r="JEH109" s="2"/>
      <c r="JEI109" s="5"/>
      <c r="JEJ109" s="2"/>
      <c r="JEK109" s="4"/>
      <c r="JEL109" s="2"/>
      <c r="JEM109" s="3"/>
      <c r="JEN109" s="2"/>
      <c r="JEO109" s="2"/>
      <c r="JEP109" s="5"/>
      <c r="JEQ109" s="2"/>
      <c r="JER109" s="4"/>
      <c r="JES109" s="2"/>
      <c r="JET109" s="3"/>
      <c r="JEU109" s="2"/>
      <c r="JEV109" s="2"/>
      <c r="JEW109" s="5"/>
      <c r="JEX109" s="2"/>
      <c r="JEY109" s="4"/>
      <c r="JEZ109" s="2"/>
      <c r="JFA109" s="3"/>
      <c r="JFB109" s="2"/>
      <c r="JFC109" s="2"/>
      <c r="JFD109" s="5"/>
      <c r="JFE109" s="2"/>
      <c r="JFF109" s="4"/>
      <c r="JFG109" s="2"/>
      <c r="JFH109" s="3"/>
      <c r="JFI109" s="2"/>
      <c r="JFJ109" s="2"/>
      <c r="JFK109" s="5"/>
      <c r="JFL109" s="2"/>
      <c r="JFM109" s="4"/>
      <c r="JFN109" s="2"/>
      <c r="JFO109" s="3"/>
      <c r="JFP109" s="2"/>
      <c r="JFQ109" s="2"/>
      <c r="JFR109" s="5"/>
      <c r="JFS109" s="2"/>
      <c r="JFT109" s="4"/>
      <c r="JFU109" s="2"/>
      <c r="JFV109" s="3"/>
      <c r="JFW109" s="2"/>
      <c r="JFX109" s="2"/>
      <c r="JFY109" s="5"/>
      <c r="JFZ109" s="2"/>
      <c r="JGA109" s="4"/>
      <c r="JGB109" s="2"/>
      <c r="JGC109" s="3"/>
      <c r="JGD109" s="2"/>
      <c r="JGE109" s="2"/>
      <c r="JGF109" s="5"/>
      <c r="JGG109" s="2"/>
      <c r="JGH109" s="4"/>
      <c r="JGI109" s="2"/>
      <c r="JGJ109" s="3"/>
      <c r="JGK109" s="2"/>
      <c r="JGL109" s="2"/>
      <c r="JGM109" s="5"/>
      <c r="JGN109" s="2"/>
      <c r="JGO109" s="4"/>
      <c r="JGP109" s="2"/>
      <c r="JGQ109" s="3"/>
      <c r="JGR109" s="2"/>
      <c r="JGS109" s="2"/>
      <c r="JGT109" s="5"/>
      <c r="JGU109" s="2"/>
      <c r="JGV109" s="4"/>
      <c r="JGW109" s="2"/>
      <c r="JGX109" s="3"/>
      <c r="JGY109" s="2"/>
      <c r="JGZ109" s="2"/>
      <c r="JHA109" s="5"/>
      <c r="JHB109" s="2"/>
      <c r="JHC109" s="4"/>
      <c r="JHD109" s="2"/>
      <c r="JHE109" s="3"/>
      <c r="JHF109" s="2"/>
      <c r="JHG109" s="2"/>
      <c r="JHH109" s="5"/>
      <c r="JHI109" s="2"/>
      <c r="JHJ109" s="4"/>
      <c r="JHK109" s="2"/>
      <c r="JHL109" s="3"/>
      <c r="JHM109" s="2"/>
      <c r="JHN109" s="2"/>
      <c r="JHO109" s="5"/>
      <c r="JHP109" s="2"/>
      <c r="JHQ109" s="4"/>
      <c r="JHR109" s="2"/>
      <c r="JHS109" s="3"/>
      <c r="JHT109" s="2"/>
      <c r="JHU109" s="2"/>
      <c r="JHV109" s="5"/>
      <c r="JHW109" s="2"/>
      <c r="JHX109" s="4"/>
      <c r="JHY109" s="2"/>
      <c r="JHZ109" s="3"/>
      <c r="JIA109" s="2"/>
      <c r="JIB109" s="2"/>
      <c r="JIC109" s="5"/>
      <c r="JID109" s="2"/>
      <c r="JIE109" s="4"/>
      <c r="JIF109" s="2"/>
      <c r="JIG109" s="3"/>
      <c r="JIH109" s="2"/>
      <c r="JII109" s="2"/>
      <c r="JIJ109" s="5"/>
      <c r="JIK109" s="2"/>
      <c r="JIL109" s="4"/>
      <c r="JIM109" s="2"/>
      <c r="JIN109" s="3"/>
      <c r="JIO109" s="2"/>
      <c r="JIP109" s="2"/>
      <c r="JIQ109" s="5"/>
      <c r="JIR109" s="2"/>
      <c r="JIS109" s="4"/>
      <c r="JIT109" s="2"/>
      <c r="JIU109" s="3"/>
      <c r="JIV109" s="2"/>
      <c r="JIW109" s="2"/>
      <c r="JIX109" s="5"/>
      <c r="JIY109" s="2"/>
      <c r="JIZ109" s="4"/>
      <c r="JJA109" s="2"/>
      <c r="JJB109" s="3"/>
      <c r="JJC109" s="2"/>
      <c r="JJD109" s="2"/>
      <c r="JJE109" s="5"/>
      <c r="JJF109" s="2"/>
      <c r="JJG109" s="4"/>
      <c r="JJH109" s="2"/>
      <c r="JJI109" s="3"/>
      <c r="JJJ109" s="2"/>
      <c r="JJK109" s="2"/>
      <c r="JJL109" s="5"/>
      <c r="JJM109" s="2"/>
      <c r="JJN109" s="4"/>
      <c r="JJO109" s="2"/>
      <c r="JJP109" s="3"/>
      <c r="JJQ109" s="2"/>
      <c r="JJR109" s="2"/>
      <c r="JJS109" s="5"/>
      <c r="JJT109" s="2"/>
      <c r="JJU109" s="4"/>
      <c r="JJV109" s="2"/>
      <c r="JJW109" s="3"/>
      <c r="JJX109" s="2"/>
      <c r="JJY109" s="2"/>
      <c r="JJZ109" s="5"/>
      <c r="JKA109" s="2"/>
      <c r="JKB109" s="4"/>
      <c r="JKC109" s="2"/>
      <c r="JKD109" s="3"/>
      <c r="JKE109" s="2"/>
      <c r="JKF109" s="2"/>
      <c r="JKG109" s="5"/>
      <c r="JKH109" s="2"/>
      <c r="JKI109" s="4"/>
      <c r="JKJ109" s="2"/>
      <c r="JKK109" s="3"/>
      <c r="JKL109" s="2"/>
      <c r="JKM109" s="2"/>
      <c r="JKN109" s="5"/>
      <c r="JKO109" s="2"/>
      <c r="JKP109" s="4"/>
      <c r="JKQ109" s="2"/>
      <c r="JKR109" s="3"/>
      <c r="JKS109" s="2"/>
      <c r="JKT109" s="2"/>
      <c r="JKU109" s="5"/>
      <c r="JKV109" s="2"/>
      <c r="JKW109" s="4"/>
      <c r="JKX109" s="2"/>
      <c r="JKY109" s="3"/>
      <c r="JKZ109" s="2"/>
      <c r="JLA109" s="2"/>
      <c r="JLB109" s="5"/>
      <c r="JLC109" s="2"/>
      <c r="JLD109" s="4"/>
      <c r="JLE109" s="2"/>
      <c r="JLF109" s="3"/>
      <c r="JLG109" s="2"/>
      <c r="JLH109" s="2"/>
      <c r="JLI109" s="5"/>
      <c r="JLJ109" s="2"/>
      <c r="JLK109" s="4"/>
      <c r="JLL109" s="2"/>
      <c r="JLM109" s="3"/>
      <c r="JLN109" s="2"/>
      <c r="JLO109" s="2"/>
      <c r="JLP109" s="5"/>
      <c r="JLQ109" s="2"/>
      <c r="JLR109" s="4"/>
      <c r="JLS109" s="2"/>
      <c r="JLT109" s="3"/>
      <c r="JLU109" s="2"/>
      <c r="JLV109" s="2"/>
      <c r="JLW109" s="5"/>
      <c r="JLX109" s="2"/>
      <c r="JLY109" s="4"/>
      <c r="JLZ109" s="2"/>
      <c r="JMA109" s="3"/>
      <c r="JMB109" s="2"/>
      <c r="JMC109" s="2"/>
      <c r="JMD109" s="5"/>
      <c r="JME109" s="2"/>
      <c r="JMF109" s="4"/>
      <c r="JMG109" s="2"/>
      <c r="JMH109" s="3"/>
      <c r="JMI109" s="2"/>
      <c r="JMJ109" s="2"/>
      <c r="JMK109" s="5"/>
      <c r="JML109" s="2"/>
      <c r="JMM109" s="4"/>
      <c r="JMN109" s="2"/>
      <c r="JMO109" s="3"/>
      <c r="JMP109" s="2"/>
      <c r="JMQ109" s="2"/>
      <c r="JMR109" s="5"/>
      <c r="JMS109" s="2"/>
      <c r="JMT109" s="4"/>
      <c r="JMU109" s="2"/>
      <c r="JMV109" s="3"/>
      <c r="JMW109" s="2"/>
      <c r="JMX109" s="2"/>
      <c r="JMY109" s="5"/>
      <c r="JMZ109" s="2"/>
      <c r="JNA109" s="4"/>
      <c r="JNB109" s="2"/>
      <c r="JNC109" s="3"/>
      <c r="JND109" s="2"/>
      <c r="JNE109" s="2"/>
      <c r="JNF109" s="5"/>
      <c r="JNG109" s="2"/>
      <c r="JNH109" s="4"/>
      <c r="JNI109" s="2"/>
      <c r="JNJ109" s="3"/>
      <c r="JNK109" s="2"/>
      <c r="JNL109" s="2"/>
      <c r="JNM109" s="5"/>
      <c r="JNN109" s="2"/>
      <c r="JNO109" s="4"/>
      <c r="JNP109" s="2"/>
      <c r="JNQ109" s="3"/>
      <c r="JNR109" s="2"/>
      <c r="JNS109" s="2"/>
      <c r="JNT109" s="5"/>
      <c r="JNU109" s="2"/>
      <c r="JNV109" s="4"/>
      <c r="JNW109" s="2"/>
      <c r="JNX109" s="3"/>
      <c r="JNY109" s="2"/>
      <c r="JNZ109" s="2"/>
      <c r="JOA109" s="5"/>
      <c r="JOB109" s="2"/>
      <c r="JOC109" s="4"/>
      <c r="JOD109" s="2"/>
      <c r="JOE109" s="3"/>
      <c r="JOF109" s="2"/>
      <c r="JOG109" s="2"/>
      <c r="JOH109" s="5"/>
      <c r="JOI109" s="2"/>
      <c r="JOJ109" s="4"/>
      <c r="JOK109" s="2"/>
      <c r="JOL109" s="3"/>
      <c r="JOM109" s="2"/>
      <c r="JON109" s="2"/>
      <c r="JOO109" s="5"/>
      <c r="JOP109" s="2"/>
      <c r="JOQ109" s="4"/>
      <c r="JOR109" s="2"/>
      <c r="JOS109" s="3"/>
      <c r="JOT109" s="2"/>
      <c r="JOU109" s="2"/>
      <c r="JOV109" s="5"/>
      <c r="JOW109" s="2"/>
      <c r="JOX109" s="4"/>
      <c r="JOY109" s="2"/>
      <c r="JOZ109" s="3"/>
      <c r="JPA109" s="2"/>
      <c r="JPB109" s="2"/>
      <c r="JPC109" s="5"/>
      <c r="JPD109" s="2"/>
      <c r="JPE109" s="4"/>
      <c r="JPF109" s="2"/>
      <c r="JPG109" s="3"/>
      <c r="JPH109" s="2"/>
      <c r="JPI109" s="2"/>
      <c r="JPJ109" s="5"/>
      <c r="JPK109" s="2"/>
      <c r="JPL109" s="4"/>
      <c r="JPM109" s="2"/>
      <c r="JPN109" s="3"/>
      <c r="JPO109" s="2"/>
      <c r="JPP109" s="2"/>
      <c r="JPQ109" s="5"/>
      <c r="JPR109" s="2"/>
      <c r="JPS109" s="4"/>
      <c r="JPT109" s="2"/>
      <c r="JPU109" s="3"/>
      <c r="JPV109" s="2"/>
      <c r="JPW109" s="2"/>
      <c r="JPX109" s="5"/>
      <c r="JPY109" s="2"/>
      <c r="JPZ109" s="4"/>
      <c r="JQA109" s="2"/>
      <c r="JQB109" s="3"/>
      <c r="JQC109" s="2"/>
      <c r="JQD109" s="2"/>
      <c r="JQE109" s="5"/>
      <c r="JQF109" s="2"/>
      <c r="JQG109" s="4"/>
      <c r="JQH109" s="2"/>
      <c r="JQI109" s="3"/>
      <c r="JQJ109" s="2"/>
      <c r="JQK109" s="2"/>
      <c r="JQL109" s="5"/>
      <c r="JQM109" s="2"/>
      <c r="JQN109" s="4"/>
      <c r="JQO109" s="2"/>
      <c r="JQP109" s="3"/>
      <c r="JQQ109" s="2"/>
      <c r="JQR109" s="2"/>
      <c r="JQS109" s="5"/>
      <c r="JQT109" s="2"/>
      <c r="JQU109" s="4"/>
      <c r="JQV109" s="2"/>
      <c r="JQW109" s="3"/>
      <c r="JQX109" s="2"/>
      <c r="JQY109" s="2"/>
      <c r="JQZ109" s="5"/>
      <c r="JRA109" s="2"/>
      <c r="JRB109" s="4"/>
      <c r="JRC109" s="2"/>
      <c r="JRD109" s="3"/>
      <c r="JRE109" s="2"/>
      <c r="JRF109" s="2"/>
      <c r="JRG109" s="5"/>
      <c r="JRH109" s="2"/>
      <c r="JRI109" s="4"/>
      <c r="JRJ109" s="2"/>
      <c r="JRK109" s="3"/>
      <c r="JRL109" s="2"/>
      <c r="JRM109" s="2"/>
      <c r="JRN109" s="5"/>
      <c r="JRO109" s="2"/>
      <c r="JRP109" s="4"/>
      <c r="JRQ109" s="2"/>
      <c r="JRR109" s="3"/>
      <c r="JRS109" s="2"/>
      <c r="JRT109" s="2"/>
      <c r="JRU109" s="5"/>
      <c r="JRV109" s="2"/>
      <c r="JRW109" s="4"/>
      <c r="JRX109" s="2"/>
      <c r="JRY109" s="3"/>
      <c r="JRZ109" s="2"/>
      <c r="JSA109" s="2"/>
      <c r="JSB109" s="5"/>
      <c r="JSC109" s="2"/>
      <c r="JSD109" s="4"/>
      <c r="JSE109" s="2"/>
      <c r="JSF109" s="3"/>
      <c r="JSG109" s="2"/>
      <c r="JSH109" s="2"/>
      <c r="JSI109" s="5"/>
      <c r="JSJ109" s="2"/>
      <c r="JSK109" s="4"/>
      <c r="JSL109" s="2"/>
      <c r="JSM109" s="3"/>
      <c r="JSN109" s="2"/>
      <c r="JSO109" s="2"/>
      <c r="JSP109" s="5"/>
      <c r="JSQ109" s="2"/>
      <c r="JSR109" s="4"/>
      <c r="JSS109" s="2"/>
      <c r="JST109" s="3"/>
      <c r="JSU109" s="2"/>
      <c r="JSV109" s="2"/>
      <c r="JSW109" s="5"/>
      <c r="JSX109" s="2"/>
      <c r="JSY109" s="4"/>
      <c r="JSZ109" s="2"/>
      <c r="JTA109" s="3"/>
      <c r="JTB109" s="2"/>
      <c r="JTC109" s="2"/>
      <c r="JTD109" s="5"/>
      <c r="JTE109" s="2"/>
      <c r="JTF109" s="4"/>
      <c r="JTG109" s="2"/>
      <c r="JTH109" s="3"/>
      <c r="JTI109" s="2"/>
      <c r="JTJ109" s="2"/>
      <c r="JTK109" s="5"/>
      <c r="JTL109" s="2"/>
      <c r="JTM109" s="4"/>
      <c r="JTN109" s="2"/>
      <c r="JTO109" s="3"/>
      <c r="JTP109" s="2"/>
      <c r="JTQ109" s="2"/>
      <c r="JTR109" s="5"/>
      <c r="JTS109" s="2"/>
      <c r="JTT109" s="4"/>
      <c r="JTU109" s="2"/>
      <c r="JTV109" s="3"/>
      <c r="JTW109" s="2"/>
      <c r="JTX109" s="2"/>
      <c r="JTY109" s="5"/>
      <c r="JTZ109" s="2"/>
      <c r="JUA109" s="4"/>
      <c r="JUB109" s="2"/>
      <c r="JUC109" s="3"/>
      <c r="JUD109" s="2"/>
      <c r="JUE109" s="2"/>
      <c r="JUF109" s="5"/>
      <c r="JUG109" s="2"/>
      <c r="JUH109" s="4"/>
      <c r="JUI109" s="2"/>
      <c r="JUJ109" s="3"/>
      <c r="JUK109" s="2"/>
      <c r="JUL109" s="2"/>
      <c r="JUM109" s="5"/>
      <c r="JUN109" s="2"/>
      <c r="JUO109" s="4"/>
      <c r="JUP109" s="2"/>
      <c r="JUQ109" s="3"/>
      <c r="JUR109" s="2"/>
      <c r="JUS109" s="2"/>
      <c r="JUT109" s="5"/>
      <c r="JUU109" s="2"/>
      <c r="JUV109" s="4"/>
      <c r="JUW109" s="2"/>
      <c r="JUX109" s="3"/>
      <c r="JUY109" s="2"/>
      <c r="JUZ109" s="2"/>
      <c r="JVA109" s="5"/>
      <c r="JVB109" s="2"/>
      <c r="JVC109" s="4"/>
      <c r="JVD109" s="2"/>
      <c r="JVE109" s="3"/>
      <c r="JVF109" s="2"/>
      <c r="JVG109" s="2"/>
      <c r="JVH109" s="5"/>
      <c r="JVI109" s="2"/>
      <c r="JVJ109" s="4"/>
      <c r="JVK109" s="2"/>
      <c r="JVL109" s="3"/>
      <c r="JVM109" s="2"/>
      <c r="JVN109" s="2"/>
      <c r="JVO109" s="5"/>
      <c r="JVP109" s="2"/>
      <c r="JVQ109" s="4"/>
      <c r="JVR109" s="2"/>
      <c r="JVS109" s="3"/>
      <c r="JVT109" s="2"/>
      <c r="JVU109" s="2"/>
      <c r="JVV109" s="5"/>
      <c r="JVW109" s="2"/>
      <c r="JVX109" s="4"/>
      <c r="JVY109" s="2"/>
      <c r="JVZ109" s="3"/>
      <c r="JWA109" s="2"/>
      <c r="JWB109" s="2"/>
      <c r="JWC109" s="5"/>
      <c r="JWD109" s="2"/>
      <c r="JWE109" s="4"/>
      <c r="JWF109" s="2"/>
      <c r="JWG109" s="3"/>
      <c r="JWH109" s="2"/>
      <c r="JWI109" s="2"/>
      <c r="JWJ109" s="5"/>
      <c r="JWK109" s="2"/>
      <c r="JWL109" s="4"/>
      <c r="JWM109" s="2"/>
      <c r="JWN109" s="3"/>
      <c r="JWO109" s="2"/>
      <c r="JWP109" s="2"/>
      <c r="JWQ109" s="5"/>
      <c r="JWR109" s="2"/>
      <c r="JWS109" s="4"/>
      <c r="JWT109" s="2"/>
      <c r="JWU109" s="3"/>
      <c r="JWV109" s="2"/>
      <c r="JWW109" s="2"/>
      <c r="JWX109" s="5"/>
      <c r="JWY109" s="2"/>
      <c r="JWZ109" s="4"/>
      <c r="JXA109" s="2"/>
      <c r="JXB109" s="3"/>
      <c r="JXC109" s="2"/>
      <c r="JXD109" s="2"/>
      <c r="JXE109" s="5"/>
      <c r="JXF109" s="2"/>
      <c r="JXG109" s="4"/>
      <c r="JXH109" s="2"/>
      <c r="JXI109" s="3"/>
      <c r="JXJ109" s="2"/>
      <c r="JXK109" s="2"/>
      <c r="JXL109" s="5"/>
      <c r="JXM109" s="2"/>
      <c r="JXN109" s="4"/>
      <c r="JXO109" s="2"/>
      <c r="JXP109" s="3"/>
      <c r="JXQ109" s="2"/>
      <c r="JXR109" s="2"/>
      <c r="JXS109" s="5"/>
      <c r="JXT109" s="2"/>
      <c r="JXU109" s="4"/>
      <c r="JXV109" s="2"/>
      <c r="JXW109" s="3"/>
      <c r="JXX109" s="2"/>
      <c r="JXY109" s="2"/>
      <c r="JXZ109" s="5"/>
      <c r="JYA109" s="2"/>
      <c r="JYB109" s="4"/>
      <c r="JYC109" s="2"/>
      <c r="JYD109" s="3"/>
      <c r="JYE109" s="2"/>
      <c r="JYF109" s="2"/>
      <c r="JYG109" s="5"/>
      <c r="JYH109" s="2"/>
      <c r="JYI109" s="4"/>
      <c r="JYJ109" s="2"/>
      <c r="JYK109" s="3"/>
      <c r="JYL109" s="2"/>
      <c r="JYM109" s="2"/>
      <c r="JYN109" s="5"/>
      <c r="JYO109" s="2"/>
      <c r="JYP109" s="4"/>
      <c r="JYQ109" s="2"/>
      <c r="JYR109" s="3"/>
      <c r="JYS109" s="2"/>
      <c r="JYT109" s="2"/>
      <c r="JYU109" s="5"/>
      <c r="JYV109" s="2"/>
      <c r="JYW109" s="4"/>
      <c r="JYX109" s="2"/>
      <c r="JYY109" s="3"/>
      <c r="JYZ109" s="2"/>
      <c r="JZA109" s="2"/>
      <c r="JZB109" s="5"/>
      <c r="JZC109" s="2"/>
      <c r="JZD109" s="4"/>
      <c r="JZE109" s="2"/>
      <c r="JZF109" s="3"/>
      <c r="JZG109" s="2"/>
      <c r="JZH109" s="2"/>
      <c r="JZI109" s="5"/>
      <c r="JZJ109" s="2"/>
      <c r="JZK109" s="4"/>
      <c r="JZL109" s="2"/>
      <c r="JZM109" s="3"/>
      <c r="JZN109" s="2"/>
      <c r="JZO109" s="2"/>
      <c r="JZP109" s="5"/>
      <c r="JZQ109" s="2"/>
      <c r="JZR109" s="4"/>
      <c r="JZS109" s="2"/>
      <c r="JZT109" s="3"/>
      <c r="JZU109" s="2"/>
      <c r="JZV109" s="2"/>
      <c r="JZW109" s="5"/>
      <c r="JZX109" s="2"/>
      <c r="JZY109" s="4"/>
      <c r="JZZ109" s="2"/>
      <c r="KAA109" s="3"/>
      <c r="KAB109" s="2"/>
      <c r="KAC109" s="2"/>
      <c r="KAD109" s="5"/>
      <c r="KAE109" s="2"/>
      <c r="KAF109" s="4"/>
      <c r="KAG109" s="2"/>
      <c r="KAH109" s="3"/>
      <c r="KAI109" s="2"/>
      <c r="KAJ109" s="2"/>
      <c r="KAK109" s="5"/>
      <c r="KAL109" s="2"/>
      <c r="KAM109" s="4"/>
      <c r="KAN109" s="2"/>
      <c r="KAO109" s="3"/>
      <c r="KAP109" s="2"/>
      <c r="KAQ109" s="2"/>
      <c r="KAR109" s="5"/>
      <c r="KAS109" s="2"/>
      <c r="KAT109" s="4"/>
      <c r="KAU109" s="2"/>
      <c r="KAV109" s="3"/>
      <c r="KAW109" s="2"/>
      <c r="KAX109" s="2"/>
      <c r="KAY109" s="5"/>
      <c r="KAZ109" s="2"/>
      <c r="KBA109" s="4"/>
      <c r="KBB109" s="2"/>
      <c r="KBC109" s="3"/>
      <c r="KBD109" s="2"/>
      <c r="KBE109" s="2"/>
      <c r="KBF109" s="5"/>
      <c r="KBG109" s="2"/>
      <c r="KBH109" s="4"/>
      <c r="KBI109" s="2"/>
      <c r="KBJ109" s="3"/>
      <c r="KBK109" s="2"/>
      <c r="KBL109" s="2"/>
      <c r="KBM109" s="5"/>
      <c r="KBN109" s="2"/>
      <c r="KBO109" s="4"/>
      <c r="KBP109" s="2"/>
      <c r="KBQ109" s="3"/>
      <c r="KBR109" s="2"/>
      <c r="KBS109" s="2"/>
      <c r="KBT109" s="5"/>
      <c r="KBU109" s="2"/>
      <c r="KBV109" s="4"/>
      <c r="KBW109" s="2"/>
      <c r="KBX109" s="3"/>
      <c r="KBY109" s="2"/>
      <c r="KBZ109" s="2"/>
      <c r="KCA109" s="5"/>
      <c r="KCB109" s="2"/>
      <c r="KCC109" s="4"/>
      <c r="KCD109" s="2"/>
      <c r="KCE109" s="3"/>
      <c r="KCF109" s="2"/>
      <c r="KCG109" s="2"/>
      <c r="KCH109" s="5"/>
      <c r="KCI109" s="2"/>
      <c r="KCJ109" s="4"/>
      <c r="KCK109" s="2"/>
      <c r="KCL109" s="3"/>
      <c r="KCM109" s="2"/>
      <c r="KCN109" s="2"/>
      <c r="KCO109" s="5"/>
      <c r="KCP109" s="2"/>
      <c r="KCQ109" s="4"/>
      <c r="KCR109" s="2"/>
      <c r="KCS109" s="3"/>
      <c r="KCT109" s="2"/>
      <c r="KCU109" s="2"/>
      <c r="KCV109" s="5"/>
      <c r="KCW109" s="2"/>
      <c r="KCX109" s="4"/>
      <c r="KCY109" s="2"/>
      <c r="KCZ109" s="3"/>
      <c r="KDA109" s="2"/>
      <c r="KDB109" s="2"/>
      <c r="KDC109" s="5"/>
      <c r="KDD109" s="2"/>
      <c r="KDE109" s="4"/>
      <c r="KDF109" s="2"/>
      <c r="KDG109" s="3"/>
      <c r="KDH109" s="2"/>
      <c r="KDI109" s="2"/>
      <c r="KDJ109" s="5"/>
      <c r="KDK109" s="2"/>
      <c r="KDL109" s="4"/>
      <c r="KDM109" s="2"/>
      <c r="KDN109" s="3"/>
      <c r="KDO109" s="2"/>
      <c r="KDP109" s="2"/>
      <c r="KDQ109" s="5"/>
      <c r="KDR109" s="2"/>
      <c r="KDS109" s="4"/>
      <c r="KDT109" s="2"/>
      <c r="KDU109" s="3"/>
      <c r="KDV109" s="2"/>
      <c r="KDW109" s="2"/>
      <c r="KDX109" s="5"/>
      <c r="KDY109" s="2"/>
      <c r="KDZ109" s="4"/>
      <c r="KEA109" s="2"/>
      <c r="KEB109" s="3"/>
      <c r="KEC109" s="2"/>
      <c r="KED109" s="2"/>
      <c r="KEE109" s="5"/>
      <c r="KEF109" s="2"/>
      <c r="KEG109" s="4"/>
      <c r="KEH109" s="2"/>
      <c r="KEI109" s="3"/>
      <c r="KEJ109" s="2"/>
      <c r="KEK109" s="2"/>
      <c r="KEL109" s="5"/>
      <c r="KEM109" s="2"/>
      <c r="KEN109" s="4"/>
      <c r="KEO109" s="2"/>
      <c r="KEP109" s="3"/>
      <c r="KEQ109" s="2"/>
      <c r="KER109" s="2"/>
      <c r="KES109" s="5"/>
      <c r="KET109" s="2"/>
      <c r="KEU109" s="4"/>
      <c r="KEV109" s="2"/>
      <c r="KEW109" s="3"/>
      <c r="KEX109" s="2"/>
      <c r="KEY109" s="2"/>
      <c r="KEZ109" s="5"/>
      <c r="KFA109" s="2"/>
      <c r="KFB109" s="4"/>
      <c r="KFC109" s="2"/>
      <c r="KFD109" s="3"/>
      <c r="KFE109" s="2"/>
      <c r="KFF109" s="2"/>
      <c r="KFG109" s="5"/>
      <c r="KFH109" s="2"/>
      <c r="KFI109" s="4"/>
      <c r="KFJ109" s="2"/>
      <c r="KFK109" s="3"/>
      <c r="KFL109" s="2"/>
      <c r="KFM109" s="2"/>
      <c r="KFN109" s="5"/>
      <c r="KFO109" s="2"/>
      <c r="KFP109" s="4"/>
      <c r="KFQ109" s="2"/>
      <c r="KFR109" s="3"/>
      <c r="KFS109" s="2"/>
      <c r="KFT109" s="2"/>
      <c r="KFU109" s="5"/>
      <c r="KFV109" s="2"/>
      <c r="KFW109" s="4"/>
      <c r="KFX109" s="2"/>
      <c r="KFY109" s="3"/>
      <c r="KFZ109" s="2"/>
      <c r="KGA109" s="2"/>
      <c r="KGB109" s="5"/>
      <c r="KGC109" s="2"/>
      <c r="KGD109" s="4"/>
      <c r="KGE109" s="2"/>
      <c r="KGF109" s="3"/>
      <c r="KGG109" s="2"/>
      <c r="KGH109" s="2"/>
      <c r="KGI109" s="5"/>
      <c r="KGJ109" s="2"/>
      <c r="KGK109" s="4"/>
      <c r="KGL109" s="2"/>
      <c r="KGM109" s="3"/>
      <c r="KGN109" s="2"/>
      <c r="KGO109" s="2"/>
      <c r="KGP109" s="5"/>
      <c r="KGQ109" s="2"/>
      <c r="KGR109" s="4"/>
      <c r="KGS109" s="2"/>
      <c r="KGT109" s="3"/>
      <c r="KGU109" s="2"/>
      <c r="KGV109" s="2"/>
      <c r="KGW109" s="5"/>
      <c r="KGX109" s="2"/>
      <c r="KGY109" s="4"/>
      <c r="KGZ109" s="2"/>
      <c r="KHA109" s="3"/>
      <c r="KHB109" s="2"/>
      <c r="KHC109" s="2"/>
      <c r="KHD109" s="5"/>
      <c r="KHE109" s="2"/>
      <c r="KHF109" s="4"/>
      <c r="KHG109" s="2"/>
      <c r="KHH109" s="3"/>
      <c r="KHI109" s="2"/>
      <c r="KHJ109" s="2"/>
      <c r="KHK109" s="5"/>
      <c r="KHL109" s="2"/>
      <c r="KHM109" s="4"/>
      <c r="KHN109" s="2"/>
      <c r="KHO109" s="3"/>
      <c r="KHP109" s="2"/>
      <c r="KHQ109" s="2"/>
      <c r="KHR109" s="5"/>
      <c r="KHS109" s="2"/>
      <c r="KHT109" s="4"/>
      <c r="KHU109" s="2"/>
      <c r="KHV109" s="3"/>
      <c r="KHW109" s="2"/>
      <c r="KHX109" s="2"/>
      <c r="KHY109" s="5"/>
      <c r="KHZ109" s="2"/>
      <c r="KIA109" s="4"/>
      <c r="KIB109" s="2"/>
      <c r="KIC109" s="3"/>
      <c r="KID109" s="2"/>
      <c r="KIE109" s="2"/>
      <c r="KIF109" s="5"/>
      <c r="KIG109" s="2"/>
      <c r="KIH109" s="4"/>
      <c r="KII109" s="2"/>
      <c r="KIJ109" s="3"/>
      <c r="KIK109" s="2"/>
      <c r="KIL109" s="2"/>
      <c r="KIM109" s="5"/>
      <c r="KIN109" s="2"/>
      <c r="KIO109" s="4"/>
      <c r="KIP109" s="2"/>
      <c r="KIQ109" s="3"/>
      <c r="KIR109" s="2"/>
      <c r="KIS109" s="2"/>
      <c r="KIT109" s="5"/>
      <c r="KIU109" s="2"/>
      <c r="KIV109" s="4"/>
      <c r="KIW109" s="2"/>
      <c r="KIX109" s="3"/>
      <c r="KIY109" s="2"/>
      <c r="KIZ109" s="2"/>
      <c r="KJA109" s="5"/>
      <c r="KJB109" s="2"/>
      <c r="KJC109" s="4"/>
      <c r="KJD109" s="2"/>
      <c r="KJE109" s="3"/>
      <c r="KJF109" s="2"/>
      <c r="KJG109" s="2"/>
      <c r="KJH109" s="5"/>
      <c r="KJI109" s="2"/>
      <c r="KJJ109" s="4"/>
      <c r="KJK109" s="2"/>
      <c r="KJL109" s="3"/>
      <c r="KJM109" s="2"/>
      <c r="KJN109" s="2"/>
      <c r="KJO109" s="5"/>
      <c r="KJP109" s="2"/>
      <c r="KJQ109" s="4"/>
      <c r="KJR109" s="2"/>
      <c r="KJS109" s="3"/>
      <c r="KJT109" s="2"/>
      <c r="KJU109" s="2"/>
      <c r="KJV109" s="5"/>
      <c r="KJW109" s="2"/>
      <c r="KJX109" s="4"/>
      <c r="KJY109" s="2"/>
      <c r="KJZ109" s="3"/>
      <c r="KKA109" s="2"/>
      <c r="KKB109" s="2"/>
      <c r="KKC109" s="5"/>
      <c r="KKD109" s="2"/>
      <c r="KKE109" s="4"/>
      <c r="KKF109" s="2"/>
      <c r="KKG109" s="3"/>
      <c r="KKH109" s="2"/>
      <c r="KKI109" s="2"/>
      <c r="KKJ109" s="5"/>
      <c r="KKK109" s="2"/>
      <c r="KKL109" s="4"/>
      <c r="KKM109" s="2"/>
      <c r="KKN109" s="3"/>
      <c r="KKO109" s="2"/>
      <c r="KKP109" s="2"/>
      <c r="KKQ109" s="5"/>
      <c r="KKR109" s="2"/>
      <c r="KKS109" s="4"/>
      <c r="KKT109" s="2"/>
      <c r="KKU109" s="3"/>
      <c r="KKV109" s="2"/>
      <c r="KKW109" s="2"/>
      <c r="KKX109" s="5"/>
      <c r="KKY109" s="2"/>
      <c r="KKZ109" s="4"/>
      <c r="KLA109" s="2"/>
      <c r="KLB109" s="3"/>
      <c r="KLC109" s="2"/>
      <c r="KLD109" s="2"/>
      <c r="KLE109" s="5"/>
      <c r="KLF109" s="2"/>
      <c r="KLG109" s="4"/>
      <c r="KLH109" s="2"/>
      <c r="KLI109" s="3"/>
      <c r="KLJ109" s="2"/>
      <c r="KLK109" s="2"/>
      <c r="KLL109" s="5"/>
      <c r="KLM109" s="2"/>
      <c r="KLN109" s="4"/>
      <c r="KLO109" s="2"/>
      <c r="KLP109" s="3"/>
      <c r="KLQ109" s="2"/>
      <c r="KLR109" s="2"/>
      <c r="KLS109" s="5"/>
      <c r="KLT109" s="2"/>
      <c r="KLU109" s="4"/>
      <c r="KLV109" s="2"/>
      <c r="KLW109" s="3"/>
      <c r="KLX109" s="2"/>
      <c r="KLY109" s="2"/>
      <c r="KLZ109" s="5"/>
      <c r="KMA109" s="2"/>
      <c r="KMB109" s="4"/>
      <c r="KMC109" s="2"/>
      <c r="KMD109" s="3"/>
      <c r="KME109" s="2"/>
      <c r="KMF109" s="2"/>
      <c r="KMG109" s="5"/>
      <c r="KMH109" s="2"/>
      <c r="KMI109" s="4"/>
      <c r="KMJ109" s="2"/>
      <c r="KMK109" s="3"/>
      <c r="KML109" s="2"/>
      <c r="KMM109" s="2"/>
      <c r="KMN109" s="5"/>
      <c r="KMO109" s="2"/>
      <c r="KMP109" s="4"/>
      <c r="KMQ109" s="2"/>
      <c r="KMR109" s="3"/>
      <c r="KMS109" s="2"/>
      <c r="KMT109" s="2"/>
      <c r="KMU109" s="5"/>
      <c r="KMV109" s="2"/>
      <c r="KMW109" s="4"/>
      <c r="KMX109" s="2"/>
      <c r="KMY109" s="3"/>
      <c r="KMZ109" s="2"/>
      <c r="KNA109" s="2"/>
      <c r="KNB109" s="5"/>
      <c r="KNC109" s="2"/>
      <c r="KND109" s="4"/>
      <c r="KNE109" s="2"/>
      <c r="KNF109" s="3"/>
      <c r="KNG109" s="2"/>
      <c r="KNH109" s="2"/>
      <c r="KNI109" s="5"/>
      <c r="KNJ109" s="2"/>
      <c r="KNK109" s="4"/>
      <c r="KNL109" s="2"/>
      <c r="KNM109" s="3"/>
      <c r="KNN109" s="2"/>
      <c r="KNO109" s="2"/>
      <c r="KNP109" s="5"/>
      <c r="KNQ109" s="2"/>
      <c r="KNR109" s="4"/>
      <c r="KNS109" s="2"/>
      <c r="KNT109" s="3"/>
      <c r="KNU109" s="2"/>
      <c r="KNV109" s="2"/>
      <c r="KNW109" s="5"/>
      <c r="KNX109" s="2"/>
      <c r="KNY109" s="4"/>
      <c r="KNZ109" s="2"/>
      <c r="KOA109" s="3"/>
      <c r="KOB109" s="2"/>
      <c r="KOC109" s="2"/>
      <c r="KOD109" s="5"/>
      <c r="KOE109" s="2"/>
      <c r="KOF109" s="4"/>
      <c r="KOG109" s="2"/>
      <c r="KOH109" s="3"/>
      <c r="KOI109" s="2"/>
      <c r="KOJ109" s="2"/>
      <c r="KOK109" s="5"/>
      <c r="KOL109" s="2"/>
      <c r="KOM109" s="4"/>
      <c r="KON109" s="2"/>
      <c r="KOO109" s="3"/>
      <c r="KOP109" s="2"/>
      <c r="KOQ109" s="2"/>
      <c r="KOR109" s="5"/>
      <c r="KOS109" s="2"/>
      <c r="KOT109" s="4"/>
      <c r="KOU109" s="2"/>
      <c r="KOV109" s="3"/>
      <c r="KOW109" s="2"/>
      <c r="KOX109" s="2"/>
      <c r="KOY109" s="5"/>
      <c r="KOZ109" s="2"/>
      <c r="KPA109" s="4"/>
      <c r="KPB109" s="2"/>
      <c r="KPC109" s="3"/>
      <c r="KPD109" s="2"/>
      <c r="KPE109" s="2"/>
      <c r="KPF109" s="5"/>
      <c r="KPG109" s="2"/>
      <c r="KPH109" s="4"/>
      <c r="KPI109" s="2"/>
      <c r="KPJ109" s="3"/>
      <c r="KPK109" s="2"/>
      <c r="KPL109" s="2"/>
      <c r="KPM109" s="5"/>
      <c r="KPN109" s="2"/>
      <c r="KPO109" s="4"/>
      <c r="KPP109" s="2"/>
      <c r="KPQ109" s="3"/>
      <c r="KPR109" s="2"/>
      <c r="KPS109" s="2"/>
      <c r="KPT109" s="5"/>
      <c r="KPU109" s="2"/>
      <c r="KPV109" s="4"/>
      <c r="KPW109" s="2"/>
      <c r="KPX109" s="3"/>
      <c r="KPY109" s="2"/>
      <c r="KPZ109" s="2"/>
      <c r="KQA109" s="5"/>
      <c r="KQB109" s="2"/>
      <c r="KQC109" s="4"/>
      <c r="KQD109" s="2"/>
      <c r="KQE109" s="3"/>
      <c r="KQF109" s="2"/>
      <c r="KQG109" s="2"/>
      <c r="KQH109" s="5"/>
      <c r="KQI109" s="2"/>
      <c r="KQJ109" s="4"/>
      <c r="KQK109" s="2"/>
      <c r="KQL109" s="3"/>
      <c r="KQM109" s="2"/>
      <c r="KQN109" s="2"/>
      <c r="KQO109" s="5"/>
      <c r="KQP109" s="2"/>
      <c r="KQQ109" s="4"/>
      <c r="KQR109" s="2"/>
      <c r="KQS109" s="3"/>
      <c r="KQT109" s="2"/>
      <c r="KQU109" s="2"/>
      <c r="KQV109" s="5"/>
      <c r="KQW109" s="2"/>
      <c r="KQX109" s="4"/>
      <c r="KQY109" s="2"/>
      <c r="KQZ109" s="3"/>
      <c r="KRA109" s="2"/>
      <c r="KRB109" s="2"/>
      <c r="KRC109" s="5"/>
      <c r="KRD109" s="2"/>
      <c r="KRE109" s="4"/>
      <c r="KRF109" s="2"/>
      <c r="KRG109" s="3"/>
      <c r="KRH109" s="2"/>
      <c r="KRI109" s="2"/>
      <c r="KRJ109" s="5"/>
      <c r="KRK109" s="2"/>
      <c r="KRL109" s="4"/>
      <c r="KRM109" s="2"/>
      <c r="KRN109" s="3"/>
      <c r="KRO109" s="2"/>
      <c r="KRP109" s="2"/>
      <c r="KRQ109" s="5"/>
      <c r="KRR109" s="2"/>
      <c r="KRS109" s="4"/>
      <c r="KRT109" s="2"/>
      <c r="KRU109" s="3"/>
      <c r="KRV109" s="2"/>
      <c r="KRW109" s="2"/>
      <c r="KRX109" s="5"/>
      <c r="KRY109" s="2"/>
      <c r="KRZ109" s="4"/>
      <c r="KSA109" s="2"/>
      <c r="KSB109" s="3"/>
      <c r="KSC109" s="2"/>
      <c r="KSD109" s="2"/>
      <c r="KSE109" s="5"/>
      <c r="KSF109" s="2"/>
      <c r="KSG109" s="4"/>
      <c r="KSH109" s="2"/>
      <c r="KSI109" s="3"/>
      <c r="KSJ109" s="2"/>
      <c r="KSK109" s="2"/>
      <c r="KSL109" s="5"/>
      <c r="KSM109" s="2"/>
      <c r="KSN109" s="4"/>
      <c r="KSO109" s="2"/>
      <c r="KSP109" s="3"/>
      <c r="KSQ109" s="2"/>
      <c r="KSR109" s="2"/>
      <c r="KSS109" s="5"/>
      <c r="KST109" s="2"/>
      <c r="KSU109" s="4"/>
      <c r="KSV109" s="2"/>
      <c r="KSW109" s="3"/>
      <c r="KSX109" s="2"/>
      <c r="KSY109" s="2"/>
      <c r="KSZ109" s="5"/>
      <c r="KTA109" s="2"/>
      <c r="KTB109" s="4"/>
      <c r="KTC109" s="2"/>
      <c r="KTD109" s="3"/>
      <c r="KTE109" s="2"/>
      <c r="KTF109" s="2"/>
      <c r="KTG109" s="5"/>
      <c r="KTH109" s="2"/>
      <c r="KTI109" s="4"/>
      <c r="KTJ109" s="2"/>
      <c r="KTK109" s="3"/>
      <c r="KTL109" s="2"/>
      <c r="KTM109" s="2"/>
      <c r="KTN109" s="5"/>
      <c r="KTO109" s="2"/>
      <c r="KTP109" s="4"/>
      <c r="KTQ109" s="2"/>
      <c r="KTR109" s="3"/>
      <c r="KTS109" s="2"/>
      <c r="KTT109" s="2"/>
      <c r="KTU109" s="5"/>
      <c r="KTV109" s="2"/>
      <c r="KTW109" s="4"/>
      <c r="KTX109" s="2"/>
      <c r="KTY109" s="3"/>
      <c r="KTZ109" s="2"/>
      <c r="KUA109" s="2"/>
      <c r="KUB109" s="5"/>
      <c r="KUC109" s="2"/>
      <c r="KUD109" s="4"/>
      <c r="KUE109" s="2"/>
      <c r="KUF109" s="3"/>
      <c r="KUG109" s="2"/>
      <c r="KUH109" s="2"/>
      <c r="KUI109" s="5"/>
      <c r="KUJ109" s="2"/>
      <c r="KUK109" s="4"/>
      <c r="KUL109" s="2"/>
      <c r="KUM109" s="3"/>
      <c r="KUN109" s="2"/>
      <c r="KUO109" s="2"/>
      <c r="KUP109" s="5"/>
      <c r="KUQ109" s="2"/>
      <c r="KUR109" s="4"/>
      <c r="KUS109" s="2"/>
      <c r="KUT109" s="3"/>
      <c r="KUU109" s="2"/>
      <c r="KUV109" s="2"/>
      <c r="KUW109" s="5"/>
      <c r="KUX109" s="2"/>
      <c r="KUY109" s="4"/>
      <c r="KUZ109" s="2"/>
      <c r="KVA109" s="3"/>
      <c r="KVB109" s="2"/>
      <c r="KVC109" s="2"/>
      <c r="KVD109" s="5"/>
      <c r="KVE109" s="2"/>
      <c r="KVF109" s="4"/>
      <c r="KVG109" s="2"/>
      <c r="KVH109" s="3"/>
      <c r="KVI109" s="2"/>
      <c r="KVJ109" s="2"/>
      <c r="KVK109" s="5"/>
      <c r="KVL109" s="2"/>
      <c r="KVM109" s="4"/>
      <c r="KVN109" s="2"/>
      <c r="KVO109" s="3"/>
      <c r="KVP109" s="2"/>
      <c r="KVQ109" s="2"/>
      <c r="KVR109" s="5"/>
      <c r="KVS109" s="2"/>
      <c r="KVT109" s="4"/>
      <c r="KVU109" s="2"/>
      <c r="KVV109" s="3"/>
      <c r="KVW109" s="2"/>
      <c r="KVX109" s="2"/>
      <c r="KVY109" s="5"/>
      <c r="KVZ109" s="2"/>
      <c r="KWA109" s="4"/>
      <c r="KWB109" s="2"/>
      <c r="KWC109" s="3"/>
      <c r="KWD109" s="2"/>
      <c r="KWE109" s="2"/>
      <c r="KWF109" s="5"/>
      <c r="KWG109" s="2"/>
      <c r="KWH109" s="4"/>
      <c r="KWI109" s="2"/>
      <c r="KWJ109" s="3"/>
      <c r="KWK109" s="2"/>
      <c r="KWL109" s="2"/>
      <c r="KWM109" s="5"/>
      <c r="KWN109" s="2"/>
      <c r="KWO109" s="4"/>
      <c r="KWP109" s="2"/>
      <c r="KWQ109" s="3"/>
      <c r="KWR109" s="2"/>
      <c r="KWS109" s="2"/>
      <c r="KWT109" s="5"/>
      <c r="KWU109" s="2"/>
      <c r="KWV109" s="4"/>
      <c r="KWW109" s="2"/>
      <c r="KWX109" s="3"/>
      <c r="KWY109" s="2"/>
      <c r="KWZ109" s="2"/>
      <c r="KXA109" s="5"/>
      <c r="KXB109" s="2"/>
      <c r="KXC109" s="4"/>
      <c r="KXD109" s="2"/>
      <c r="KXE109" s="3"/>
      <c r="KXF109" s="2"/>
      <c r="KXG109" s="2"/>
      <c r="KXH109" s="5"/>
      <c r="KXI109" s="2"/>
      <c r="KXJ109" s="4"/>
      <c r="KXK109" s="2"/>
      <c r="KXL109" s="3"/>
      <c r="KXM109" s="2"/>
      <c r="KXN109" s="2"/>
      <c r="KXO109" s="5"/>
      <c r="KXP109" s="2"/>
      <c r="KXQ109" s="4"/>
      <c r="KXR109" s="2"/>
      <c r="KXS109" s="3"/>
      <c r="KXT109" s="2"/>
      <c r="KXU109" s="2"/>
      <c r="KXV109" s="5"/>
      <c r="KXW109" s="2"/>
      <c r="KXX109" s="4"/>
      <c r="KXY109" s="2"/>
      <c r="KXZ109" s="3"/>
      <c r="KYA109" s="2"/>
      <c r="KYB109" s="2"/>
      <c r="KYC109" s="5"/>
      <c r="KYD109" s="2"/>
      <c r="KYE109" s="4"/>
      <c r="KYF109" s="2"/>
      <c r="KYG109" s="3"/>
      <c r="KYH109" s="2"/>
      <c r="KYI109" s="2"/>
      <c r="KYJ109" s="5"/>
      <c r="KYK109" s="2"/>
      <c r="KYL109" s="4"/>
      <c r="KYM109" s="2"/>
      <c r="KYN109" s="3"/>
      <c r="KYO109" s="2"/>
      <c r="KYP109" s="2"/>
      <c r="KYQ109" s="5"/>
      <c r="KYR109" s="2"/>
      <c r="KYS109" s="4"/>
      <c r="KYT109" s="2"/>
      <c r="KYU109" s="3"/>
      <c r="KYV109" s="2"/>
      <c r="KYW109" s="2"/>
      <c r="KYX109" s="5"/>
      <c r="KYY109" s="2"/>
      <c r="KYZ109" s="4"/>
      <c r="KZA109" s="2"/>
      <c r="KZB109" s="3"/>
      <c r="KZC109" s="2"/>
      <c r="KZD109" s="2"/>
      <c r="KZE109" s="5"/>
      <c r="KZF109" s="2"/>
      <c r="KZG109" s="4"/>
      <c r="KZH109" s="2"/>
      <c r="KZI109" s="3"/>
      <c r="KZJ109" s="2"/>
      <c r="KZK109" s="2"/>
      <c r="KZL109" s="5"/>
      <c r="KZM109" s="2"/>
      <c r="KZN109" s="4"/>
      <c r="KZO109" s="2"/>
      <c r="KZP109" s="3"/>
      <c r="KZQ109" s="2"/>
      <c r="KZR109" s="2"/>
      <c r="KZS109" s="5"/>
      <c r="KZT109" s="2"/>
      <c r="KZU109" s="4"/>
      <c r="KZV109" s="2"/>
      <c r="KZW109" s="3"/>
      <c r="KZX109" s="2"/>
      <c r="KZY109" s="2"/>
      <c r="KZZ109" s="5"/>
      <c r="LAA109" s="2"/>
      <c r="LAB109" s="4"/>
      <c r="LAC109" s="2"/>
      <c r="LAD109" s="3"/>
      <c r="LAE109" s="2"/>
      <c r="LAF109" s="2"/>
      <c r="LAG109" s="5"/>
      <c r="LAH109" s="2"/>
      <c r="LAI109" s="4"/>
      <c r="LAJ109" s="2"/>
      <c r="LAK109" s="3"/>
      <c r="LAL109" s="2"/>
      <c r="LAM109" s="2"/>
      <c r="LAN109" s="5"/>
      <c r="LAO109" s="2"/>
      <c r="LAP109" s="4"/>
      <c r="LAQ109" s="2"/>
      <c r="LAR109" s="3"/>
      <c r="LAS109" s="2"/>
      <c r="LAT109" s="2"/>
      <c r="LAU109" s="5"/>
      <c r="LAV109" s="2"/>
      <c r="LAW109" s="4"/>
      <c r="LAX109" s="2"/>
      <c r="LAY109" s="3"/>
      <c r="LAZ109" s="2"/>
      <c r="LBA109" s="2"/>
      <c r="LBB109" s="5"/>
      <c r="LBC109" s="2"/>
      <c r="LBD109" s="4"/>
      <c r="LBE109" s="2"/>
      <c r="LBF109" s="3"/>
      <c r="LBG109" s="2"/>
      <c r="LBH109" s="2"/>
      <c r="LBI109" s="5"/>
      <c r="LBJ109" s="2"/>
      <c r="LBK109" s="4"/>
      <c r="LBL109" s="2"/>
      <c r="LBM109" s="3"/>
      <c r="LBN109" s="2"/>
      <c r="LBO109" s="2"/>
      <c r="LBP109" s="5"/>
      <c r="LBQ109" s="2"/>
      <c r="LBR109" s="4"/>
      <c r="LBS109" s="2"/>
      <c r="LBT109" s="3"/>
      <c r="LBU109" s="2"/>
      <c r="LBV109" s="2"/>
      <c r="LBW109" s="5"/>
      <c r="LBX109" s="2"/>
      <c r="LBY109" s="4"/>
      <c r="LBZ109" s="2"/>
      <c r="LCA109" s="3"/>
      <c r="LCB109" s="2"/>
      <c r="LCC109" s="2"/>
      <c r="LCD109" s="5"/>
      <c r="LCE109" s="2"/>
      <c r="LCF109" s="4"/>
      <c r="LCG109" s="2"/>
      <c r="LCH109" s="3"/>
      <c r="LCI109" s="2"/>
      <c r="LCJ109" s="2"/>
      <c r="LCK109" s="5"/>
      <c r="LCL109" s="2"/>
      <c r="LCM109" s="4"/>
      <c r="LCN109" s="2"/>
      <c r="LCO109" s="3"/>
      <c r="LCP109" s="2"/>
      <c r="LCQ109" s="2"/>
      <c r="LCR109" s="5"/>
      <c r="LCS109" s="2"/>
      <c r="LCT109" s="4"/>
      <c r="LCU109" s="2"/>
      <c r="LCV109" s="3"/>
      <c r="LCW109" s="2"/>
      <c r="LCX109" s="2"/>
      <c r="LCY109" s="5"/>
      <c r="LCZ109" s="2"/>
      <c r="LDA109" s="4"/>
      <c r="LDB109" s="2"/>
      <c r="LDC109" s="3"/>
      <c r="LDD109" s="2"/>
      <c r="LDE109" s="2"/>
      <c r="LDF109" s="5"/>
      <c r="LDG109" s="2"/>
      <c r="LDH109" s="4"/>
      <c r="LDI109" s="2"/>
      <c r="LDJ109" s="3"/>
      <c r="LDK109" s="2"/>
      <c r="LDL109" s="2"/>
      <c r="LDM109" s="5"/>
      <c r="LDN109" s="2"/>
      <c r="LDO109" s="4"/>
      <c r="LDP109" s="2"/>
      <c r="LDQ109" s="3"/>
      <c r="LDR109" s="2"/>
      <c r="LDS109" s="2"/>
      <c r="LDT109" s="5"/>
      <c r="LDU109" s="2"/>
      <c r="LDV109" s="4"/>
      <c r="LDW109" s="2"/>
      <c r="LDX109" s="3"/>
      <c r="LDY109" s="2"/>
      <c r="LDZ109" s="2"/>
      <c r="LEA109" s="5"/>
      <c r="LEB109" s="2"/>
      <c r="LEC109" s="4"/>
      <c r="LED109" s="2"/>
      <c r="LEE109" s="3"/>
      <c r="LEF109" s="2"/>
      <c r="LEG109" s="2"/>
      <c r="LEH109" s="5"/>
      <c r="LEI109" s="2"/>
      <c r="LEJ109" s="4"/>
      <c r="LEK109" s="2"/>
      <c r="LEL109" s="3"/>
      <c r="LEM109" s="2"/>
      <c r="LEN109" s="2"/>
      <c r="LEO109" s="5"/>
      <c r="LEP109" s="2"/>
      <c r="LEQ109" s="4"/>
      <c r="LER109" s="2"/>
      <c r="LES109" s="3"/>
      <c r="LET109" s="2"/>
      <c r="LEU109" s="2"/>
      <c r="LEV109" s="5"/>
      <c r="LEW109" s="2"/>
      <c r="LEX109" s="4"/>
      <c r="LEY109" s="2"/>
      <c r="LEZ109" s="3"/>
      <c r="LFA109" s="2"/>
      <c r="LFB109" s="2"/>
      <c r="LFC109" s="5"/>
      <c r="LFD109" s="2"/>
      <c r="LFE109" s="4"/>
      <c r="LFF109" s="2"/>
      <c r="LFG109" s="3"/>
      <c r="LFH109" s="2"/>
      <c r="LFI109" s="2"/>
      <c r="LFJ109" s="5"/>
      <c r="LFK109" s="2"/>
      <c r="LFL109" s="4"/>
      <c r="LFM109" s="2"/>
      <c r="LFN109" s="3"/>
      <c r="LFO109" s="2"/>
      <c r="LFP109" s="2"/>
      <c r="LFQ109" s="5"/>
      <c r="LFR109" s="2"/>
      <c r="LFS109" s="4"/>
      <c r="LFT109" s="2"/>
      <c r="LFU109" s="3"/>
      <c r="LFV109" s="2"/>
      <c r="LFW109" s="2"/>
      <c r="LFX109" s="5"/>
      <c r="LFY109" s="2"/>
      <c r="LFZ109" s="4"/>
      <c r="LGA109" s="2"/>
      <c r="LGB109" s="3"/>
      <c r="LGC109" s="2"/>
      <c r="LGD109" s="2"/>
      <c r="LGE109" s="5"/>
      <c r="LGF109" s="2"/>
      <c r="LGG109" s="4"/>
      <c r="LGH109" s="2"/>
      <c r="LGI109" s="3"/>
      <c r="LGJ109" s="2"/>
      <c r="LGK109" s="2"/>
      <c r="LGL109" s="5"/>
      <c r="LGM109" s="2"/>
      <c r="LGN109" s="4"/>
      <c r="LGO109" s="2"/>
      <c r="LGP109" s="3"/>
      <c r="LGQ109" s="2"/>
      <c r="LGR109" s="2"/>
      <c r="LGS109" s="5"/>
      <c r="LGT109" s="2"/>
      <c r="LGU109" s="4"/>
      <c r="LGV109" s="2"/>
      <c r="LGW109" s="3"/>
      <c r="LGX109" s="2"/>
      <c r="LGY109" s="2"/>
      <c r="LGZ109" s="5"/>
      <c r="LHA109" s="2"/>
      <c r="LHB109" s="4"/>
      <c r="LHC109" s="2"/>
      <c r="LHD109" s="3"/>
      <c r="LHE109" s="2"/>
      <c r="LHF109" s="2"/>
      <c r="LHG109" s="5"/>
      <c r="LHH109" s="2"/>
      <c r="LHI109" s="4"/>
      <c r="LHJ109" s="2"/>
      <c r="LHK109" s="3"/>
      <c r="LHL109" s="2"/>
      <c r="LHM109" s="2"/>
      <c r="LHN109" s="5"/>
      <c r="LHO109" s="2"/>
      <c r="LHP109" s="4"/>
      <c r="LHQ109" s="2"/>
      <c r="LHR109" s="3"/>
      <c r="LHS109" s="2"/>
      <c r="LHT109" s="2"/>
      <c r="LHU109" s="5"/>
      <c r="LHV109" s="2"/>
      <c r="LHW109" s="4"/>
      <c r="LHX109" s="2"/>
      <c r="LHY109" s="3"/>
      <c r="LHZ109" s="2"/>
      <c r="LIA109" s="2"/>
      <c r="LIB109" s="5"/>
      <c r="LIC109" s="2"/>
      <c r="LID109" s="4"/>
      <c r="LIE109" s="2"/>
      <c r="LIF109" s="3"/>
      <c r="LIG109" s="2"/>
      <c r="LIH109" s="2"/>
      <c r="LII109" s="5"/>
      <c r="LIJ109" s="2"/>
      <c r="LIK109" s="4"/>
      <c r="LIL109" s="2"/>
      <c r="LIM109" s="3"/>
      <c r="LIN109" s="2"/>
      <c r="LIO109" s="2"/>
      <c r="LIP109" s="5"/>
      <c r="LIQ109" s="2"/>
      <c r="LIR109" s="4"/>
      <c r="LIS109" s="2"/>
      <c r="LIT109" s="3"/>
      <c r="LIU109" s="2"/>
      <c r="LIV109" s="2"/>
      <c r="LIW109" s="5"/>
      <c r="LIX109" s="2"/>
      <c r="LIY109" s="4"/>
      <c r="LIZ109" s="2"/>
      <c r="LJA109" s="3"/>
      <c r="LJB109" s="2"/>
      <c r="LJC109" s="2"/>
      <c r="LJD109" s="5"/>
      <c r="LJE109" s="2"/>
      <c r="LJF109" s="4"/>
      <c r="LJG109" s="2"/>
      <c r="LJH109" s="3"/>
      <c r="LJI109" s="2"/>
      <c r="LJJ109" s="2"/>
      <c r="LJK109" s="5"/>
      <c r="LJL109" s="2"/>
      <c r="LJM109" s="4"/>
      <c r="LJN109" s="2"/>
      <c r="LJO109" s="3"/>
      <c r="LJP109" s="2"/>
      <c r="LJQ109" s="2"/>
      <c r="LJR109" s="5"/>
      <c r="LJS109" s="2"/>
      <c r="LJT109" s="4"/>
      <c r="LJU109" s="2"/>
      <c r="LJV109" s="3"/>
      <c r="LJW109" s="2"/>
      <c r="LJX109" s="2"/>
      <c r="LJY109" s="5"/>
      <c r="LJZ109" s="2"/>
      <c r="LKA109" s="4"/>
      <c r="LKB109" s="2"/>
      <c r="LKC109" s="3"/>
      <c r="LKD109" s="2"/>
      <c r="LKE109" s="2"/>
      <c r="LKF109" s="5"/>
      <c r="LKG109" s="2"/>
      <c r="LKH109" s="4"/>
      <c r="LKI109" s="2"/>
      <c r="LKJ109" s="3"/>
      <c r="LKK109" s="2"/>
      <c r="LKL109" s="2"/>
      <c r="LKM109" s="5"/>
      <c r="LKN109" s="2"/>
      <c r="LKO109" s="4"/>
      <c r="LKP109" s="2"/>
      <c r="LKQ109" s="3"/>
      <c r="LKR109" s="2"/>
      <c r="LKS109" s="2"/>
      <c r="LKT109" s="5"/>
      <c r="LKU109" s="2"/>
      <c r="LKV109" s="4"/>
      <c r="LKW109" s="2"/>
      <c r="LKX109" s="3"/>
      <c r="LKY109" s="2"/>
      <c r="LKZ109" s="2"/>
      <c r="LLA109" s="5"/>
      <c r="LLB109" s="2"/>
      <c r="LLC109" s="4"/>
      <c r="LLD109" s="2"/>
      <c r="LLE109" s="3"/>
      <c r="LLF109" s="2"/>
      <c r="LLG109" s="2"/>
      <c r="LLH109" s="5"/>
      <c r="LLI109" s="2"/>
      <c r="LLJ109" s="4"/>
      <c r="LLK109" s="2"/>
      <c r="LLL109" s="3"/>
      <c r="LLM109" s="2"/>
      <c r="LLN109" s="2"/>
      <c r="LLO109" s="5"/>
      <c r="LLP109" s="2"/>
      <c r="LLQ109" s="4"/>
      <c r="LLR109" s="2"/>
      <c r="LLS109" s="3"/>
      <c r="LLT109" s="2"/>
      <c r="LLU109" s="2"/>
      <c r="LLV109" s="5"/>
      <c r="LLW109" s="2"/>
      <c r="LLX109" s="4"/>
      <c r="LLY109" s="2"/>
      <c r="LLZ109" s="3"/>
      <c r="LMA109" s="2"/>
      <c r="LMB109" s="2"/>
      <c r="LMC109" s="5"/>
      <c r="LMD109" s="2"/>
      <c r="LME109" s="4"/>
      <c r="LMF109" s="2"/>
      <c r="LMG109" s="3"/>
      <c r="LMH109" s="2"/>
      <c r="LMI109" s="2"/>
      <c r="LMJ109" s="5"/>
      <c r="LMK109" s="2"/>
      <c r="LML109" s="4"/>
      <c r="LMM109" s="2"/>
      <c r="LMN109" s="3"/>
      <c r="LMO109" s="2"/>
      <c r="LMP109" s="2"/>
      <c r="LMQ109" s="5"/>
      <c r="LMR109" s="2"/>
      <c r="LMS109" s="4"/>
      <c r="LMT109" s="2"/>
      <c r="LMU109" s="3"/>
      <c r="LMV109" s="2"/>
      <c r="LMW109" s="2"/>
      <c r="LMX109" s="5"/>
      <c r="LMY109" s="2"/>
      <c r="LMZ109" s="4"/>
      <c r="LNA109" s="2"/>
      <c r="LNB109" s="3"/>
      <c r="LNC109" s="2"/>
      <c r="LND109" s="2"/>
      <c r="LNE109" s="5"/>
      <c r="LNF109" s="2"/>
      <c r="LNG109" s="4"/>
      <c r="LNH109" s="2"/>
      <c r="LNI109" s="3"/>
      <c r="LNJ109" s="2"/>
      <c r="LNK109" s="2"/>
      <c r="LNL109" s="5"/>
      <c r="LNM109" s="2"/>
      <c r="LNN109" s="4"/>
      <c r="LNO109" s="2"/>
      <c r="LNP109" s="3"/>
      <c r="LNQ109" s="2"/>
      <c r="LNR109" s="2"/>
      <c r="LNS109" s="5"/>
      <c r="LNT109" s="2"/>
      <c r="LNU109" s="4"/>
      <c r="LNV109" s="2"/>
      <c r="LNW109" s="3"/>
      <c r="LNX109" s="2"/>
      <c r="LNY109" s="2"/>
      <c r="LNZ109" s="5"/>
      <c r="LOA109" s="2"/>
      <c r="LOB109" s="4"/>
      <c r="LOC109" s="2"/>
      <c r="LOD109" s="3"/>
      <c r="LOE109" s="2"/>
      <c r="LOF109" s="2"/>
      <c r="LOG109" s="5"/>
      <c r="LOH109" s="2"/>
      <c r="LOI109" s="4"/>
      <c r="LOJ109" s="2"/>
      <c r="LOK109" s="3"/>
      <c r="LOL109" s="2"/>
      <c r="LOM109" s="2"/>
      <c r="LON109" s="5"/>
      <c r="LOO109" s="2"/>
      <c r="LOP109" s="4"/>
      <c r="LOQ109" s="2"/>
      <c r="LOR109" s="3"/>
      <c r="LOS109" s="2"/>
      <c r="LOT109" s="2"/>
      <c r="LOU109" s="5"/>
      <c r="LOV109" s="2"/>
      <c r="LOW109" s="4"/>
      <c r="LOX109" s="2"/>
      <c r="LOY109" s="3"/>
      <c r="LOZ109" s="2"/>
      <c r="LPA109" s="2"/>
      <c r="LPB109" s="5"/>
      <c r="LPC109" s="2"/>
      <c r="LPD109" s="4"/>
      <c r="LPE109" s="2"/>
      <c r="LPF109" s="3"/>
      <c r="LPG109" s="2"/>
      <c r="LPH109" s="2"/>
      <c r="LPI109" s="5"/>
      <c r="LPJ109" s="2"/>
      <c r="LPK109" s="4"/>
      <c r="LPL109" s="2"/>
      <c r="LPM109" s="3"/>
      <c r="LPN109" s="2"/>
      <c r="LPO109" s="2"/>
      <c r="LPP109" s="5"/>
      <c r="LPQ109" s="2"/>
      <c r="LPR109" s="4"/>
      <c r="LPS109" s="2"/>
      <c r="LPT109" s="3"/>
      <c r="LPU109" s="2"/>
      <c r="LPV109" s="2"/>
      <c r="LPW109" s="5"/>
      <c r="LPX109" s="2"/>
      <c r="LPY109" s="4"/>
      <c r="LPZ109" s="2"/>
      <c r="LQA109" s="3"/>
      <c r="LQB109" s="2"/>
      <c r="LQC109" s="2"/>
      <c r="LQD109" s="5"/>
      <c r="LQE109" s="2"/>
      <c r="LQF109" s="4"/>
      <c r="LQG109" s="2"/>
      <c r="LQH109" s="3"/>
      <c r="LQI109" s="2"/>
      <c r="LQJ109" s="2"/>
      <c r="LQK109" s="5"/>
      <c r="LQL109" s="2"/>
      <c r="LQM109" s="4"/>
      <c r="LQN109" s="2"/>
      <c r="LQO109" s="3"/>
      <c r="LQP109" s="2"/>
      <c r="LQQ109" s="2"/>
      <c r="LQR109" s="5"/>
      <c r="LQS109" s="2"/>
      <c r="LQT109" s="4"/>
      <c r="LQU109" s="2"/>
      <c r="LQV109" s="3"/>
      <c r="LQW109" s="2"/>
      <c r="LQX109" s="2"/>
      <c r="LQY109" s="5"/>
      <c r="LQZ109" s="2"/>
      <c r="LRA109" s="4"/>
      <c r="LRB109" s="2"/>
      <c r="LRC109" s="3"/>
      <c r="LRD109" s="2"/>
      <c r="LRE109" s="2"/>
      <c r="LRF109" s="5"/>
      <c r="LRG109" s="2"/>
      <c r="LRH109" s="4"/>
      <c r="LRI109" s="2"/>
      <c r="LRJ109" s="3"/>
      <c r="LRK109" s="2"/>
      <c r="LRL109" s="2"/>
      <c r="LRM109" s="5"/>
      <c r="LRN109" s="2"/>
      <c r="LRO109" s="4"/>
      <c r="LRP109" s="2"/>
      <c r="LRQ109" s="3"/>
      <c r="LRR109" s="2"/>
      <c r="LRS109" s="2"/>
      <c r="LRT109" s="5"/>
      <c r="LRU109" s="2"/>
      <c r="LRV109" s="4"/>
      <c r="LRW109" s="2"/>
      <c r="LRX109" s="3"/>
      <c r="LRY109" s="2"/>
      <c r="LRZ109" s="2"/>
      <c r="LSA109" s="5"/>
      <c r="LSB109" s="2"/>
      <c r="LSC109" s="4"/>
      <c r="LSD109" s="2"/>
      <c r="LSE109" s="3"/>
      <c r="LSF109" s="2"/>
      <c r="LSG109" s="2"/>
      <c r="LSH109" s="5"/>
      <c r="LSI109" s="2"/>
      <c r="LSJ109" s="4"/>
      <c r="LSK109" s="2"/>
      <c r="LSL109" s="3"/>
      <c r="LSM109" s="2"/>
      <c r="LSN109" s="2"/>
      <c r="LSO109" s="5"/>
      <c r="LSP109" s="2"/>
      <c r="LSQ109" s="4"/>
      <c r="LSR109" s="2"/>
      <c r="LSS109" s="3"/>
      <c r="LST109" s="2"/>
      <c r="LSU109" s="2"/>
      <c r="LSV109" s="5"/>
      <c r="LSW109" s="2"/>
      <c r="LSX109" s="4"/>
      <c r="LSY109" s="2"/>
      <c r="LSZ109" s="3"/>
      <c r="LTA109" s="2"/>
      <c r="LTB109" s="2"/>
      <c r="LTC109" s="5"/>
      <c r="LTD109" s="2"/>
      <c r="LTE109" s="4"/>
      <c r="LTF109" s="2"/>
      <c r="LTG109" s="3"/>
      <c r="LTH109" s="2"/>
      <c r="LTI109" s="2"/>
      <c r="LTJ109" s="5"/>
      <c r="LTK109" s="2"/>
      <c r="LTL109" s="4"/>
      <c r="LTM109" s="2"/>
      <c r="LTN109" s="3"/>
      <c r="LTO109" s="2"/>
      <c r="LTP109" s="2"/>
      <c r="LTQ109" s="5"/>
      <c r="LTR109" s="2"/>
      <c r="LTS109" s="4"/>
      <c r="LTT109" s="2"/>
      <c r="LTU109" s="3"/>
      <c r="LTV109" s="2"/>
      <c r="LTW109" s="2"/>
      <c r="LTX109" s="5"/>
      <c r="LTY109" s="2"/>
      <c r="LTZ109" s="4"/>
      <c r="LUA109" s="2"/>
      <c r="LUB109" s="3"/>
      <c r="LUC109" s="2"/>
      <c r="LUD109" s="2"/>
      <c r="LUE109" s="5"/>
      <c r="LUF109" s="2"/>
      <c r="LUG109" s="4"/>
      <c r="LUH109" s="2"/>
      <c r="LUI109" s="3"/>
      <c r="LUJ109" s="2"/>
      <c r="LUK109" s="2"/>
      <c r="LUL109" s="5"/>
      <c r="LUM109" s="2"/>
      <c r="LUN109" s="4"/>
      <c r="LUO109" s="2"/>
      <c r="LUP109" s="3"/>
      <c r="LUQ109" s="2"/>
      <c r="LUR109" s="2"/>
      <c r="LUS109" s="5"/>
      <c r="LUT109" s="2"/>
      <c r="LUU109" s="4"/>
      <c r="LUV109" s="2"/>
      <c r="LUW109" s="3"/>
      <c r="LUX109" s="2"/>
      <c r="LUY109" s="2"/>
      <c r="LUZ109" s="5"/>
      <c r="LVA109" s="2"/>
      <c r="LVB109" s="4"/>
      <c r="LVC109" s="2"/>
      <c r="LVD109" s="3"/>
      <c r="LVE109" s="2"/>
      <c r="LVF109" s="2"/>
      <c r="LVG109" s="5"/>
      <c r="LVH109" s="2"/>
      <c r="LVI109" s="4"/>
      <c r="LVJ109" s="2"/>
      <c r="LVK109" s="3"/>
      <c r="LVL109" s="2"/>
      <c r="LVM109" s="2"/>
      <c r="LVN109" s="5"/>
      <c r="LVO109" s="2"/>
      <c r="LVP109" s="4"/>
      <c r="LVQ109" s="2"/>
      <c r="LVR109" s="3"/>
      <c r="LVS109" s="2"/>
      <c r="LVT109" s="2"/>
      <c r="LVU109" s="5"/>
      <c r="LVV109" s="2"/>
      <c r="LVW109" s="4"/>
      <c r="LVX109" s="2"/>
      <c r="LVY109" s="3"/>
      <c r="LVZ109" s="2"/>
      <c r="LWA109" s="2"/>
      <c r="LWB109" s="5"/>
      <c r="LWC109" s="2"/>
      <c r="LWD109" s="4"/>
      <c r="LWE109" s="2"/>
      <c r="LWF109" s="3"/>
      <c r="LWG109" s="2"/>
      <c r="LWH109" s="2"/>
      <c r="LWI109" s="5"/>
      <c r="LWJ109" s="2"/>
      <c r="LWK109" s="4"/>
      <c r="LWL109" s="2"/>
      <c r="LWM109" s="3"/>
      <c r="LWN109" s="2"/>
      <c r="LWO109" s="2"/>
      <c r="LWP109" s="5"/>
      <c r="LWQ109" s="2"/>
      <c r="LWR109" s="4"/>
      <c r="LWS109" s="2"/>
      <c r="LWT109" s="3"/>
      <c r="LWU109" s="2"/>
      <c r="LWV109" s="2"/>
      <c r="LWW109" s="5"/>
      <c r="LWX109" s="2"/>
      <c r="LWY109" s="4"/>
      <c r="LWZ109" s="2"/>
      <c r="LXA109" s="3"/>
      <c r="LXB109" s="2"/>
      <c r="LXC109" s="2"/>
      <c r="LXD109" s="5"/>
      <c r="LXE109" s="2"/>
      <c r="LXF109" s="4"/>
      <c r="LXG109" s="2"/>
      <c r="LXH109" s="3"/>
      <c r="LXI109" s="2"/>
      <c r="LXJ109" s="2"/>
      <c r="LXK109" s="5"/>
      <c r="LXL109" s="2"/>
      <c r="LXM109" s="4"/>
      <c r="LXN109" s="2"/>
      <c r="LXO109" s="3"/>
      <c r="LXP109" s="2"/>
      <c r="LXQ109" s="2"/>
      <c r="LXR109" s="5"/>
      <c r="LXS109" s="2"/>
      <c r="LXT109" s="4"/>
      <c r="LXU109" s="2"/>
      <c r="LXV109" s="3"/>
      <c r="LXW109" s="2"/>
      <c r="LXX109" s="2"/>
      <c r="LXY109" s="5"/>
      <c r="LXZ109" s="2"/>
      <c r="LYA109" s="4"/>
      <c r="LYB109" s="2"/>
      <c r="LYC109" s="3"/>
      <c r="LYD109" s="2"/>
      <c r="LYE109" s="2"/>
      <c r="LYF109" s="5"/>
      <c r="LYG109" s="2"/>
      <c r="LYH109" s="4"/>
      <c r="LYI109" s="2"/>
      <c r="LYJ109" s="3"/>
      <c r="LYK109" s="2"/>
      <c r="LYL109" s="2"/>
      <c r="LYM109" s="5"/>
      <c r="LYN109" s="2"/>
      <c r="LYO109" s="4"/>
      <c r="LYP109" s="2"/>
      <c r="LYQ109" s="3"/>
      <c r="LYR109" s="2"/>
      <c r="LYS109" s="2"/>
      <c r="LYT109" s="5"/>
      <c r="LYU109" s="2"/>
      <c r="LYV109" s="4"/>
      <c r="LYW109" s="2"/>
      <c r="LYX109" s="3"/>
      <c r="LYY109" s="2"/>
      <c r="LYZ109" s="2"/>
      <c r="LZA109" s="5"/>
      <c r="LZB109" s="2"/>
      <c r="LZC109" s="4"/>
      <c r="LZD109" s="2"/>
      <c r="LZE109" s="3"/>
      <c r="LZF109" s="2"/>
      <c r="LZG109" s="2"/>
      <c r="LZH109" s="5"/>
      <c r="LZI109" s="2"/>
      <c r="LZJ109" s="4"/>
      <c r="LZK109" s="2"/>
      <c r="LZL109" s="3"/>
      <c r="LZM109" s="2"/>
      <c r="LZN109" s="2"/>
      <c r="LZO109" s="5"/>
      <c r="LZP109" s="2"/>
      <c r="LZQ109" s="4"/>
      <c r="LZR109" s="2"/>
      <c r="LZS109" s="3"/>
      <c r="LZT109" s="2"/>
      <c r="LZU109" s="2"/>
      <c r="LZV109" s="5"/>
      <c r="LZW109" s="2"/>
      <c r="LZX109" s="4"/>
      <c r="LZY109" s="2"/>
      <c r="LZZ109" s="3"/>
      <c r="MAA109" s="2"/>
      <c r="MAB109" s="2"/>
      <c r="MAC109" s="5"/>
      <c r="MAD109" s="2"/>
      <c r="MAE109" s="4"/>
      <c r="MAF109" s="2"/>
      <c r="MAG109" s="3"/>
      <c r="MAH109" s="2"/>
      <c r="MAI109" s="2"/>
      <c r="MAJ109" s="5"/>
      <c r="MAK109" s="2"/>
      <c r="MAL109" s="4"/>
      <c r="MAM109" s="2"/>
      <c r="MAN109" s="3"/>
      <c r="MAO109" s="2"/>
      <c r="MAP109" s="2"/>
      <c r="MAQ109" s="5"/>
      <c r="MAR109" s="2"/>
      <c r="MAS109" s="4"/>
      <c r="MAT109" s="2"/>
      <c r="MAU109" s="3"/>
      <c r="MAV109" s="2"/>
      <c r="MAW109" s="2"/>
      <c r="MAX109" s="5"/>
      <c r="MAY109" s="2"/>
      <c r="MAZ109" s="4"/>
      <c r="MBA109" s="2"/>
      <c r="MBB109" s="3"/>
      <c r="MBC109" s="2"/>
      <c r="MBD109" s="2"/>
      <c r="MBE109" s="5"/>
      <c r="MBF109" s="2"/>
      <c r="MBG109" s="4"/>
      <c r="MBH109" s="2"/>
      <c r="MBI109" s="3"/>
      <c r="MBJ109" s="2"/>
      <c r="MBK109" s="2"/>
      <c r="MBL109" s="5"/>
      <c r="MBM109" s="2"/>
      <c r="MBN109" s="4"/>
      <c r="MBO109" s="2"/>
      <c r="MBP109" s="3"/>
      <c r="MBQ109" s="2"/>
      <c r="MBR109" s="2"/>
      <c r="MBS109" s="5"/>
      <c r="MBT109" s="2"/>
      <c r="MBU109" s="4"/>
      <c r="MBV109" s="2"/>
      <c r="MBW109" s="3"/>
      <c r="MBX109" s="2"/>
      <c r="MBY109" s="2"/>
      <c r="MBZ109" s="5"/>
      <c r="MCA109" s="2"/>
      <c r="MCB109" s="4"/>
      <c r="MCC109" s="2"/>
      <c r="MCD109" s="3"/>
      <c r="MCE109" s="2"/>
      <c r="MCF109" s="2"/>
      <c r="MCG109" s="5"/>
      <c r="MCH109" s="2"/>
      <c r="MCI109" s="4"/>
      <c r="MCJ109" s="2"/>
      <c r="MCK109" s="3"/>
      <c r="MCL109" s="2"/>
      <c r="MCM109" s="2"/>
      <c r="MCN109" s="5"/>
      <c r="MCO109" s="2"/>
      <c r="MCP109" s="4"/>
      <c r="MCQ109" s="2"/>
      <c r="MCR109" s="3"/>
      <c r="MCS109" s="2"/>
      <c r="MCT109" s="2"/>
      <c r="MCU109" s="5"/>
      <c r="MCV109" s="2"/>
      <c r="MCW109" s="4"/>
      <c r="MCX109" s="2"/>
      <c r="MCY109" s="3"/>
      <c r="MCZ109" s="2"/>
      <c r="MDA109" s="2"/>
      <c r="MDB109" s="5"/>
      <c r="MDC109" s="2"/>
      <c r="MDD109" s="4"/>
      <c r="MDE109" s="2"/>
      <c r="MDF109" s="3"/>
      <c r="MDG109" s="2"/>
      <c r="MDH109" s="2"/>
      <c r="MDI109" s="5"/>
      <c r="MDJ109" s="2"/>
      <c r="MDK109" s="4"/>
      <c r="MDL109" s="2"/>
      <c r="MDM109" s="3"/>
      <c r="MDN109" s="2"/>
      <c r="MDO109" s="2"/>
      <c r="MDP109" s="5"/>
      <c r="MDQ109" s="2"/>
      <c r="MDR109" s="4"/>
      <c r="MDS109" s="2"/>
      <c r="MDT109" s="3"/>
      <c r="MDU109" s="2"/>
      <c r="MDV109" s="2"/>
      <c r="MDW109" s="5"/>
      <c r="MDX109" s="2"/>
      <c r="MDY109" s="4"/>
      <c r="MDZ109" s="2"/>
      <c r="MEA109" s="3"/>
      <c r="MEB109" s="2"/>
      <c r="MEC109" s="2"/>
      <c r="MED109" s="5"/>
      <c r="MEE109" s="2"/>
      <c r="MEF109" s="4"/>
      <c r="MEG109" s="2"/>
      <c r="MEH109" s="3"/>
      <c r="MEI109" s="2"/>
      <c r="MEJ109" s="2"/>
      <c r="MEK109" s="5"/>
      <c r="MEL109" s="2"/>
      <c r="MEM109" s="4"/>
      <c r="MEN109" s="2"/>
      <c r="MEO109" s="3"/>
      <c r="MEP109" s="2"/>
      <c r="MEQ109" s="2"/>
      <c r="MER109" s="5"/>
      <c r="MES109" s="2"/>
      <c r="MET109" s="4"/>
      <c r="MEU109" s="2"/>
      <c r="MEV109" s="3"/>
      <c r="MEW109" s="2"/>
      <c r="MEX109" s="2"/>
      <c r="MEY109" s="5"/>
      <c r="MEZ109" s="2"/>
      <c r="MFA109" s="4"/>
      <c r="MFB109" s="2"/>
      <c r="MFC109" s="3"/>
      <c r="MFD109" s="2"/>
      <c r="MFE109" s="2"/>
      <c r="MFF109" s="5"/>
      <c r="MFG109" s="2"/>
      <c r="MFH109" s="4"/>
      <c r="MFI109" s="2"/>
      <c r="MFJ109" s="3"/>
      <c r="MFK109" s="2"/>
      <c r="MFL109" s="2"/>
      <c r="MFM109" s="5"/>
      <c r="MFN109" s="2"/>
      <c r="MFO109" s="4"/>
      <c r="MFP109" s="2"/>
      <c r="MFQ109" s="3"/>
      <c r="MFR109" s="2"/>
      <c r="MFS109" s="2"/>
      <c r="MFT109" s="5"/>
      <c r="MFU109" s="2"/>
      <c r="MFV109" s="4"/>
      <c r="MFW109" s="2"/>
      <c r="MFX109" s="3"/>
      <c r="MFY109" s="2"/>
      <c r="MFZ109" s="2"/>
      <c r="MGA109" s="5"/>
      <c r="MGB109" s="2"/>
      <c r="MGC109" s="4"/>
      <c r="MGD109" s="2"/>
      <c r="MGE109" s="3"/>
      <c r="MGF109" s="2"/>
      <c r="MGG109" s="2"/>
      <c r="MGH109" s="5"/>
      <c r="MGI109" s="2"/>
      <c r="MGJ109" s="4"/>
      <c r="MGK109" s="2"/>
      <c r="MGL109" s="3"/>
      <c r="MGM109" s="2"/>
      <c r="MGN109" s="2"/>
      <c r="MGO109" s="5"/>
      <c r="MGP109" s="2"/>
      <c r="MGQ109" s="4"/>
      <c r="MGR109" s="2"/>
      <c r="MGS109" s="3"/>
      <c r="MGT109" s="2"/>
      <c r="MGU109" s="2"/>
      <c r="MGV109" s="5"/>
      <c r="MGW109" s="2"/>
      <c r="MGX109" s="4"/>
      <c r="MGY109" s="2"/>
      <c r="MGZ109" s="3"/>
      <c r="MHA109" s="2"/>
      <c r="MHB109" s="2"/>
      <c r="MHC109" s="5"/>
      <c r="MHD109" s="2"/>
      <c r="MHE109" s="4"/>
      <c r="MHF109" s="2"/>
      <c r="MHG109" s="3"/>
      <c r="MHH109" s="2"/>
      <c r="MHI109" s="2"/>
      <c r="MHJ109" s="5"/>
      <c r="MHK109" s="2"/>
      <c r="MHL109" s="4"/>
      <c r="MHM109" s="2"/>
      <c r="MHN109" s="3"/>
      <c r="MHO109" s="2"/>
      <c r="MHP109" s="2"/>
      <c r="MHQ109" s="5"/>
      <c r="MHR109" s="2"/>
      <c r="MHS109" s="4"/>
      <c r="MHT109" s="2"/>
      <c r="MHU109" s="3"/>
      <c r="MHV109" s="2"/>
      <c r="MHW109" s="2"/>
      <c r="MHX109" s="5"/>
      <c r="MHY109" s="2"/>
      <c r="MHZ109" s="4"/>
      <c r="MIA109" s="2"/>
      <c r="MIB109" s="3"/>
      <c r="MIC109" s="2"/>
      <c r="MID109" s="2"/>
      <c r="MIE109" s="5"/>
      <c r="MIF109" s="2"/>
      <c r="MIG109" s="4"/>
      <c r="MIH109" s="2"/>
      <c r="MII109" s="3"/>
      <c r="MIJ109" s="2"/>
      <c r="MIK109" s="2"/>
      <c r="MIL109" s="5"/>
      <c r="MIM109" s="2"/>
      <c r="MIN109" s="4"/>
      <c r="MIO109" s="2"/>
      <c r="MIP109" s="3"/>
      <c r="MIQ109" s="2"/>
      <c r="MIR109" s="2"/>
      <c r="MIS109" s="5"/>
      <c r="MIT109" s="2"/>
      <c r="MIU109" s="4"/>
      <c r="MIV109" s="2"/>
      <c r="MIW109" s="3"/>
      <c r="MIX109" s="2"/>
      <c r="MIY109" s="2"/>
      <c r="MIZ109" s="5"/>
      <c r="MJA109" s="2"/>
      <c r="MJB109" s="4"/>
      <c r="MJC109" s="2"/>
      <c r="MJD109" s="3"/>
      <c r="MJE109" s="2"/>
      <c r="MJF109" s="2"/>
      <c r="MJG109" s="5"/>
      <c r="MJH109" s="2"/>
      <c r="MJI109" s="4"/>
      <c r="MJJ109" s="2"/>
      <c r="MJK109" s="3"/>
      <c r="MJL109" s="2"/>
      <c r="MJM109" s="2"/>
      <c r="MJN109" s="5"/>
      <c r="MJO109" s="2"/>
      <c r="MJP109" s="4"/>
      <c r="MJQ109" s="2"/>
      <c r="MJR109" s="3"/>
      <c r="MJS109" s="2"/>
      <c r="MJT109" s="2"/>
      <c r="MJU109" s="5"/>
      <c r="MJV109" s="2"/>
      <c r="MJW109" s="4"/>
      <c r="MJX109" s="2"/>
      <c r="MJY109" s="3"/>
      <c r="MJZ109" s="2"/>
      <c r="MKA109" s="2"/>
      <c r="MKB109" s="5"/>
      <c r="MKC109" s="2"/>
      <c r="MKD109" s="4"/>
      <c r="MKE109" s="2"/>
      <c r="MKF109" s="3"/>
      <c r="MKG109" s="2"/>
      <c r="MKH109" s="2"/>
      <c r="MKI109" s="5"/>
      <c r="MKJ109" s="2"/>
      <c r="MKK109" s="4"/>
      <c r="MKL109" s="2"/>
      <c r="MKM109" s="3"/>
      <c r="MKN109" s="2"/>
      <c r="MKO109" s="2"/>
      <c r="MKP109" s="5"/>
      <c r="MKQ109" s="2"/>
      <c r="MKR109" s="4"/>
      <c r="MKS109" s="2"/>
      <c r="MKT109" s="3"/>
      <c r="MKU109" s="2"/>
      <c r="MKV109" s="2"/>
      <c r="MKW109" s="5"/>
      <c r="MKX109" s="2"/>
      <c r="MKY109" s="4"/>
      <c r="MKZ109" s="2"/>
      <c r="MLA109" s="3"/>
      <c r="MLB109" s="2"/>
      <c r="MLC109" s="2"/>
      <c r="MLD109" s="5"/>
      <c r="MLE109" s="2"/>
      <c r="MLF109" s="4"/>
      <c r="MLG109" s="2"/>
      <c r="MLH109" s="3"/>
      <c r="MLI109" s="2"/>
      <c r="MLJ109" s="2"/>
      <c r="MLK109" s="5"/>
      <c r="MLL109" s="2"/>
      <c r="MLM109" s="4"/>
      <c r="MLN109" s="2"/>
      <c r="MLO109" s="3"/>
      <c r="MLP109" s="2"/>
      <c r="MLQ109" s="2"/>
      <c r="MLR109" s="5"/>
      <c r="MLS109" s="2"/>
      <c r="MLT109" s="4"/>
      <c r="MLU109" s="2"/>
      <c r="MLV109" s="3"/>
      <c r="MLW109" s="2"/>
      <c r="MLX109" s="2"/>
      <c r="MLY109" s="5"/>
      <c r="MLZ109" s="2"/>
      <c r="MMA109" s="4"/>
      <c r="MMB109" s="2"/>
      <c r="MMC109" s="3"/>
      <c r="MMD109" s="2"/>
      <c r="MME109" s="2"/>
      <c r="MMF109" s="5"/>
      <c r="MMG109" s="2"/>
      <c r="MMH109" s="4"/>
      <c r="MMI109" s="2"/>
      <c r="MMJ109" s="3"/>
      <c r="MMK109" s="2"/>
      <c r="MML109" s="2"/>
      <c r="MMM109" s="5"/>
      <c r="MMN109" s="2"/>
      <c r="MMO109" s="4"/>
      <c r="MMP109" s="2"/>
      <c r="MMQ109" s="3"/>
      <c r="MMR109" s="2"/>
      <c r="MMS109" s="2"/>
      <c r="MMT109" s="5"/>
      <c r="MMU109" s="2"/>
      <c r="MMV109" s="4"/>
      <c r="MMW109" s="2"/>
      <c r="MMX109" s="3"/>
      <c r="MMY109" s="2"/>
      <c r="MMZ109" s="2"/>
      <c r="MNA109" s="5"/>
      <c r="MNB109" s="2"/>
      <c r="MNC109" s="4"/>
      <c r="MND109" s="2"/>
      <c r="MNE109" s="3"/>
      <c r="MNF109" s="2"/>
      <c r="MNG109" s="2"/>
      <c r="MNH109" s="5"/>
      <c r="MNI109" s="2"/>
      <c r="MNJ109" s="4"/>
      <c r="MNK109" s="2"/>
      <c r="MNL109" s="3"/>
      <c r="MNM109" s="2"/>
      <c r="MNN109" s="2"/>
      <c r="MNO109" s="5"/>
      <c r="MNP109" s="2"/>
      <c r="MNQ109" s="4"/>
      <c r="MNR109" s="2"/>
      <c r="MNS109" s="3"/>
      <c r="MNT109" s="2"/>
      <c r="MNU109" s="2"/>
      <c r="MNV109" s="5"/>
      <c r="MNW109" s="2"/>
      <c r="MNX109" s="4"/>
      <c r="MNY109" s="2"/>
      <c r="MNZ109" s="3"/>
      <c r="MOA109" s="2"/>
      <c r="MOB109" s="2"/>
      <c r="MOC109" s="5"/>
      <c r="MOD109" s="2"/>
      <c r="MOE109" s="4"/>
      <c r="MOF109" s="2"/>
      <c r="MOG109" s="3"/>
      <c r="MOH109" s="2"/>
      <c r="MOI109" s="2"/>
      <c r="MOJ109" s="5"/>
      <c r="MOK109" s="2"/>
      <c r="MOL109" s="4"/>
      <c r="MOM109" s="2"/>
      <c r="MON109" s="3"/>
      <c r="MOO109" s="2"/>
      <c r="MOP109" s="2"/>
      <c r="MOQ109" s="5"/>
      <c r="MOR109" s="2"/>
      <c r="MOS109" s="4"/>
      <c r="MOT109" s="2"/>
      <c r="MOU109" s="3"/>
      <c r="MOV109" s="2"/>
      <c r="MOW109" s="2"/>
      <c r="MOX109" s="5"/>
      <c r="MOY109" s="2"/>
      <c r="MOZ109" s="4"/>
      <c r="MPA109" s="2"/>
      <c r="MPB109" s="3"/>
      <c r="MPC109" s="2"/>
      <c r="MPD109" s="2"/>
      <c r="MPE109" s="5"/>
      <c r="MPF109" s="2"/>
      <c r="MPG109" s="4"/>
      <c r="MPH109" s="2"/>
      <c r="MPI109" s="3"/>
      <c r="MPJ109" s="2"/>
      <c r="MPK109" s="2"/>
      <c r="MPL109" s="5"/>
      <c r="MPM109" s="2"/>
      <c r="MPN109" s="4"/>
      <c r="MPO109" s="2"/>
      <c r="MPP109" s="3"/>
      <c r="MPQ109" s="2"/>
      <c r="MPR109" s="2"/>
      <c r="MPS109" s="5"/>
      <c r="MPT109" s="2"/>
      <c r="MPU109" s="4"/>
      <c r="MPV109" s="2"/>
      <c r="MPW109" s="3"/>
      <c r="MPX109" s="2"/>
      <c r="MPY109" s="2"/>
      <c r="MPZ109" s="5"/>
      <c r="MQA109" s="2"/>
      <c r="MQB109" s="4"/>
      <c r="MQC109" s="2"/>
      <c r="MQD109" s="3"/>
      <c r="MQE109" s="2"/>
      <c r="MQF109" s="2"/>
      <c r="MQG109" s="5"/>
      <c r="MQH109" s="2"/>
      <c r="MQI109" s="4"/>
      <c r="MQJ109" s="2"/>
      <c r="MQK109" s="3"/>
      <c r="MQL109" s="2"/>
      <c r="MQM109" s="2"/>
      <c r="MQN109" s="5"/>
      <c r="MQO109" s="2"/>
      <c r="MQP109" s="4"/>
      <c r="MQQ109" s="2"/>
      <c r="MQR109" s="3"/>
      <c r="MQS109" s="2"/>
      <c r="MQT109" s="2"/>
      <c r="MQU109" s="5"/>
      <c r="MQV109" s="2"/>
      <c r="MQW109" s="4"/>
      <c r="MQX109" s="2"/>
      <c r="MQY109" s="3"/>
      <c r="MQZ109" s="2"/>
      <c r="MRA109" s="2"/>
      <c r="MRB109" s="5"/>
      <c r="MRC109" s="2"/>
      <c r="MRD109" s="4"/>
      <c r="MRE109" s="2"/>
      <c r="MRF109" s="3"/>
      <c r="MRG109" s="2"/>
      <c r="MRH109" s="2"/>
      <c r="MRI109" s="5"/>
      <c r="MRJ109" s="2"/>
      <c r="MRK109" s="4"/>
      <c r="MRL109" s="2"/>
      <c r="MRM109" s="3"/>
      <c r="MRN109" s="2"/>
      <c r="MRO109" s="2"/>
      <c r="MRP109" s="5"/>
      <c r="MRQ109" s="2"/>
      <c r="MRR109" s="4"/>
      <c r="MRS109" s="2"/>
      <c r="MRT109" s="3"/>
      <c r="MRU109" s="2"/>
      <c r="MRV109" s="2"/>
      <c r="MRW109" s="5"/>
      <c r="MRX109" s="2"/>
      <c r="MRY109" s="4"/>
      <c r="MRZ109" s="2"/>
      <c r="MSA109" s="3"/>
      <c r="MSB109" s="2"/>
      <c r="MSC109" s="2"/>
      <c r="MSD109" s="5"/>
      <c r="MSE109" s="2"/>
      <c r="MSF109" s="4"/>
      <c r="MSG109" s="2"/>
      <c r="MSH109" s="3"/>
      <c r="MSI109" s="2"/>
      <c r="MSJ109" s="2"/>
      <c r="MSK109" s="5"/>
      <c r="MSL109" s="2"/>
      <c r="MSM109" s="4"/>
      <c r="MSN109" s="2"/>
      <c r="MSO109" s="3"/>
      <c r="MSP109" s="2"/>
      <c r="MSQ109" s="2"/>
      <c r="MSR109" s="5"/>
      <c r="MSS109" s="2"/>
      <c r="MST109" s="4"/>
      <c r="MSU109" s="2"/>
      <c r="MSV109" s="3"/>
      <c r="MSW109" s="2"/>
      <c r="MSX109" s="2"/>
      <c r="MSY109" s="5"/>
      <c r="MSZ109" s="2"/>
      <c r="MTA109" s="4"/>
      <c r="MTB109" s="2"/>
      <c r="MTC109" s="3"/>
      <c r="MTD109" s="2"/>
      <c r="MTE109" s="2"/>
      <c r="MTF109" s="5"/>
      <c r="MTG109" s="2"/>
      <c r="MTH109" s="4"/>
      <c r="MTI109" s="2"/>
      <c r="MTJ109" s="3"/>
      <c r="MTK109" s="2"/>
      <c r="MTL109" s="2"/>
      <c r="MTM109" s="5"/>
      <c r="MTN109" s="2"/>
      <c r="MTO109" s="4"/>
      <c r="MTP109" s="2"/>
      <c r="MTQ109" s="3"/>
      <c r="MTR109" s="2"/>
      <c r="MTS109" s="2"/>
      <c r="MTT109" s="5"/>
      <c r="MTU109" s="2"/>
      <c r="MTV109" s="4"/>
      <c r="MTW109" s="2"/>
      <c r="MTX109" s="3"/>
      <c r="MTY109" s="2"/>
      <c r="MTZ109" s="2"/>
      <c r="MUA109" s="5"/>
      <c r="MUB109" s="2"/>
      <c r="MUC109" s="4"/>
      <c r="MUD109" s="2"/>
      <c r="MUE109" s="3"/>
      <c r="MUF109" s="2"/>
      <c r="MUG109" s="2"/>
      <c r="MUH109" s="5"/>
      <c r="MUI109" s="2"/>
      <c r="MUJ109" s="4"/>
      <c r="MUK109" s="2"/>
      <c r="MUL109" s="3"/>
      <c r="MUM109" s="2"/>
      <c r="MUN109" s="2"/>
      <c r="MUO109" s="5"/>
      <c r="MUP109" s="2"/>
      <c r="MUQ109" s="4"/>
      <c r="MUR109" s="2"/>
      <c r="MUS109" s="3"/>
      <c r="MUT109" s="2"/>
      <c r="MUU109" s="2"/>
      <c r="MUV109" s="5"/>
      <c r="MUW109" s="2"/>
      <c r="MUX109" s="4"/>
      <c r="MUY109" s="2"/>
      <c r="MUZ109" s="3"/>
      <c r="MVA109" s="2"/>
      <c r="MVB109" s="2"/>
      <c r="MVC109" s="5"/>
      <c r="MVD109" s="2"/>
      <c r="MVE109" s="4"/>
      <c r="MVF109" s="2"/>
      <c r="MVG109" s="3"/>
      <c r="MVH109" s="2"/>
      <c r="MVI109" s="2"/>
      <c r="MVJ109" s="5"/>
      <c r="MVK109" s="2"/>
      <c r="MVL109" s="4"/>
      <c r="MVM109" s="2"/>
      <c r="MVN109" s="3"/>
      <c r="MVO109" s="2"/>
      <c r="MVP109" s="2"/>
      <c r="MVQ109" s="5"/>
      <c r="MVR109" s="2"/>
      <c r="MVS109" s="4"/>
      <c r="MVT109" s="2"/>
      <c r="MVU109" s="3"/>
      <c r="MVV109" s="2"/>
      <c r="MVW109" s="2"/>
      <c r="MVX109" s="5"/>
      <c r="MVY109" s="2"/>
      <c r="MVZ109" s="4"/>
      <c r="MWA109" s="2"/>
      <c r="MWB109" s="3"/>
      <c r="MWC109" s="2"/>
      <c r="MWD109" s="2"/>
      <c r="MWE109" s="5"/>
      <c r="MWF109" s="2"/>
      <c r="MWG109" s="4"/>
      <c r="MWH109" s="2"/>
      <c r="MWI109" s="3"/>
      <c r="MWJ109" s="2"/>
      <c r="MWK109" s="2"/>
      <c r="MWL109" s="5"/>
      <c r="MWM109" s="2"/>
      <c r="MWN109" s="4"/>
      <c r="MWO109" s="2"/>
      <c r="MWP109" s="3"/>
      <c r="MWQ109" s="2"/>
      <c r="MWR109" s="2"/>
      <c r="MWS109" s="5"/>
      <c r="MWT109" s="2"/>
      <c r="MWU109" s="4"/>
      <c r="MWV109" s="2"/>
      <c r="MWW109" s="3"/>
      <c r="MWX109" s="2"/>
      <c r="MWY109" s="2"/>
      <c r="MWZ109" s="5"/>
      <c r="MXA109" s="2"/>
      <c r="MXB109" s="4"/>
      <c r="MXC109" s="2"/>
      <c r="MXD109" s="3"/>
      <c r="MXE109" s="2"/>
      <c r="MXF109" s="2"/>
      <c r="MXG109" s="5"/>
      <c r="MXH109" s="2"/>
      <c r="MXI109" s="4"/>
      <c r="MXJ109" s="2"/>
      <c r="MXK109" s="3"/>
      <c r="MXL109" s="2"/>
      <c r="MXM109" s="2"/>
      <c r="MXN109" s="5"/>
      <c r="MXO109" s="2"/>
      <c r="MXP109" s="4"/>
      <c r="MXQ109" s="2"/>
      <c r="MXR109" s="3"/>
      <c r="MXS109" s="2"/>
      <c r="MXT109" s="2"/>
      <c r="MXU109" s="5"/>
      <c r="MXV109" s="2"/>
      <c r="MXW109" s="4"/>
      <c r="MXX109" s="2"/>
      <c r="MXY109" s="3"/>
      <c r="MXZ109" s="2"/>
      <c r="MYA109" s="2"/>
      <c r="MYB109" s="5"/>
      <c r="MYC109" s="2"/>
      <c r="MYD109" s="4"/>
      <c r="MYE109" s="2"/>
      <c r="MYF109" s="3"/>
      <c r="MYG109" s="2"/>
      <c r="MYH109" s="2"/>
      <c r="MYI109" s="5"/>
      <c r="MYJ109" s="2"/>
      <c r="MYK109" s="4"/>
      <c r="MYL109" s="2"/>
      <c r="MYM109" s="3"/>
      <c r="MYN109" s="2"/>
      <c r="MYO109" s="2"/>
      <c r="MYP109" s="5"/>
      <c r="MYQ109" s="2"/>
      <c r="MYR109" s="4"/>
      <c r="MYS109" s="2"/>
      <c r="MYT109" s="3"/>
      <c r="MYU109" s="2"/>
      <c r="MYV109" s="2"/>
      <c r="MYW109" s="5"/>
      <c r="MYX109" s="2"/>
      <c r="MYY109" s="4"/>
      <c r="MYZ109" s="2"/>
      <c r="MZA109" s="3"/>
      <c r="MZB109" s="2"/>
      <c r="MZC109" s="2"/>
      <c r="MZD109" s="5"/>
      <c r="MZE109" s="2"/>
      <c r="MZF109" s="4"/>
      <c r="MZG109" s="2"/>
      <c r="MZH109" s="3"/>
      <c r="MZI109" s="2"/>
      <c r="MZJ109" s="2"/>
      <c r="MZK109" s="5"/>
      <c r="MZL109" s="2"/>
      <c r="MZM109" s="4"/>
      <c r="MZN109" s="2"/>
      <c r="MZO109" s="3"/>
      <c r="MZP109" s="2"/>
      <c r="MZQ109" s="2"/>
      <c r="MZR109" s="5"/>
      <c r="MZS109" s="2"/>
      <c r="MZT109" s="4"/>
      <c r="MZU109" s="2"/>
      <c r="MZV109" s="3"/>
      <c r="MZW109" s="2"/>
      <c r="MZX109" s="2"/>
      <c r="MZY109" s="5"/>
      <c r="MZZ109" s="2"/>
      <c r="NAA109" s="4"/>
      <c r="NAB109" s="2"/>
      <c r="NAC109" s="3"/>
      <c r="NAD109" s="2"/>
      <c r="NAE109" s="2"/>
      <c r="NAF109" s="5"/>
      <c r="NAG109" s="2"/>
      <c r="NAH109" s="4"/>
      <c r="NAI109" s="2"/>
      <c r="NAJ109" s="3"/>
      <c r="NAK109" s="2"/>
      <c r="NAL109" s="2"/>
      <c r="NAM109" s="5"/>
      <c r="NAN109" s="2"/>
      <c r="NAO109" s="4"/>
      <c r="NAP109" s="2"/>
      <c r="NAQ109" s="3"/>
      <c r="NAR109" s="2"/>
      <c r="NAS109" s="2"/>
      <c r="NAT109" s="5"/>
      <c r="NAU109" s="2"/>
      <c r="NAV109" s="4"/>
      <c r="NAW109" s="2"/>
      <c r="NAX109" s="3"/>
      <c r="NAY109" s="2"/>
      <c r="NAZ109" s="2"/>
      <c r="NBA109" s="5"/>
      <c r="NBB109" s="2"/>
      <c r="NBC109" s="4"/>
      <c r="NBD109" s="2"/>
      <c r="NBE109" s="3"/>
      <c r="NBF109" s="2"/>
      <c r="NBG109" s="2"/>
      <c r="NBH109" s="5"/>
      <c r="NBI109" s="2"/>
      <c r="NBJ109" s="4"/>
      <c r="NBK109" s="2"/>
      <c r="NBL109" s="3"/>
      <c r="NBM109" s="2"/>
      <c r="NBN109" s="2"/>
      <c r="NBO109" s="5"/>
      <c r="NBP109" s="2"/>
      <c r="NBQ109" s="4"/>
      <c r="NBR109" s="2"/>
      <c r="NBS109" s="3"/>
      <c r="NBT109" s="2"/>
      <c r="NBU109" s="2"/>
      <c r="NBV109" s="5"/>
      <c r="NBW109" s="2"/>
      <c r="NBX109" s="4"/>
      <c r="NBY109" s="2"/>
      <c r="NBZ109" s="3"/>
      <c r="NCA109" s="2"/>
      <c r="NCB109" s="2"/>
      <c r="NCC109" s="5"/>
      <c r="NCD109" s="2"/>
      <c r="NCE109" s="4"/>
      <c r="NCF109" s="2"/>
      <c r="NCG109" s="3"/>
      <c r="NCH109" s="2"/>
      <c r="NCI109" s="2"/>
      <c r="NCJ109" s="5"/>
      <c r="NCK109" s="2"/>
      <c r="NCL109" s="4"/>
      <c r="NCM109" s="2"/>
      <c r="NCN109" s="3"/>
      <c r="NCO109" s="2"/>
      <c r="NCP109" s="2"/>
      <c r="NCQ109" s="5"/>
      <c r="NCR109" s="2"/>
      <c r="NCS109" s="4"/>
      <c r="NCT109" s="2"/>
      <c r="NCU109" s="3"/>
      <c r="NCV109" s="2"/>
      <c r="NCW109" s="2"/>
      <c r="NCX109" s="5"/>
      <c r="NCY109" s="2"/>
      <c r="NCZ109" s="4"/>
      <c r="NDA109" s="2"/>
      <c r="NDB109" s="3"/>
      <c r="NDC109" s="2"/>
      <c r="NDD109" s="2"/>
      <c r="NDE109" s="5"/>
      <c r="NDF109" s="2"/>
      <c r="NDG109" s="4"/>
      <c r="NDH109" s="2"/>
      <c r="NDI109" s="3"/>
      <c r="NDJ109" s="2"/>
      <c r="NDK109" s="2"/>
      <c r="NDL109" s="5"/>
      <c r="NDM109" s="2"/>
      <c r="NDN109" s="4"/>
      <c r="NDO109" s="2"/>
      <c r="NDP109" s="3"/>
      <c r="NDQ109" s="2"/>
      <c r="NDR109" s="2"/>
      <c r="NDS109" s="5"/>
      <c r="NDT109" s="2"/>
      <c r="NDU109" s="4"/>
      <c r="NDV109" s="2"/>
      <c r="NDW109" s="3"/>
      <c r="NDX109" s="2"/>
      <c r="NDY109" s="2"/>
      <c r="NDZ109" s="5"/>
      <c r="NEA109" s="2"/>
      <c r="NEB109" s="4"/>
      <c r="NEC109" s="2"/>
      <c r="NED109" s="3"/>
      <c r="NEE109" s="2"/>
      <c r="NEF109" s="2"/>
      <c r="NEG109" s="5"/>
      <c r="NEH109" s="2"/>
      <c r="NEI109" s="4"/>
      <c r="NEJ109" s="2"/>
      <c r="NEK109" s="3"/>
      <c r="NEL109" s="2"/>
      <c r="NEM109" s="2"/>
      <c r="NEN109" s="5"/>
      <c r="NEO109" s="2"/>
      <c r="NEP109" s="4"/>
      <c r="NEQ109" s="2"/>
      <c r="NER109" s="3"/>
      <c r="NES109" s="2"/>
      <c r="NET109" s="2"/>
      <c r="NEU109" s="5"/>
      <c r="NEV109" s="2"/>
      <c r="NEW109" s="4"/>
      <c r="NEX109" s="2"/>
      <c r="NEY109" s="3"/>
      <c r="NEZ109" s="2"/>
      <c r="NFA109" s="2"/>
      <c r="NFB109" s="5"/>
      <c r="NFC109" s="2"/>
      <c r="NFD109" s="4"/>
      <c r="NFE109" s="2"/>
      <c r="NFF109" s="3"/>
      <c r="NFG109" s="2"/>
      <c r="NFH109" s="2"/>
      <c r="NFI109" s="5"/>
      <c r="NFJ109" s="2"/>
      <c r="NFK109" s="4"/>
      <c r="NFL109" s="2"/>
      <c r="NFM109" s="3"/>
      <c r="NFN109" s="2"/>
      <c r="NFO109" s="2"/>
      <c r="NFP109" s="5"/>
      <c r="NFQ109" s="2"/>
      <c r="NFR109" s="4"/>
      <c r="NFS109" s="2"/>
      <c r="NFT109" s="3"/>
      <c r="NFU109" s="2"/>
      <c r="NFV109" s="2"/>
      <c r="NFW109" s="5"/>
      <c r="NFX109" s="2"/>
      <c r="NFY109" s="4"/>
      <c r="NFZ109" s="2"/>
      <c r="NGA109" s="3"/>
      <c r="NGB109" s="2"/>
      <c r="NGC109" s="2"/>
      <c r="NGD109" s="5"/>
      <c r="NGE109" s="2"/>
      <c r="NGF109" s="4"/>
      <c r="NGG109" s="2"/>
      <c r="NGH109" s="3"/>
      <c r="NGI109" s="2"/>
      <c r="NGJ109" s="2"/>
      <c r="NGK109" s="5"/>
      <c r="NGL109" s="2"/>
      <c r="NGM109" s="4"/>
      <c r="NGN109" s="2"/>
      <c r="NGO109" s="3"/>
      <c r="NGP109" s="2"/>
      <c r="NGQ109" s="2"/>
      <c r="NGR109" s="5"/>
      <c r="NGS109" s="2"/>
      <c r="NGT109" s="4"/>
      <c r="NGU109" s="2"/>
      <c r="NGV109" s="3"/>
      <c r="NGW109" s="2"/>
      <c r="NGX109" s="2"/>
      <c r="NGY109" s="5"/>
      <c r="NGZ109" s="2"/>
      <c r="NHA109" s="4"/>
      <c r="NHB109" s="2"/>
      <c r="NHC109" s="3"/>
      <c r="NHD109" s="2"/>
      <c r="NHE109" s="2"/>
      <c r="NHF109" s="5"/>
      <c r="NHG109" s="2"/>
      <c r="NHH109" s="4"/>
      <c r="NHI109" s="2"/>
      <c r="NHJ109" s="3"/>
      <c r="NHK109" s="2"/>
      <c r="NHL109" s="2"/>
      <c r="NHM109" s="5"/>
      <c r="NHN109" s="2"/>
      <c r="NHO109" s="4"/>
      <c r="NHP109" s="2"/>
      <c r="NHQ109" s="3"/>
      <c r="NHR109" s="2"/>
      <c r="NHS109" s="2"/>
      <c r="NHT109" s="5"/>
      <c r="NHU109" s="2"/>
      <c r="NHV109" s="4"/>
      <c r="NHW109" s="2"/>
      <c r="NHX109" s="3"/>
      <c r="NHY109" s="2"/>
      <c r="NHZ109" s="2"/>
      <c r="NIA109" s="5"/>
      <c r="NIB109" s="2"/>
      <c r="NIC109" s="4"/>
      <c r="NID109" s="2"/>
      <c r="NIE109" s="3"/>
      <c r="NIF109" s="2"/>
      <c r="NIG109" s="2"/>
      <c r="NIH109" s="5"/>
      <c r="NII109" s="2"/>
      <c r="NIJ109" s="4"/>
      <c r="NIK109" s="2"/>
      <c r="NIL109" s="3"/>
      <c r="NIM109" s="2"/>
      <c r="NIN109" s="2"/>
      <c r="NIO109" s="5"/>
      <c r="NIP109" s="2"/>
      <c r="NIQ109" s="4"/>
      <c r="NIR109" s="2"/>
      <c r="NIS109" s="3"/>
      <c r="NIT109" s="2"/>
      <c r="NIU109" s="2"/>
      <c r="NIV109" s="5"/>
      <c r="NIW109" s="2"/>
      <c r="NIX109" s="4"/>
      <c r="NIY109" s="2"/>
      <c r="NIZ109" s="3"/>
      <c r="NJA109" s="2"/>
      <c r="NJB109" s="2"/>
      <c r="NJC109" s="5"/>
      <c r="NJD109" s="2"/>
      <c r="NJE109" s="4"/>
      <c r="NJF109" s="2"/>
      <c r="NJG109" s="3"/>
      <c r="NJH109" s="2"/>
      <c r="NJI109" s="2"/>
      <c r="NJJ109" s="5"/>
      <c r="NJK109" s="2"/>
      <c r="NJL109" s="4"/>
      <c r="NJM109" s="2"/>
      <c r="NJN109" s="3"/>
      <c r="NJO109" s="2"/>
      <c r="NJP109" s="2"/>
      <c r="NJQ109" s="5"/>
      <c r="NJR109" s="2"/>
      <c r="NJS109" s="4"/>
      <c r="NJT109" s="2"/>
      <c r="NJU109" s="3"/>
      <c r="NJV109" s="2"/>
      <c r="NJW109" s="2"/>
      <c r="NJX109" s="5"/>
      <c r="NJY109" s="2"/>
      <c r="NJZ109" s="4"/>
      <c r="NKA109" s="2"/>
      <c r="NKB109" s="3"/>
      <c r="NKC109" s="2"/>
      <c r="NKD109" s="2"/>
      <c r="NKE109" s="5"/>
      <c r="NKF109" s="2"/>
      <c r="NKG109" s="4"/>
      <c r="NKH109" s="2"/>
      <c r="NKI109" s="3"/>
      <c r="NKJ109" s="2"/>
      <c r="NKK109" s="2"/>
      <c r="NKL109" s="5"/>
      <c r="NKM109" s="2"/>
      <c r="NKN109" s="4"/>
      <c r="NKO109" s="2"/>
      <c r="NKP109" s="3"/>
      <c r="NKQ109" s="2"/>
      <c r="NKR109" s="2"/>
      <c r="NKS109" s="5"/>
      <c r="NKT109" s="2"/>
      <c r="NKU109" s="4"/>
      <c r="NKV109" s="2"/>
      <c r="NKW109" s="3"/>
      <c r="NKX109" s="2"/>
      <c r="NKY109" s="2"/>
      <c r="NKZ109" s="5"/>
      <c r="NLA109" s="2"/>
      <c r="NLB109" s="4"/>
      <c r="NLC109" s="2"/>
      <c r="NLD109" s="3"/>
      <c r="NLE109" s="2"/>
      <c r="NLF109" s="2"/>
      <c r="NLG109" s="5"/>
      <c r="NLH109" s="2"/>
      <c r="NLI109" s="4"/>
      <c r="NLJ109" s="2"/>
      <c r="NLK109" s="3"/>
      <c r="NLL109" s="2"/>
      <c r="NLM109" s="2"/>
      <c r="NLN109" s="5"/>
      <c r="NLO109" s="2"/>
      <c r="NLP109" s="4"/>
      <c r="NLQ109" s="2"/>
      <c r="NLR109" s="3"/>
      <c r="NLS109" s="2"/>
      <c r="NLT109" s="2"/>
      <c r="NLU109" s="5"/>
      <c r="NLV109" s="2"/>
      <c r="NLW109" s="4"/>
      <c r="NLX109" s="2"/>
      <c r="NLY109" s="3"/>
      <c r="NLZ109" s="2"/>
      <c r="NMA109" s="2"/>
      <c r="NMB109" s="5"/>
      <c r="NMC109" s="2"/>
      <c r="NMD109" s="4"/>
      <c r="NME109" s="2"/>
      <c r="NMF109" s="3"/>
      <c r="NMG109" s="2"/>
      <c r="NMH109" s="2"/>
      <c r="NMI109" s="5"/>
      <c r="NMJ109" s="2"/>
      <c r="NMK109" s="4"/>
      <c r="NML109" s="2"/>
      <c r="NMM109" s="3"/>
      <c r="NMN109" s="2"/>
      <c r="NMO109" s="2"/>
      <c r="NMP109" s="5"/>
      <c r="NMQ109" s="2"/>
      <c r="NMR109" s="4"/>
      <c r="NMS109" s="2"/>
      <c r="NMT109" s="3"/>
      <c r="NMU109" s="2"/>
      <c r="NMV109" s="2"/>
      <c r="NMW109" s="5"/>
      <c r="NMX109" s="2"/>
      <c r="NMY109" s="4"/>
      <c r="NMZ109" s="2"/>
      <c r="NNA109" s="3"/>
      <c r="NNB109" s="2"/>
      <c r="NNC109" s="2"/>
      <c r="NND109" s="5"/>
      <c r="NNE109" s="2"/>
      <c r="NNF109" s="4"/>
      <c r="NNG109" s="2"/>
      <c r="NNH109" s="3"/>
      <c r="NNI109" s="2"/>
      <c r="NNJ109" s="2"/>
      <c r="NNK109" s="5"/>
      <c r="NNL109" s="2"/>
      <c r="NNM109" s="4"/>
      <c r="NNN109" s="2"/>
      <c r="NNO109" s="3"/>
      <c r="NNP109" s="2"/>
      <c r="NNQ109" s="2"/>
      <c r="NNR109" s="5"/>
      <c r="NNS109" s="2"/>
      <c r="NNT109" s="4"/>
      <c r="NNU109" s="2"/>
      <c r="NNV109" s="3"/>
      <c r="NNW109" s="2"/>
      <c r="NNX109" s="2"/>
      <c r="NNY109" s="5"/>
      <c r="NNZ109" s="2"/>
      <c r="NOA109" s="4"/>
      <c r="NOB109" s="2"/>
      <c r="NOC109" s="3"/>
      <c r="NOD109" s="2"/>
      <c r="NOE109" s="2"/>
      <c r="NOF109" s="5"/>
      <c r="NOG109" s="2"/>
      <c r="NOH109" s="4"/>
      <c r="NOI109" s="2"/>
      <c r="NOJ109" s="3"/>
      <c r="NOK109" s="2"/>
      <c r="NOL109" s="2"/>
      <c r="NOM109" s="5"/>
      <c r="NON109" s="2"/>
      <c r="NOO109" s="4"/>
      <c r="NOP109" s="2"/>
      <c r="NOQ109" s="3"/>
      <c r="NOR109" s="2"/>
      <c r="NOS109" s="2"/>
      <c r="NOT109" s="5"/>
      <c r="NOU109" s="2"/>
      <c r="NOV109" s="4"/>
      <c r="NOW109" s="2"/>
      <c r="NOX109" s="3"/>
      <c r="NOY109" s="2"/>
      <c r="NOZ109" s="2"/>
      <c r="NPA109" s="5"/>
      <c r="NPB109" s="2"/>
      <c r="NPC109" s="4"/>
      <c r="NPD109" s="2"/>
      <c r="NPE109" s="3"/>
      <c r="NPF109" s="2"/>
      <c r="NPG109" s="2"/>
      <c r="NPH109" s="5"/>
      <c r="NPI109" s="2"/>
      <c r="NPJ109" s="4"/>
      <c r="NPK109" s="2"/>
      <c r="NPL109" s="3"/>
      <c r="NPM109" s="2"/>
      <c r="NPN109" s="2"/>
      <c r="NPO109" s="5"/>
      <c r="NPP109" s="2"/>
      <c r="NPQ109" s="4"/>
      <c r="NPR109" s="2"/>
      <c r="NPS109" s="3"/>
      <c r="NPT109" s="2"/>
      <c r="NPU109" s="2"/>
      <c r="NPV109" s="5"/>
      <c r="NPW109" s="2"/>
      <c r="NPX109" s="4"/>
      <c r="NPY109" s="2"/>
      <c r="NPZ109" s="3"/>
      <c r="NQA109" s="2"/>
      <c r="NQB109" s="2"/>
      <c r="NQC109" s="5"/>
      <c r="NQD109" s="2"/>
      <c r="NQE109" s="4"/>
      <c r="NQF109" s="2"/>
      <c r="NQG109" s="3"/>
      <c r="NQH109" s="2"/>
      <c r="NQI109" s="2"/>
      <c r="NQJ109" s="5"/>
      <c r="NQK109" s="2"/>
      <c r="NQL109" s="4"/>
      <c r="NQM109" s="2"/>
      <c r="NQN109" s="3"/>
      <c r="NQO109" s="2"/>
      <c r="NQP109" s="2"/>
      <c r="NQQ109" s="5"/>
      <c r="NQR109" s="2"/>
      <c r="NQS109" s="4"/>
      <c r="NQT109" s="2"/>
      <c r="NQU109" s="3"/>
      <c r="NQV109" s="2"/>
      <c r="NQW109" s="2"/>
      <c r="NQX109" s="5"/>
      <c r="NQY109" s="2"/>
      <c r="NQZ109" s="4"/>
      <c r="NRA109" s="2"/>
      <c r="NRB109" s="3"/>
      <c r="NRC109" s="2"/>
      <c r="NRD109" s="2"/>
      <c r="NRE109" s="5"/>
      <c r="NRF109" s="2"/>
      <c r="NRG109" s="4"/>
      <c r="NRH109" s="2"/>
      <c r="NRI109" s="3"/>
      <c r="NRJ109" s="2"/>
      <c r="NRK109" s="2"/>
      <c r="NRL109" s="5"/>
      <c r="NRM109" s="2"/>
      <c r="NRN109" s="4"/>
      <c r="NRO109" s="2"/>
      <c r="NRP109" s="3"/>
      <c r="NRQ109" s="2"/>
      <c r="NRR109" s="2"/>
      <c r="NRS109" s="5"/>
      <c r="NRT109" s="2"/>
      <c r="NRU109" s="4"/>
      <c r="NRV109" s="2"/>
      <c r="NRW109" s="3"/>
      <c r="NRX109" s="2"/>
      <c r="NRY109" s="2"/>
      <c r="NRZ109" s="5"/>
      <c r="NSA109" s="2"/>
      <c r="NSB109" s="4"/>
      <c r="NSC109" s="2"/>
      <c r="NSD109" s="3"/>
      <c r="NSE109" s="2"/>
      <c r="NSF109" s="2"/>
      <c r="NSG109" s="5"/>
      <c r="NSH109" s="2"/>
      <c r="NSI109" s="4"/>
      <c r="NSJ109" s="2"/>
      <c r="NSK109" s="3"/>
      <c r="NSL109" s="2"/>
      <c r="NSM109" s="2"/>
      <c r="NSN109" s="5"/>
      <c r="NSO109" s="2"/>
      <c r="NSP109" s="4"/>
      <c r="NSQ109" s="2"/>
      <c r="NSR109" s="3"/>
      <c r="NSS109" s="2"/>
      <c r="NST109" s="2"/>
      <c r="NSU109" s="5"/>
      <c r="NSV109" s="2"/>
      <c r="NSW109" s="4"/>
      <c r="NSX109" s="2"/>
      <c r="NSY109" s="3"/>
      <c r="NSZ109" s="2"/>
      <c r="NTA109" s="2"/>
      <c r="NTB109" s="5"/>
      <c r="NTC109" s="2"/>
      <c r="NTD109" s="4"/>
      <c r="NTE109" s="2"/>
      <c r="NTF109" s="3"/>
      <c r="NTG109" s="2"/>
      <c r="NTH109" s="2"/>
      <c r="NTI109" s="5"/>
      <c r="NTJ109" s="2"/>
      <c r="NTK109" s="4"/>
      <c r="NTL109" s="2"/>
      <c r="NTM109" s="3"/>
      <c r="NTN109" s="2"/>
      <c r="NTO109" s="2"/>
      <c r="NTP109" s="5"/>
      <c r="NTQ109" s="2"/>
      <c r="NTR109" s="4"/>
      <c r="NTS109" s="2"/>
      <c r="NTT109" s="3"/>
      <c r="NTU109" s="2"/>
      <c r="NTV109" s="2"/>
      <c r="NTW109" s="5"/>
      <c r="NTX109" s="2"/>
      <c r="NTY109" s="4"/>
      <c r="NTZ109" s="2"/>
      <c r="NUA109" s="3"/>
      <c r="NUB109" s="2"/>
      <c r="NUC109" s="2"/>
      <c r="NUD109" s="5"/>
      <c r="NUE109" s="2"/>
      <c r="NUF109" s="4"/>
      <c r="NUG109" s="2"/>
      <c r="NUH109" s="3"/>
      <c r="NUI109" s="2"/>
      <c r="NUJ109" s="2"/>
      <c r="NUK109" s="5"/>
      <c r="NUL109" s="2"/>
      <c r="NUM109" s="4"/>
      <c r="NUN109" s="2"/>
      <c r="NUO109" s="3"/>
      <c r="NUP109" s="2"/>
      <c r="NUQ109" s="2"/>
      <c r="NUR109" s="5"/>
      <c r="NUS109" s="2"/>
      <c r="NUT109" s="4"/>
      <c r="NUU109" s="2"/>
      <c r="NUV109" s="3"/>
      <c r="NUW109" s="2"/>
      <c r="NUX109" s="2"/>
      <c r="NUY109" s="5"/>
      <c r="NUZ109" s="2"/>
      <c r="NVA109" s="4"/>
      <c r="NVB109" s="2"/>
      <c r="NVC109" s="3"/>
      <c r="NVD109" s="2"/>
      <c r="NVE109" s="2"/>
      <c r="NVF109" s="5"/>
      <c r="NVG109" s="2"/>
      <c r="NVH109" s="4"/>
      <c r="NVI109" s="2"/>
      <c r="NVJ109" s="3"/>
      <c r="NVK109" s="2"/>
      <c r="NVL109" s="2"/>
      <c r="NVM109" s="5"/>
      <c r="NVN109" s="2"/>
      <c r="NVO109" s="4"/>
      <c r="NVP109" s="2"/>
      <c r="NVQ109" s="3"/>
      <c r="NVR109" s="2"/>
      <c r="NVS109" s="2"/>
      <c r="NVT109" s="5"/>
      <c r="NVU109" s="2"/>
      <c r="NVV109" s="4"/>
      <c r="NVW109" s="2"/>
      <c r="NVX109" s="3"/>
      <c r="NVY109" s="2"/>
      <c r="NVZ109" s="2"/>
      <c r="NWA109" s="5"/>
      <c r="NWB109" s="2"/>
      <c r="NWC109" s="4"/>
      <c r="NWD109" s="2"/>
      <c r="NWE109" s="3"/>
      <c r="NWF109" s="2"/>
      <c r="NWG109" s="2"/>
      <c r="NWH109" s="5"/>
      <c r="NWI109" s="2"/>
      <c r="NWJ109" s="4"/>
      <c r="NWK109" s="2"/>
      <c r="NWL109" s="3"/>
      <c r="NWM109" s="2"/>
      <c r="NWN109" s="2"/>
      <c r="NWO109" s="5"/>
      <c r="NWP109" s="2"/>
      <c r="NWQ109" s="4"/>
      <c r="NWR109" s="2"/>
      <c r="NWS109" s="3"/>
      <c r="NWT109" s="2"/>
      <c r="NWU109" s="2"/>
      <c r="NWV109" s="5"/>
      <c r="NWW109" s="2"/>
      <c r="NWX109" s="4"/>
      <c r="NWY109" s="2"/>
      <c r="NWZ109" s="3"/>
      <c r="NXA109" s="2"/>
      <c r="NXB109" s="2"/>
      <c r="NXC109" s="5"/>
      <c r="NXD109" s="2"/>
      <c r="NXE109" s="4"/>
      <c r="NXF109" s="2"/>
      <c r="NXG109" s="3"/>
      <c r="NXH109" s="2"/>
      <c r="NXI109" s="2"/>
      <c r="NXJ109" s="5"/>
      <c r="NXK109" s="2"/>
      <c r="NXL109" s="4"/>
      <c r="NXM109" s="2"/>
      <c r="NXN109" s="3"/>
      <c r="NXO109" s="2"/>
      <c r="NXP109" s="2"/>
      <c r="NXQ109" s="5"/>
      <c r="NXR109" s="2"/>
      <c r="NXS109" s="4"/>
      <c r="NXT109" s="2"/>
      <c r="NXU109" s="3"/>
      <c r="NXV109" s="2"/>
      <c r="NXW109" s="2"/>
      <c r="NXX109" s="5"/>
      <c r="NXY109" s="2"/>
      <c r="NXZ109" s="4"/>
      <c r="NYA109" s="2"/>
      <c r="NYB109" s="3"/>
      <c r="NYC109" s="2"/>
      <c r="NYD109" s="2"/>
      <c r="NYE109" s="5"/>
      <c r="NYF109" s="2"/>
      <c r="NYG109" s="4"/>
      <c r="NYH109" s="2"/>
      <c r="NYI109" s="3"/>
      <c r="NYJ109" s="2"/>
      <c r="NYK109" s="2"/>
      <c r="NYL109" s="5"/>
      <c r="NYM109" s="2"/>
      <c r="NYN109" s="4"/>
      <c r="NYO109" s="2"/>
      <c r="NYP109" s="3"/>
      <c r="NYQ109" s="2"/>
      <c r="NYR109" s="2"/>
      <c r="NYS109" s="5"/>
      <c r="NYT109" s="2"/>
      <c r="NYU109" s="4"/>
      <c r="NYV109" s="2"/>
      <c r="NYW109" s="3"/>
      <c r="NYX109" s="2"/>
      <c r="NYY109" s="2"/>
      <c r="NYZ109" s="5"/>
      <c r="NZA109" s="2"/>
      <c r="NZB109" s="4"/>
      <c r="NZC109" s="2"/>
      <c r="NZD109" s="3"/>
      <c r="NZE109" s="2"/>
      <c r="NZF109" s="2"/>
      <c r="NZG109" s="5"/>
      <c r="NZH109" s="2"/>
      <c r="NZI109" s="4"/>
      <c r="NZJ109" s="2"/>
      <c r="NZK109" s="3"/>
      <c r="NZL109" s="2"/>
      <c r="NZM109" s="2"/>
      <c r="NZN109" s="5"/>
      <c r="NZO109" s="2"/>
      <c r="NZP109" s="4"/>
      <c r="NZQ109" s="2"/>
      <c r="NZR109" s="3"/>
      <c r="NZS109" s="2"/>
      <c r="NZT109" s="2"/>
      <c r="NZU109" s="5"/>
      <c r="NZV109" s="2"/>
      <c r="NZW109" s="4"/>
      <c r="NZX109" s="2"/>
      <c r="NZY109" s="3"/>
      <c r="NZZ109" s="2"/>
      <c r="OAA109" s="2"/>
      <c r="OAB109" s="5"/>
      <c r="OAC109" s="2"/>
      <c r="OAD109" s="4"/>
      <c r="OAE109" s="2"/>
      <c r="OAF109" s="3"/>
      <c r="OAG109" s="2"/>
      <c r="OAH109" s="2"/>
      <c r="OAI109" s="5"/>
      <c r="OAJ109" s="2"/>
      <c r="OAK109" s="4"/>
      <c r="OAL109" s="2"/>
      <c r="OAM109" s="3"/>
      <c r="OAN109" s="2"/>
      <c r="OAO109" s="2"/>
      <c r="OAP109" s="5"/>
      <c r="OAQ109" s="2"/>
      <c r="OAR109" s="4"/>
      <c r="OAS109" s="2"/>
      <c r="OAT109" s="3"/>
      <c r="OAU109" s="2"/>
      <c r="OAV109" s="2"/>
      <c r="OAW109" s="5"/>
      <c r="OAX109" s="2"/>
      <c r="OAY109" s="4"/>
      <c r="OAZ109" s="2"/>
      <c r="OBA109" s="3"/>
      <c r="OBB109" s="2"/>
      <c r="OBC109" s="2"/>
      <c r="OBD109" s="5"/>
      <c r="OBE109" s="2"/>
      <c r="OBF109" s="4"/>
      <c r="OBG109" s="2"/>
      <c r="OBH109" s="3"/>
      <c r="OBI109" s="2"/>
      <c r="OBJ109" s="2"/>
      <c r="OBK109" s="5"/>
      <c r="OBL109" s="2"/>
      <c r="OBM109" s="4"/>
      <c r="OBN109" s="2"/>
      <c r="OBO109" s="3"/>
      <c r="OBP109" s="2"/>
      <c r="OBQ109" s="2"/>
      <c r="OBR109" s="5"/>
      <c r="OBS109" s="2"/>
      <c r="OBT109" s="4"/>
      <c r="OBU109" s="2"/>
      <c r="OBV109" s="3"/>
      <c r="OBW109" s="2"/>
      <c r="OBX109" s="2"/>
      <c r="OBY109" s="5"/>
      <c r="OBZ109" s="2"/>
      <c r="OCA109" s="4"/>
      <c r="OCB109" s="2"/>
      <c r="OCC109" s="3"/>
      <c r="OCD109" s="2"/>
      <c r="OCE109" s="2"/>
      <c r="OCF109" s="5"/>
      <c r="OCG109" s="2"/>
      <c r="OCH109" s="4"/>
      <c r="OCI109" s="2"/>
      <c r="OCJ109" s="3"/>
      <c r="OCK109" s="2"/>
      <c r="OCL109" s="2"/>
      <c r="OCM109" s="5"/>
      <c r="OCN109" s="2"/>
      <c r="OCO109" s="4"/>
      <c r="OCP109" s="2"/>
      <c r="OCQ109" s="3"/>
      <c r="OCR109" s="2"/>
      <c r="OCS109" s="2"/>
      <c r="OCT109" s="5"/>
      <c r="OCU109" s="2"/>
      <c r="OCV109" s="4"/>
      <c r="OCW109" s="2"/>
      <c r="OCX109" s="3"/>
      <c r="OCY109" s="2"/>
      <c r="OCZ109" s="2"/>
      <c r="ODA109" s="5"/>
      <c r="ODB109" s="2"/>
      <c r="ODC109" s="4"/>
      <c r="ODD109" s="2"/>
      <c r="ODE109" s="3"/>
      <c r="ODF109" s="2"/>
      <c r="ODG109" s="2"/>
      <c r="ODH109" s="5"/>
      <c r="ODI109" s="2"/>
      <c r="ODJ109" s="4"/>
      <c r="ODK109" s="2"/>
      <c r="ODL109" s="3"/>
      <c r="ODM109" s="2"/>
      <c r="ODN109" s="2"/>
      <c r="ODO109" s="5"/>
      <c r="ODP109" s="2"/>
      <c r="ODQ109" s="4"/>
      <c r="ODR109" s="2"/>
      <c r="ODS109" s="3"/>
      <c r="ODT109" s="2"/>
      <c r="ODU109" s="2"/>
      <c r="ODV109" s="5"/>
      <c r="ODW109" s="2"/>
      <c r="ODX109" s="4"/>
      <c r="ODY109" s="2"/>
      <c r="ODZ109" s="3"/>
      <c r="OEA109" s="2"/>
      <c r="OEB109" s="2"/>
      <c r="OEC109" s="5"/>
      <c r="OED109" s="2"/>
      <c r="OEE109" s="4"/>
      <c r="OEF109" s="2"/>
      <c r="OEG109" s="3"/>
      <c r="OEH109" s="2"/>
      <c r="OEI109" s="2"/>
      <c r="OEJ109" s="5"/>
      <c r="OEK109" s="2"/>
      <c r="OEL109" s="4"/>
      <c r="OEM109" s="2"/>
      <c r="OEN109" s="3"/>
      <c r="OEO109" s="2"/>
      <c r="OEP109" s="2"/>
      <c r="OEQ109" s="5"/>
      <c r="OER109" s="2"/>
      <c r="OES109" s="4"/>
      <c r="OET109" s="2"/>
      <c r="OEU109" s="3"/>
      <c r="OEV109" s="2"/>
      <c r="OEW109" s="2"/>
      <c r="OEX109" s="5"/>
      <c r="OEY109" s="2"/>
      <c r="OEZ109" s="4"/>
      <c r="OFA109" s="2"/>
      <c r="OFB109" s="3"/>
      <c r="OFC109" s="2"/>
      <c r="OFD109" s="2"/>
      <c r="OFE109" s="5"/>
      <c r="OFF109" s="2"/>
      <c r="OFG109" s="4"/>
      <c r="OFH109" s="2"/>
      <c r="OFI109" s="3"/>
      <c r="OFJ109" s="2"/>
      <c r="OFK109" s="2"/>
      <c r="OFL109" s="5"/>
      <c r="OFM109" s="2"/>
      <c r="OFN109" s="4"/>
      <c r="OFO109" s="2"/>
      <c r="OFP109" s="3"/>
      <c r="OFQ109" s="2"/>
      <c r="OFR109" s="2"/>
      <c r="OFS109" s="5"/>
      <c r="OFT109" s="2"/>
      <c r="OFU109" s="4"/>
      <c r="OFV109" s="2"/>
      <c r="OFW109" s="3"/>
      <c r="OFX109" s="2"/>
      <c r="OFY109" s="2"/>
      <c r="OFZ109" s="5"/>
      <c r="OGA109" s="2"/>
      <c r="OGB109" s="4"/>
      <c r="OGC109" s="2"/>
      <c r="OGD109" s="3"/>
      <c r="OGE109" s="2"/>
      <c r="OGF109" s="2"/>
      <c r="OGG109" s="5"/>
      <c r="OGH109" s="2"/>
      <c r="OGI109" s="4"/>
      <c r="OGJ109" s="2"/>
      <c r="OGK109" s="3"/>
      <c r="OGL109" s="2"/>
      <c r="OGM109" s="2"/>
      <c r="OGN109" s="5"/>
      <c r="OGO109" s="2"/>
      <c r="OGP109" s="4"/>
      <c r="OGQ109" s="2"/>
      <c r="OGR109" s="3"/>
      <c r="OGS109" s="2"/>
      <c r="OGT109" s="2"/>
      <c r="OGU109" s="5"/>
      <c r="OGV109" s="2"/>
      <c r="OGW109" s="4"/>
      <c r="OGX109" s="2"/>
      <c r="OGY109" s="3"/>
      <c r="OGZ109" s="2"/>
      <c r="OHA109" s="2"/>
      <c r="OHB109" s="5"/>
      <c r="OHC109" s="2"/>
      <c r="OHD109" s="4"/>
      <c r="OHE109" s="2"/>
      <c r="OHF109" s="3"/>
      <c r="OHG109" s="2"/>
      <c r="OHH109" s="2"/>
      <c r="OHI109" s="5"/>
      <c r="OHJ109" s="2"/>
      <c r="OHK109" s="4"/>
      <c r="OHL109" s="2"/>
      <c r="OHM109" s="3"/>
      <c r="OHN109" s="2"/>
      <c r="OHO109" s="2"/>
      <c r="OHP109" s="5"/>
      <c r="OHQ109" s="2"/>
      <c r="OHR109" s="4"/>
      <c r="OHS109" s="2"/>
      <c r="OHT109" s="3"/>
      <c r="OHU109" s="2"/>
      <c r="OHV109" s="2"/>
      <c r="OHW109" s="5"/>
      <c r="OHX109" s="2"/>
      <c r="OHY109" s="4"/>
      <c r="OHZ109" s="2"/>
      <c r="OIA109" s="3"/>
      <c r="OIB109" s="2"/>
      <c r="OIC109" s="2"/>
      <c r="OID109" s="5"/>
      <c r="OIE109" s="2"/>
      <c r="OIF109" s="4"/>
      <c r="OIG109" s="2"/>
      <c r="OIH109" s="3"/>
      <c r="OII109" s="2"/>
      <c r="OIJ109" s="2"/>
      <c r="OIK109" s="5"/>
      <c r="OIL109" s="2"/>
      <c r="OIM109" s="4"/>
      <c r="OIN109" s="2"/>
      <c r="OIO109" s="3"/>
      <c r="OIP109" s="2"/>
      <c r="OIQ109" s="2"/>
      <c r="OIR109" s="5"/>
      <c r="OIS109" s="2"/>
      <c r="OIT109" s="4"/>
      <c r="OIU109" s="2"/>
      <c r="OIV109" s="3"/>
      <c r="OIW109" s="2"/>
      <c r="OIX109" s="2"/>
      <c r="OIY109" s="5"/>
      <c r="OIZ109" s="2"/>
      <c r="OJA109" s="4"/>
      <c r="OJB109" s="2"/>
      <c r="OJC109" s="3"/>
      <c r="OJD109" s="2"/>
      <c r="OJE109" s="2"/>
      <c r="OJF109" s="5"/>
      <c r="OJG109" s="2"/>
      <c r="OJH109" s="4"/>
      <c r="OJI109" s="2"/>
      <c r="OJJ109" s="3"/>
      <c r="OJK109" s="2"/>
      <c r="OJL109" s="2"/>
      <c r="OJM109" s="5"/>
      <c r="OJN109" s="2"/>
      <c r="OJO109" s="4"/>
      <c r="OJP109" s="2"/>
      <c r="OJQ109" s="3"/>
      <c r="OJR109" s="2"/>
      <c r="OJS109" s="2"/>
      <c r="OJT109" s="5"/>
      <c r="OJU109" s="2"/>
      <c r="OJV109" s="4"/>
      <c r="OJW109" s="2"/>
      <c r="OJX109" s="3"/>
      <c r="OJY109" s="2"/>
      <c r="OJZ109" s="2"/>
      <c r="OKA109" s="5"/>
      <c r="OKB109" s="2"/>
      <c r="OKC109" s="4"/>
      <c r="OKD109" s="2"/>
      <c r="OKE109" s="3"/>
      <c r="OKF109" s="2"/>
      <c r="OKG109" s="2"/>
      <c r="OKH109" s="5"/>
      <c r="OKI109" s="2"/>
      <c r="OKJ109" s="4"/>
      <c r="OKK109" s="2"/>
      <c r="OKL109" s="3"/>
      <c r="OKM109" s="2"/>
      <c r="OKN109" s="2"/>
      <c r="OKO109" s="5"/>
      <c r="OKP109" s="2"/>
      <c r="OKQ109" s="4"/>
      <c r="OKR109" s="2"/>
      <c r="OKS109" s="3"/>
      <c r="OKT109" s="2"/>
      <c r="OKU109" s="2"/>
      <c r="OKV109" s="5"/>
      <c r="OKW109" s="2"/>
      <c r="OKX109" s="4"/>
      <c r="OKY109" s="2"/>
      <c r="OKZ109" s="3"/>
      <c r="OLA109" s="2"/>
      <c r="OLB109" s="2"/>
      <c r="OLC109" s="5"/>
      <c r="OLD109" s="2"/>
      <c r="OLE109" s="4"/>
      <c r="OLF109" s="2"/>
      <c r="OLG109" s="3"/>
      <c r="OLH109" s="2"/>
      <c r="OLI109" s="2"/>
      <c r="OLJ109" s="5"/>
      <c r="OLK109" s="2"/>
      <c r="OLL109" s="4"/>
      <c r="OLM109" s="2"/>
      <c r="OLN109" s="3"/>
      <c r="OLO109" s="2"/>
      <c r="OLP109" s="2"/>
      <c r="OLQ109" s="5"/>
      <c r="OLR109" s="2"/>
      <c r="OLS109" s="4"/>
      <c r="OLT109" s="2"/>
      <c r="OLU109" s="3"/>
      <c r="OLV109" s="2"/>
      <c r="OLW109" s="2"/>
      <c r="OLX109" s="5"/>
      <c r="OLY109" s="2"/>
      <c r="OLZ109" s="4"/>
      <c r="OMA109" s="2"/>
      <c r="OMB109" s="3"/>
      <c r="OMC109" s="2"/>
      <c r="OMD109" s="2"/>
      <c r="OME109" s="5"/>
      <c r="OMF109" s="2"/>
      <c r="OMG109" s="4"/>
      <c r="OMH109" s="2"/>
      <c r="OMI109" s="3"/>
      <c r="OMJ109" s="2"/>
      <c r="OMK109" s="2"/>
      <c r="OML109" s="5"/>
      <c r="OMM109" s="2"/>
      <c r="OMN109" s="4"/>
      <c r="OMO109" s="2"/>
      <c r="OMP109" s="3"/>
      <c r="OMQ109" s="2"/>
      <c r="OMR109" s="2"/>
      <c r="OMS109" s="5"/>
      <c r="OMT109" s="2"/>
      <c r="OMU109" s="4"/>
      <c r="OMV109" s="2"/>
      <c r="OMW109" s="3"/>
      <c r="OMX109" s="2"/>
      <c r="OMY109" s="2"/>
      <c r="OMZ109" s="5"/>
      <c r="ONA109" s="2"/>
      <c r="ONB109" s="4"/>
      <c r="ONC109" s="2"/>
      <c r="OND109" s="3"/>
      <c r="ONE109" s="2"/>
      <c r="ONF109" s="2"/>
      <c r="ONG109" s="5"/>
      <c r="ONH109" s="2"/>
      <c r="ONI109" s="4"/>
      <c r="ONJ109" s="2"/>
      <c r="ONK109" s="3"/>
      <c r="ONL109" s="2"/>
      <c r="ONM109" s="2"/>
      <c r="ONN109" s="5"/>
      <c r="ONO109" s="2"/>
      <c r="ONP109" s="4"/>
      <c r="ONQ109" s="2"/>
      <c r="ONR109" s="3"/>
      <c r="ONS109" s="2"/>
      <c r="ONT109" s="2"/>
      <c r="ONU109" s="5"/>
      <c r="ONV109" s="2"/>
      <c r="ONW109" s="4"/>
      <c r="ONX109" s="2"/>
      <c r="ONY109" s="3"/>
      <c r="ONZ109" s="2"/>
      <c r="OOA109" s="2"/>
      <c r="OOB109" s="5"/>
      <c r="OOC109" s="2"/>
      <c r="OOD109" s="4"/>
      <c r="OOE109" s="2"/>
      <c r="OOF109" s="3"/>
      <c r="OOG109" s="2"/>
      <c r="OOH109" s="2"/>
      <c r="OOI109" s="5"/>
      <c r="OOJ109" s="2"/>
      <c r="OOK109" s="4"/>
      <c r="OOL109" s="2"/>
      <c r="OOM109" s="3"/>
      <c r="OON109" s="2"/>
      <c r="OOO109" s="2"/>
      <c r="OOP109" s="5"/>
      <c r="OOQ109" s="2"/>
      <c r="OOR109" s="4"/>
      <c r="OOS109" s="2"/>
      <c r="OOT109" s="3"/>
      <c r="OOU109" s="2"/>
      <c r="OOV109" s="2"/>
      <c r="OOW109" s="5"/>
      <c r="OOX109" s="2"/>
      <c r="OOY109" s="4"/>
      <c r="OOZ109" s="2"/>
      <c r="OPA109" s="3"/>
      <c r="OPB109" s="2"/>
      <c r="OPC109" s="2"/>
      <c r="OPD109" s="5"/>
      <c r="OPE109" s="2"/>
      <c r="OPF109" s="4"/>
      <c r="OPG109" s="2"/>
      <c r="OPH109" s="3"/>
      <c r="OPI109" s="2"/>
      <c r="OPJ109" s="2"/>
      <c r="OPK109" s="5"/>
      <c r="OPL109" s="2"/>
      <c r="OPM109" s="4"/>
      <c r="OPN109" s="2"/>
      <c r="OPO109" s="3"/>
      <c r="OPP109" s="2"/>
      <c r="OPQ109" s="2"/>
      <c r="OPR109" s="5"/>
      <c r="OPS109" s="2"/>
      <c r="OPT109" s="4"/>
      <c r="OPU109" s="2"/>
      <c r="OPV109" s="3"/>
      <c r="OPW109" s="2"/>
      <c r="OPX109" s="2"/>
      <c r="OPY109" s="5"/>
      <c r="OPZ109" s="2"/>
      <c r="OQA109" s="4"/>
      <c r="OQB109" s="2"/>
      <c r="OQC109" s="3"/>
      <c r="OQD109" s="2"/>
      <c r="OQE109" s="2"/>
      <c r="OQF109" s="5"/>
      <c r="OQG109" s="2"/>
      <c r="OQH109" s="4"/>
      <c r="OQI109" s="2"/>
      <c r="OQJ109" s="3"/>
      <c r="OQK109" s="2"/>
      <c r="OQL109" s="2"/>
      <c r="OQM109" s="5"/>
      <c r="OQN109" s="2"/>
      <c r="OQO109" s="4"/>
      <c r="OQP109" s="2"/>
      <c r="OQQ109" s="3"/>
      <c r="OQR109" s="2"/>
      <c r="OQS109" s="2"/>
      <c r="OQT109" s="5"/>
      <c r="OQU109" s="2"/>
      <c r="OQV109" s="4"/>
      <c r="OQW109" s="2"/>
      <c r="OQX109" s="3"/>
      <c r="OQY109" s="2"/>
      <c r="OQZ109" s="2"/>
      <c r="ORA109" s="5"/>
      <c r="ORB109" s="2"/>
      <c r="ORC109" s="4"/>
      <c r="ORD109" s="2"/>
      <c r="ORE109" s="3"/>
      <c r="ORF109" s="2"/>
      <c r="ORG109" s="2"/>
      <c r="ORH109" s="5"/>
      <c r="ORI109" s="2"/>
      <c r="ORJ109" s="4"/>
      <c r="ORK109" s="2"/>
      <c r="ORL109" s="3"/>
      <c r="ORM109" s="2"/>
      <c r="ORN109" s="2"/>
      <c r="ORO109" s="5"/>
      <c r="ORP109" s="2"/>
      <c r="ORQ109" s="4"/>
      <c r="ORR109" s="2"/>
      <c r="ORS109" s="3"/>
      <c r="ORT109" s="2"/>
      <c r="ORU109" s="2"/>
      <c r="ORV109" s="5"/>
      <c r="ORW109" s="2"/>
      <c r="ORX109" s="4"/>
      <c r="ORY109" s="2"/>
      <c r="ORZ109" s="3"/>
      <c r="OSA109" s="2"/>
      <c r="OSB109" s="2"/>
      <c r="OSC109" s="5"/>
      <c r="OSD109" s="2"/>
      <c r="OSE109" s="4"/>
      <c r="OSF109" s="2"/>
      <c r="OSG109" s="3"/>
      <c r="OSH109" s="2"/>
      <c r="OSI109" s="2"/>
      <c r="OSJ109" s="5"/>
      <c r="OSK109" s="2"/>
      <c r="OSL109" s="4"/>
      <c r="OSM109" s="2"/>
      <c r="OSN109" s="3"/>
      <c r="OSO109" s="2"/>
      <c r="OSP109" s="2"/>
      <c r="OSQ109" s="5"/>
      <c r="OSR109" s="2"/>
      <c r="OSS109" s="4"/>
      <c r="OST109" s="2"/>
      <c r="OSU109" s="3"/>
      <c r="OSV109" s="2"/>
      <c r="OSW109" s="2"/>
      <c r="OSX109" s="5"/>
      <c r="OSY109" s="2"/>
      <c r="OSZ109" s="4"/>
      <c r="OTA109" s="2"/>
      <c r="OTB109" s="3"/>
      <c r="OTC109" s="2"/>
      <c r="OTD109" s="2"/>
      <c r="OTE109" s="5"/>
      <c r="OTF109" s="2"/>
      <c r="OTG109" s="4"/>
      <c r="OTH109" s="2"/>
      <c r="OTI109" s="3"/>
      <c r="OTJ109" s="2"/>
      <c r="OTK109" s="2"/>
      <c r="OTL109" s="5"/>
      <c r="OTM109" s="2"/>
      <c r="OTN109" s="4"/>
      <c r="OTO109" s="2"/>
      <c r="OTP109" s="3"/>
      <c r="OTQ109" s="2"/>
      <c r="OTR109" s="2"/>
      <c r="OTS109" s="5"/>
      <c r="OTT109" s="2"/>
      <c r="OTU109" s="4"/>
      <c r="OTV109" s="2"/>
      <c r="OTW109" s="3"/>
      <c r="OTX109" s="2"/>
      <c r="OTY109" s="2"/>
      <c r="OTZ109" s="5"/>
      <c r="OUA109" s="2"/>
      <c r="OUB109" s="4"/>
      <c r="OUC109" s="2"/>
      <c r="OUD109" s="3"/>
      <c r="OUE109" s="2"/>
      <c r="OUF109" s="2"/>
      <c r="OUG109" s="5"/>
      <c r="OUH109" s="2"/>
      <c r="OUI109" s="4"/>
      <c r="OUJ109" s="2"/>
      <c r="OUK109" s="3"/>
      <c r="OUL109" s="2"/>
      <c r="OUM109" s="2"/>
      <c r="OUN109" s="5"/>
      <c r="OUO109" s="2"/>
      <c r="OUP109" s="4"/>
      <c r="OUQ109" s="2"/>
      <c r="OUR109" s="3"/>
      <c r="OUS109" s="2"/>
      <c r="OUT109" s="2"/>
      <c r="OUU109" s="5"/>
      <c r="OUV109" s="2"/>
      <c r="OUW109" s="4"/>
      <c r="OUX109" s="2"/>
      <c r="OUY109" s="3"/>
      <c r="OUZ109" s="2"/>
      <c r="OVA109" s="2"/>
      <c r="OVB109" s="5"/>
      <c r="OVC109" s="2"/>
      <c r="OVD109" s="4"/>
      <c r="OVE109" s="2"/>
      <c r="OVF109" s="3"/>
      <c r="OVG109" s="2"/>
      <c r="OVH109" s="2"/>
      <c r="OVI109" s="5"/>
      <c r="OVJ109" s="2"/>
      <c r="OVK109" s="4"/>
      <c r="OVL109" s="2"/>
      <c r="OVM109" s="3"/>
      <c r="OVN109" s="2"/>
      <c r="OVO109" s="2"/>
      <c r="OVP109" s="5"/>
      <c r="OVQ109" s="2"/>
      <c r="OVR109" s="4"/>
      <c r="OVS109" s="2"/>
      <c r="OVT109" s="3"/>
      <c r="OVU109" s="2"/>
      <c r="OVV109" s="2"/>
      <c r="OVW109" s="5"/>
      <c r="OVX109" s="2"/>
      <c r="OVY109" s="4"/>
      <c r="OVZ109" s="2"/>
      <c r="OWA109" s="3"/>
      <c r="OWB109" s="2"/>
      <c r="OWC109" s="2"/>
      <c r="OWD109" s="5"/>
      <c r="OWE109" s="2"/>
      <c r="OWF109" s="4"/>
      <c r="OWG109" s="2"/>
      <c r="OWH109" s="3"/>
      <c r="OWI109" s="2"/>
      <c r="OWJ109" s="2"/>
      <c r="OWK109" s="5"/>
      <c r="OWL109" s="2"/>
      <c r="OWM109" s="4"/>
      <c r="OWN109" s="2"/>
      <c r="OWO109" s="3"/>
      <c r="OWP109" s="2"/>
      <c r="OWQ109" s="2"/>
      <c r="OWR109" s="5"/>
      <c r="OWS109" s="2"/>
      <c r="OWT109" s="4"/>
      <c r="OWU109" s="2"/>
      <c r="OWV109" s="3"/>
      <c r="OWW109" s="2"/>
      <c r="OWX109" s="2"/>
      <c r="OWY109" s="5"/>
      <c r="OWZ109" s="2"/>
      <c r="OXA109" s="4"/>
      <c r="OXB109" s="2"/>
      <c r="OXC109" s="3"/>
      <c r="OXD109" s="2"/>
      <c r="OXE109" s="2"/>
      <c r="OXF109" s="5"/>
      <c r="OXG109" s="2"/>
      <c r="OXH109" s="4"/>
      <c r="OXI109" s="2"/>
      <c r="OXJ109" s="3"/>
      <c r="OXK109" s="2"/>
      <c r="OXL109" s="2"/>
      <c r="OXM109" s="5"/>
      <c r="OXN109" s="2"/>
      <c r="OXO109" s="4"/>
      <c r="OXP109" s="2"/>
      <c r="OXQ109" s="3"/>
      <c r="OXR109" s="2"/>
      <c r="OXS109" s="2"/>
      <c r="OXT109" s="5"/>
      <c r="OXU109" s="2"/>
      <c r="OXV109" s="4"/>
      <c r="OXW109" s="2"/>
      <c r="OXX109" s="3"/>
      <c r="OXY109" s="2"/>
      <c r="OXZ109" s="2"/>
      <c r="OYA109" s="5"/>
      <c r="OYB109" s="2"/>
      <c r="OYC109" s="4"/>
      <c r="OYD109" s="2"/>
      <c r="OYE109" s="3"/>
      <c r="OYF109" s="2"/>
      <c r="OYG109" s="2"/>
      <c r="OYH109" s="5"/>
      <c r="OYI109" s="2"/>
      <c r="OYJ109" s="4"/>
      <c r="OYK109" s="2"/>
      <c r="OYL109" s="3"/>
      <c r="OYM109" s="2"/>
      <c r="OYN109" s="2"/>
      <c r="OYO109" s="5"/>
      <c r="OYP109" s="2"/>
      <c r="OYQ109" s="4"/>
      <c r="OYR109" s="2"/>
      <c r="OYS109" s="3"/>
      <c r="OYT109" s="2"/>
      <c r="OYU109" s="2"/>
      <c r="OYV109" s="5"/>
      <c r="OYW109" s="2"/>
      <c r="OYX109" s="4"/>
      <c r="OYY109" s="2"/>
      <c r="OYZ109" s="3"/>
      <c r="OZA109" s="2"/>
      <c r="OZB109" s="2"/>
      <c r="OZC109" s="5"/>
      <c r="OZD109" s="2"/>
      <c r="OZE109" s="4"/>
      <c r="OZF109" s="2"/>
      <c r="OZG109" s="3"/>
      <c r="OZH109" s="2"/>
      <c r="OZI109" s="2"/>
      <c r="OZJ109" s="5"/>
      <c r="OZK109" s="2"/>
      <c r="OZL109" s="4"/>
      <c r="OZM109" s="2"/>
      <c r="OZN109" s="3"/>
      <c r="OZO109" s="2"/>
      <c r="OZP109" s="2"/>
      <c r="OZQ109" s="5"/>
      <c r="OZR109" s="2"/>
      <c r="OZS109" s="4"/>
      <c r="OZT109" s="2"/>
      <c r="OZU109" s="3"/>
      <c r="OZV109" s="2"/>
      <c r="OZW109" s="2"/>
      <c r="OZX109" s="5"/>
      <c r="OZY109" s="2"/>
      <c r="OZZ109" s="4"/>
      <c r="PAA109" s="2"/>
      <c r="PAB109" s="3"/>
      <c r="PAC109" s="2"/>
      <c r="PAD109" s="2"/>
      <c r="PAE109" s="5"/>
      <c r="PAF109" s="2"/>
      <c r="PAG109" s="4"/>
      <c r="PAH109" s="2"/>
      <c r="PAI109" s="3"/>
      <c r="PAJ109" s="2"/>
      <c r="PAK109" s="2"/>
      <c r="PAL109" s="5"/>
      <c r="PAM109" s="2"/>
      <c r="PAN109" s="4"/>
      <c r="PAO109" s="2"/>
      <c r="PAP109" s="3"/>
      <c r="PAQ109" s="2"/>
      <c r="PAR109" s="2"/>
      <c r="PAS109" s="5"/>
      <c r="PAT109" s="2"/>
      <c r="PAU109" s="4"/>
      <c r="PAV109" s="2"/>
      <c r="PAW109" s="3"/>
      <c r="PAX109" s="2"/>
      <c r="PAY109" s="2"/>
      <c r="PAZ109" s="5"/>
      <c r="PBA109" s="2"/>
      <c r="PBB109" s="4"/>
      <c r="PBC109" s="2"/>
      <c r="PBD109" s="3"/>
      <c r="PBE109" s="2"/>
      <c r="PBF109" s="2"/>
      <c r="PBG109" s="5"/>
      <c r="PBH109" s="2"/>
      <c r="PBI109" s="4"/>
      <c r="PBJ109" s="2"/>
      <c r="PBK109" s="3"/>
      <c r="PBL109" s="2"/>
      <c r="PBM109" s="2"/>
      <c r="PBN109" s="5"/>
      <c r="PBO109" s="2"/>
      <c r="PBP109" s="4"/>
      <c r="PBQ109" s="2"/>
      <c r="PBR109" s="3"/>
      <c r="PBS109" s="2"/>
      <c r="PBT109" s="2"/>
      <c r="PBU109" s="5"/>
      <c r="PBV109" s="2"/>
      <c r="PBW109" s="4"/>
      <c r="PBX109" s="2"/>
      <c r="PBY109" s="3"/>
      <c r="PBZ109" s="2"/>
      <c r="PCA109" s="2"/>
      <c r="PCB109" s="5"/>
      <c r="PCC109" s="2"/>
      <c r="PCD109" s="4"/>
      <c r="PCE109" s="2"/>
      <c r="PCF109" s="3"/>
      <c r="PCG109" s="2"/>
      <c r="PCH109" s="2"/>
      <c r="PCI109" s="5"/>
      <c r="PCJ109" s="2"/>
      <c r="PCK109" s="4"/>
      <c r="PCL109" s="2"/>
      <c r="PCM109" s="3"/>
      <c r="PCN109" s="2"/>
      <c r="PCO109" s="2"/>
      <c r="PCP109" s="5"/>
      <c r="PCQ109" s="2"/>
      <c r="PCR109" s="4"/>
      <c r="PCS109" s="2"/>
      <c r="PCT109" s="3"/>
      <c r="PCU109" s="2"/>
      <c r="PCV109" s="2"/>
      <c r="PCW109" s="5"/>
      <c r="PCX109" s="2"/>
      <c r="PCY109" s="4"/>
      <c r="PCZ109" s="2"/>
      <c r="PDA109" s="3"/>
      <c r="PDB109" s="2"/>
      <c r="PDC109" s="2"/>
      <c r="PDD109" s="5"/>
      <c r="PDE109" s="2"/>
      <c r="PDF109" s="4"/>
      <c r="PDG109" s="2"/>
      <c r="PDH109" s="3"/>
      <c r="PDI109" s="2"/>
      <c r="PDJ109" s="2"/>
      <c r="PDK109" s="5"/>
      <c r="PDL109" s="2"/>
      <c r="PDM109" s="4"/>
      <c r="PDN109" s="2"/>
      <c r="PDO109" s="3"/>
      <c r="PDP109" s="2"/>
      <c r="PDQ109" s="2"/>
      <c r="PDR109" s="5"/>
      <c r="PDS109" s="2"/>
      <c r="PDT109" s="4"/>
      <c r="PDU109" s="2"/>
      <c r="PDV109" s="3"/>
      <c r="PDW109" s="2"/>
      <c r="PDX109" s="2"/>
      <c r="PDY109" s="5"/>
      <c r="PDZ109" s="2"/>
      <c r="PEA109" s="4"/>
      <c r="PEB109" s="2"/>
      <c r="PEC109" s="3"/>
      <c r="PED109" s="2"/>
      <c r="PEE109" s="2"/>
      <c r="PEF109" s="5"/>
      <c r="PEG109" s="2"/>
      <c r="PEH109" s="4"/>
      <c r="PEI109" s="2"/>
      <c r="PEJ109" s="3"/>
      <c r="PEK109" s="2"/>
      <c r="PEL109" s="2"/>
      <c r="PEM109" s="5"/>
      <c r="PEN109" s="2"/>
      <c r="PEO109" s="4"/>
      <c r="PEP109" s="2"/>
      <c r="PEQ109" s="3"/>
      <c r="PER109" s="2"/>
      <c r="PES109" s="2"/>
      <c r="PET109" s="5"/>
      <c r="PEU109" s="2"/>
      <c r="PEV109" s="4"/>
      <c r="PEW109" s="2"/>
      <c r="PEX109" s="3"/>
      <c r="PEY109" s="2"/>
      <c r="PEZ109" s="2"/>
      <c r="PFA109" s="5"/>
      <c r="PFB109" s="2"/>
      <c r="PFC109" s="4"/>
      <c r="PFD109" s="2"/>
      <c r="PFE109" s="3"/>
      <c r="PFF109" s="2"/>
      <c r="PFG109" s="2"/>
      <c r="PFH109" s="5"/>
      <c r="PFI109" s="2"/>
      <c r="PFJ109" s="4"/>
      <c r="PFK109" s="2"/>
      <c r="PFL109" s="3"/>
      <c r="PFM109" s="2"/>
      <c r="PFN109" s="2"/>
      <c r="PFO109" s="5"/>
      <c r="PFP109" s="2"/>
      <c r="PFQ109" s="4"/>
      <c r="PFR109" s="2"/>
      <c r="PFS109" s="3"/>
      <c r="PFT109" s="2"/>
      <c r="PFU109" s="2"/>
      <c r="PFV109" s="5"/>
      <c r="PFW109" s="2"/>
      <c r="PFX109" s="4"/>
      <c r="PFY109" s="2"/>
      <c r="PFZ109" s="3"/>
      <c r="PGA109" s="2"/>
      <c r="PGB109" s="2"/>
      <c r="PGC109" s="5"/>
      <c r="PGD109" s="2"/>
      <c r="PGE109" s="4"/>
      <c r="PGF109" s="2"/>
      <c r="PGG109" s="3"/>
      <c r="PGH109" s="2"/>
      <c r="PGI109" s="2"/>
      <c r="PGJ109" s="5"/>
      <c r="PGK109" s="2"/>
      <c r="PGL109" s="4"/>
      <c r="PGM109" s="2"/>
      <c r="PGN109" s="3"/>
      <c r="PGO109" s="2"/>
      <c r="PGP109" s="2"/>
      <c r="PGQ109" s="5"/>
      <c r="PGR109" s="2"/>
      <c r="PGS109" s="4"/>
      <c r="PGT109" s="2"/>
      <c r="PGU109" s="3"/>
      <c r="PGV109" s="2"/>
      <c r="PGW109" s="2"/>
      <c r="PGX109" s="5"/>
      <c r="PGY109" s="2"/>
      <c r="PGZ109" s="4"/>
      <c r="PHA109" s="2"/>
      <c r="PHB109" s="3"/>
      <c r="PHC109" s="2"/>
      <c r="PHD109" s="2"/>
      <c r="PHE109" s="5"/>
      <c r="PHF109" s="2"/>
      <c r="PHG109" s="4"/>
      <c r="PHH109" s="2"/>
      <c r="PHI109" s="3"/>
      <c r="PHJ109" s="2"/>
      <c r="PHK109" s="2"/>
      <c r="PHL109" s="5"/>
      <c r="PHM109" s="2"/>
      <c r="PHN109" s="4"/>
      <c r="PHO109" s="2"/>
      <c r="PHP109" s="3"/>
      <c r="PHQ109" s="2"/>
      <c r="PHR109" s="2"/>
      <c r="PHS109" s="5"/>
      <c r="PHT109" s="2"/>
      <c r="PHU109" s="4"/>
      <c r="PHV109" s="2"/>
      <c r="PHW109" s="3"/>
      <c r="PHX109" s="2"/>
      <c r="PHY109" s="2"/>
      <c r="PHZ109" s="5"/>
      <c r="PIA109" s="2"/>
      <c r="PIB109" s="4"/>
      <c r="PIC109" s="2"/>
      <c r="PID109" s="3"/>
      <c r="PIE109" s="2"/>
      <c r="PIF109" s="2"/>
      <c r="PIG109" s="5"/>
      <c r="PIH109" s="2"/>
      <c r="PII109" s="4"/>
      <c r="PIJ109" s="2"/>
      <c r="PIK109" s="3"/>
      <c r="PIL109" s="2"/>
      <c r="PIM109" s="2"/>
      <c r="PIN109" s="5"/>
      <c r="PIO109" s="2"/>
      <c r="PIP109" s="4"/>
      <c r="PIQ109" s="2"/>
      <c r="PIR109" s="3"/>
      <c r="PIS109" s="2"/>
      <c r="PIT109" s="2"/>
      <c r="PIU109" s="5"/>
      <c r="PIV109" s="2"/>
      <c r="PIW109" s="4"/>
      <c r="PIX109" s="2"/>
      <c r="PIY109" s="3"/>
      <c r="PIZ109" s="2"/>
      <c r="PJA109" s="2"/>
      <c r="PJB109" s="5"/>
      <c r="PJC109" s="2"/>
      <c r="PJD109" s="4"/>
      <c r="PJE109" s="2"/>
      <c r="PJF109" s="3"/>
      <c r="PJG109" s="2"/>
      <c r="PJH109" s="2"/>
      <c r="PJI109" s="5"/>
      <c r="PJJ109" s="2"/>
      <c r="PJK109" s="4"/>
      <c r="PJL109" s="2"/>
      <c r="PJM109" s="3"/>
      <c r="PJN109" s="2"/>
      <c r="PJO109" s="2"/>
      <c r="PJP109" s="5"/>
      <c r="PJQ109" s="2"/>
      <c r="PJR109" s="4"/>
      <c r="PJS109" s="2"/>
      <c r="PJT109" s="3"/>
      <c r="PJU109" s="2"/>
      <c r="PJV109" s="2"/>
      <c r="PJW109" s="5"/>
      <c r="PJX109" s="2"/>
      <c r="PJY109" s="4"/>
      <c r="PJZ109" s="2"/>
      <c r="PKA109" s="3"/>
      <c r="PKB109" s="2"/>
      <c r="PKC109" s="2"/>
      <c r="PKD109" s="5"/>
      <c r="PKE109" s="2"/>
      <c r="PKF109" s="4"/>
      <c r="PKG109" s="2"/>
      <c r="PKH109" s="3"/>
      <c r="PKI109" s="2"/>
      <c r="PKJ109" s="2"/>
      <c r="PKK109" s="5"/>
      <c r="PKL109" s="2"/>
      <c r="PKM109" s="4"/>
      <c r="PKN109" s="2"/>
      <c r="PKO109" s="3"/>
      <c r="PKP109" s="2"/>
      <c r="PKQ109" s="2"/>
      <c r="PKR109" s="5"/>
      <c r="PKS109" s="2"/>
      <c r="PKT109" s="4"/>
      <c r="PKU109" s="2"/>
      <c r="PKV109" s="3"/>
      <c r="PKW109" s="2"/>
      <c r="PKX109" s="2"/>
      <c r="PKY109" s="5"/>
      <c r="PKZ109" s="2"/>
      <c r="PLA109" s="4"/>
      <c r="PLB109" s="2"/>
      <c r="PLC109" s="3"/>
      <c r="PLD109" s="2"/>
      <c r="PLE109" s="2"/>
      <c r="PLF109" s="5"/>
      <c r="PLG109" s="2"/>
      <c r="PLH109" s="4"/>
      <c r="PLI109" s="2"/>
      <c r="PLJ109" s="3"/>
      <c r="PLK109" s="2"/>
      <c r="PLL109" s="2"/>
      <c r="PLM109" s="5"/>
      <c r="PLN109" s="2"/>
      <c r="PLO109" s="4"/>
      <c r="PLP109" s="2"/>
      <c r="PLQ109" s="3"/>
      <c r="PLR109" s="2"/>
      <c r="PLS109" s="2"/>
      <c r="PLT109" s="5"/>
      <c r="PLU109" s="2"/>
      <c r="PLV109" s="4"/>
      <c r="PLW109" s="2"/>
      <c r="PLX109" s="3"/>
      <c r="PLY109" s="2"/>
      <c r="PLZ109" s="2"/>
      <c r="PMA109" s="5"/>
      <c r="PMB109" s="2"/>
      <c r="PMC109" s="4"/>
      <c r="PMD109" s="2"/>
      <c r="PME109" s="3"/>
      <c r="PMF109" s="2"/>
      <c r="PMG109" s="2"/>
      <c r="PMH109" s="5"/>
      <c r="PMI109" s="2"/>
      <c r="PMJ109" s="4"/>
      <c r="PMK109" s="2"/>
      <c r="PML109" s="3"/>
      <c r="PMM109" s="2"/>
      <c r="PMN109" s="2"/>
      <c r="PMO109" s="5"/>
      <c r="PMP109" s="2"/>
      <c r="PMQ109" s="4"/>
      <c r="PMR109" s="2"/>
      <c r="PMS109" s="3"/>
      <c r="PMT109" s="2"/>
      <c r="PMU109" s="2"/>
      <c r="PMV109" s="5"/>
      <c r="PMW109" s="2"/>
      <c r="PMX109" s="4"/>
      <c r="PMY109" s="2"/>
      <c r="PMZ109" s="3"/>
      <c r="PNA109" s="2"/>
      <c r="PNB109" s="2"/>
      <c r="PNC109" s="5"/>
      <c r="PND109" s="2"/>
      <c r="PNE109" s="4"/>
      <c r="PNF109" s="2"/>
      <c r="PNG109" s="3"/>
      <c r="PNH109" s="2"/>
      <c r="PNI109" s="2"/>
      <c r="PNJ109" s="5"/>
      <c r="PNK109" s="2"/>
      <c r="PNL109" s="4"/>
      <c r="PNM109" s="2"/>
      <c r="PNN109" s="3"/>
      <c r="PNO109" s="2"/>
      <c r="PNP109" s="2"/>
      <c r="PNQ109" s="5"/>
      <c r="PNR109" s="2"/>
      <c r="PNS109" s="4"/>
      <c r="PNT109" s="2"/>
      <c r="PNU109" s="3"/>
      <c r="PNV109" s="2"/>
      <c r="PNW109" s="2"/>
      <c r="PNX109" s="5"/>
      <c r="PNY109" s="2"/>
      <c r="PNZ109" s="4"/>
      <c r="POA109" s="2"/>
      <c r="POB109" s="3"/>
      <c r="POC109" s="2"/>
      <c r="POD109" s="2"/>
      <c r="POE109" s="5"/>
      <c r="POF109" s="2"/>
      <c r="POG109" s="4"/>
      <c r="POH109" s="2"/>
      <c r="POI109" s="3"/>
      <c r="POJ109" s="2"/>
      <c r="POK109" s="2"/>
      <c r="POL109" s="5"/>
      <c r="POM109" s="2"/>
      <c r="PON109" s="4"/>
      <c r="POO109" s="2"/>
      <c r="POP109" s="3"/>
      <c r="POQ109" s="2"/>
      <c r="POR109" s="2"/>
      <c r="POS109" s="5"/>
      <c r="POT109" s="2"/>
      <c r="POU109" s="4"/>
      <c r="POV109" s="2"/>
      <c r="POW109" s="3"/>
      <c r="POX109" s="2"/>
      <c r="POY109" s="2"/>
      <c r="POZ109" s="5"/>
      <c r="PPA109" s="2"/>
      <c r="PPB109" s="4"/>
      <c r="PPC109" s="2"/>
      <c r="PPD109" s="3"/>
      <c r="PPE109" s="2"/>
      <c r="PPF109" s="2"/>
      <c r="PPG109" s="5"/>
      <c r="PPH109" s="2"/>
      <c r="PPI109" s="4"/>
      <c r="PPJ109" s="2"/>
      <c r="PPK109" s="3"/>
      <c r="PPL109" s="2"/>
      <c r="PPM109" s="2"/>
      <c r="PPN109" s="5"/>
      <c r="PPO109" s="2"/>
      <c r="PPP109" s="4"/>
      <c r="PPQ109" s="2"/>
      <c r="PPR109" s="3"/>
      <c r="PPS109" s="2"/>
      <c r="PPT109" s="2"/>
      <c r="PPU109" s="5"/>
      <c r="PPV109" s="2"/>
      <c r="PPW109" s="4"/>
      <c r="PPX109" s="2"/>
      <c r="PPY109" s="3"/>
      <c r="PPZ109" s="2"/>
      <c r="PQA109" s="2"/>
      <c r="PQB109" s="5"/>
      <c r="PQC109" s="2"/>
      <c r="PQD109" s="4"/>
      <c r="PQE109" s="2"/>
      <c r="PQF109" s="3"/>
      <c r="PQG109" s="2"/>
      <c r="PQH109" s="2"/>
      <c r="PQI109" s="5"/>
      <c r="PQJ109" s="2"/>
      <c r="PQK109" s="4"/>
      <c r="PQL109" s="2"/>
      <c r="PQM109" s="3"/>
      <c r="PQN109" s="2"/>
      <c r="PQO109" s="2"/>
      <c r="PQP109" s="5"/>
      <c r="PQQ109" s="2"/>
      <c r="PQR109" s="4"/>
      <c r="PQS109" s="2"/>
      <c r="PQT109" s="3"/>
      <c r="PQU109" s="2"/>
      <c r="PQV109" s="2"/>
      <c r="PQW109" s="5"/>
      <c r="PQX109" s="2"/>
      <c r="PQY109" s="4"/>
      <c r="PQZ109" s="2"/>
      <c r="PRA109" s="3"/>
      <c r="PRB109" s="2"/>
      <c r="PRC109" s="2"/>
      <c r="PRD109" s="5"/>
      <c r="PRE109" s="2"/>
      <c r="PRF109" s="4"/>
      <c r="PRG109" s="2"/>
      <c r="PRH109" s="3"/>
      <c r="PRI109" s="2"/>
      <c r="PRJ109" s="2"/>
      <c r="PRK109" s="5"/>
      <c r="PRL109" s="2"/>
      <c r="PRM109" s="4"/>
      <c r="PRN109" s="2"/>
      <c r="PRO109" s="3"/>
      <c r="PRP109" s="2"/>
      <c r="PRQ109" s="2"/>
      <c r="PRR109" s="5"/>
      <c r="PRS109" s="2"/>
      <c r="PRT109" s="4"/>
      <c r="PRU109" s="2"/>
      <c r="PRV109" s="3"/>
      <c r="PRW109" s="2"/>
      <c r="PRX109" s="2"/>
      <c r="PRY109" s="5"/>
      <c r="PRZ109" s="2"/>
      <c r="PSA109" s="4"/>
      <c r="PSB109" s="2"/>
      <c r="PSC109" s="3"/>
      <c r="PSD109" s="2"/>
      <c r="PSE109" s="2"/>
      <c r="PSF109" s="5"/>
      <c r="PSG109" s="2"/>
      <c r="PSH109" s="4"/>
      <c r="PSI109" s="2"/>
      <c r="PSJ109" s="3"/>
      <c r="PSK109" s="2"/>
      <c r="PSL109" s="2"/>
      <c r="PSM109" s="5"/>
      <c r="PSN109" s="2"/>
      <c r="PSO109" s="4"/>
      <c r="PSP109" s="2"/>
      <c r="PSQ109" s="3"/>
      <c r="PSR109" s="2"/>
      <c r="PSS109" s="2"/>
      <c r="PST109" s="5"/>
      <c r="PSU109" s="2"/>
      <c r="PSV109" s="4"/>
      <c r="PSW109" s="2"/>
      <c r="PSX109" s="3"/>
      <c r="PSY109" s="2"/>
      <c r="PSZ109" s="2"/>
      <c r="PTA109" s="5"/>
      <c r="PTB109" s="2"/>
      <c r="PTC109" s="4"/>
      <c r="PTD109" s="2"/>
      <c r="PTE109" s="3"/>
      <c r="PTF109" s="2"/>
      <c r="PTG109" s="2"/>
      <c r="PTH109" s="5"/>
      <c r="PTI109" s="2"/>
      <c r="PTJ109" s="4"/>
      <c r="PTK109" s="2"/>
      <c r="PTL109" s="3"/>
      <c r="PTM109" s="2"/>
      <c r="PTN109" s="2"/>
      <c r="PTO109" s="5"/>
      <c r="PTP109" s="2"/>
      <c r="PTQ109" s="4"/>
      <c r="PTR109" s="2"/>
      <c r="PTS109" s="3"/>
      <c r="PTT109" s="2"/>
      <c r="PTU109" s="2"/>
      <c r="PTV109" s="5"/>
      <c r="PTW109" s="2"/>
      <c r="PTX109" s="4"/>
      <c r="PTY109" s="2"/>
      <c r="PTZ109" s="3"/>
      <c r="PUA109" s="2"/>
      <c r="PUB109" s="2"/>
      <c r="PUC109" s="5"/>
      <c r="PUD109" s="2"/>
      <c r="PUE109" s="4"/>
      <c r="PUF109" s="2"/>
      <c r="PUG109" s="3"/>
      <c r="PUH109" s="2"/>
      <c r="PUI109" s="2"/>
      <c r="PUJ109" s="5"/>
      <c r="PUK109" s="2"/>
      <c r="PUL109" s="4"/>
      <c r="PUM109" s="2"/>
      <c r="PUN109" s="3"/>
      <c r="PUO109" s="2"/>
      <c r="PUP109" s="2"/>
      <c r="PUQ109" s="5"/>
      <c r="PUR109" s="2"/>
      <c r="PUS109" s="4"/>
      <c r="PUT109" s="2"/>
      <c r="PUU109" s="3"/>
      <c r="PUV109" s="2"/>
      <c r="PUW109" s="2"/>
      <c r="PUX109" s="5"/>
      <c r="PUY109" s="2"/>
      <c r="PUZ109" s="4"/>
      <c r="PVA109" s="2"/>
      <c r="PVB109" s="3"/>
      <c r="PVC109" s="2"/>
      <c r="PVD109" s="2"/>
      <c r="PVE109" s="5"/>
      <c r="PVF109" s="2"/>
      <c r="PVG109" s="4"/>
      <c r="PVH109" s="2"/>
      <c r="PVI109" s="3"/>
      <c r="PVJ109" s="2"/>
      <c r="PVK109" s="2"/>
      <c r="PVL109" s="5"/>
      <c r="PVM109" s="2"/>
      <c r="PVN109" s="4"/>
      <c r="PVO109" s="2"/>
      <c r="PVP109" s="3"/>
      <c r="PVQ109" s="2"/>
      <c r="PVR109" s="2"/>
      <c r="PVS109" s="5"/>
      <c r="PVT109" s="2"/>
      <c r="PVU109" s="4"/>
      <c r="PVV109" s="2"/>
      <c r="PVW109" s="3"/>
      <c r="PVX109" s="2"/>
      <c r="PVY109" s="2"/>
      <c r="PVZ109" s="5"/>
      <c r="PWA109" s="2"/>
      <c r="PWB109" s="4"/>
      <c r="PWC109" s="2"/>
      <c r="PWD109" s="3"/>
      <c r="PWE109" s="2"/>
      <c r="PWF109" s="2"/>
      <c r="PWG109" s="5"/>
      <c r="PWH109" s="2"/>
      <c r="PWI109" s="4"/>
      <c r="PWJ109" s="2"/>
      <c r="PWK109" s="3"/>
      <c r="PWL109" s="2"/>
      <c r="PWM109" s="2"/>
      <c r="PWN109" s="5"/>
      <c r="PWO109" s="2"/>
      <c r="PWP109" s="4"/>
      <c r="PWQ109" s="2"/>
      <c r="PWR109" s="3"/>
      <c r="PWS109" s="2"/>
      <c r="PWT109" s="2"/>
      <c r="PWU109" s="5"/>
      <c r="PWV109" s="2"/>
      <c r="PWW109" s="4"/>
      <c r="PWX109" s="2"/>
      <c r="PWY109" s="3"/>
      <c r="PWZ109" s="2"/>
      <c r="PXA109" s="2"/>
      <c r="PXB109" s="5"/>
      <c r="PXC109" s="2"/>
      <c r="PXD109" s="4"/>
      <c r="PXE109" s="2"/>
      <c r="PXF109" s="3"/>
      <c r="PXG109" s="2"/>
      <c r="PXH109" s="2"/>
      <c r="PXI109" s="5"/>
      <c r="PXJ109" s="2"/>
      <c r="PXK109" s="4"/>
      <c r="PXL109" s="2"/>
      <c r="PXM109" s="3"/>
      <c r="PXN109" s="2"/>
      <c r="PXO109" s="2"/>
      <c r="PXP109" s="5"/>
      <c r="PXQ109" s="2"/>
      <c r="PXR109" s="4"/>
      <c r="PXS109" s="2"/>
      <c r="PXT109" s="3"/>
      <c r="PXU109" s="2"/>
      <c r="PXV109" s="2"/>
      <c r="PXW109" s="5"/>
      <c r="PXX109" s="2"/>
      <c r="PXY109" s="4"/>
      <c r="PXZ109" s="2"/>
      <c r="PYA109" s="3"/>
      <c r="PYB109" s="2"/>
      <c r="PYC109" s="2"/>
      <c r="PYD109" s="5"/>
      <c r="PYE109" s="2"/>
      <c r="PYF109" s="4"/>
      <c r="PYG109" s="2"/>
      <c r="PYH109" s="3"/>
      <c r="PYI109" s="2"/>
      <c r="PYJ109" s="2"/>
      <c r="PYK109" s="5"/>
      <c r="PYL109" s="2"/>
      <c r="PYM109" s="4"/>
      <c r="PYN109" s="2"/>
      <c r="PYO109" s="3"/>
      <c r="PYP109" s="2"/>
      <c r="PYQ109" s="2"/>
      <c r="PYR109" s="5"/>
      <c r="PYS109" s="2"/>
      <c r="PYT109" s="4"/>
      <c r="PYU109" s="2"/>
      <c r="PYV109" s="3"/>
      <c r="PYW109" s="2"/>
      <c r="PYX109" s="2"/>
      <c r="PYY109" s="5"/>
      <c r="PYZ109" s="2"/>
      <c r="PZA109" s="4"/>
      <c r="PZB109" s="2"/>
      <c r="PZC109" s="3"/>
      <c r="PZD109" s="2"/>
      <c r="PZE109" s="2"/>
      <c r="PZF109" s="5"/>
      <c r="PZG109" s="2"/>
      <c r="PZH109" s="4"/>
      <c r="PZI109" s="2"/>
      <c r="PZJ109" s="3"/>
      <c r="PZK109" s="2"/>
      <c r="PZL109" s="2"/>
      <c r="PZM109" s="5"/>
      <c r="PZN109" s="2"/>
      <c r="PZO109" s="4"/>
      <c r="PZP109" s="2"/>
      <c r="PZQ109" s="3"/>
      <c r="PZR109" s="2"/>
      <c r="PZS109" s="2"/>
      <c r="PZT109" s="5"/>
      <c r="PZU109" s="2"/>
      <c r="PZV109" s="4"/>
      <c r="PZW109" s="2"/>
      <c r="PZX109" s="3"/>
      <c r="PZY109" s="2"/>
      <c r="PZZ109" s="2"/>
      <c r="QAA109" s="5"/>
      <c r="QAB109" s="2"/>
      <c r="QAC109" s="4"/>
      <c r="QAD109" s="2"/>
      <c r="QAE109" s="3"/>
      <c r="QAF109" s="2"/>
      <c r="QAG109" s="2"/>
      <c r="QAH109" s="5"/>
      <c r="QAI109" s="2"/>
      <c r="QAJ109" s="4"/>
      <c r="QAK109" s="2"/>
      <c r="QAL109" s="3"/>
      <c r="QAM109" s="2"/>
      <c r="QAN109" s="2"/>
      <c r="QAO109" s="5"/>
      <c r="QAP109" s="2"/>
      <c r="QAQ109" s="4"/>
      <c r="QAR109" s="2"/>
      <c r="QAS109" s="3"/>
      <c r="QAT109" s="2"/>
      <c r="QAU109" s="2"/>
      <c r="QAV109" s="5"/>
      <c r="QAW109" s="2"/>
      <c r="QAX109" s="4"/>
      <c r="QAY109" s="2"/>
      <c r="QAZ109" s="3"/>
      <c r="QBA109" s="2"/>
      <c r="QBB109" s="2"/>
      <c r="QBC109" s="5"/>
      <c r="QBD109" s="2"/>
      <c r="QBE109" s="4"/>
      <c r="QBF109" s="2"/>
      <c r="QBG109" s="3"/>
      <c r="QBH109" s="2"/>
      <c r="QBI109" s="2"/>
      <c r="QBJ109" s="5"/>
      <c r="QBK109" s="2"/>
      <c r="QBL109" s="4"/>
      <c r="QBM109" s="2"/>
      <c r="QBN109" s="3"/>
      <c r="QBO109" s="2"/>
      <c r="QBP109" s="2"/>
      <c r="QBQ109" s="5"/>
      <c r="QBR109" s="2"/>
      <c r="QBS109" s="4"/>
      <c r="QBT109" s="2"/>
      <c r="QBU109" s="3"/>
      <c r="QBV109" s="2"/>
      <c r="QBW109" s="2"/>
      <c r="QBX109" s="5"/>
      <c r="QBY109" s="2"/>
      <c r="QBZ109" s="4"/>
      <c r="QCA109" s="2"/>
      <c r="QCB109" s="3"/>
      <c r="QCC109" s="2"/>
      <c r="QCD109" s="2"/>
      <c r="QCE109" s="5"/>
      <c r="QCF109" s="2"/>
      <c r="QCG109" s="4"/>
      <c r="QCH109" s="2"/>
      <c r="QCI109" s="3"/>
      <c r="QCJ109" s="2"/>
      <c r="QCK109" s="2"/>
      <c r="QCL109" s="5"/>
      <c r="QCM109" s="2"/>
      <c r="QCN109" s="4"/>
      <c r="QCO109" s="2"/>
      <c r="QCP109" s="3"/>
      <c r="QCQ109" s="2"/>
      <c r="QCR109" s="2"/>
      <c r="QCS109" s="5"/>
      <c r="QCT109" s="2"/>
      <c r="QCU109" s="4"/>
      <c r="QCV109" s="2"/>
      <c r="QCW109" s="3"/>
      <c r="QCX109" s="2"/>
      <c r="QCY109" s="2"/>
      <c r="QCZ109" s="5"/>
      <c r="QDA109" s="2"/>
      <c r="QDB109" s="4"/>
      <c r="QDC109" s="2"/>
      <c r="QDD109" s="3"/>
      <c r="QDE109" s="2"/>
      <c r="QDF109" s="2"/>
      <c r="QDG109" s="5"/>
      <c r="QDH109" s="2"/>
      <c r="QDI109" s="4"/>
      <c r="QDJ109" s="2"/>
      <c r="QDK109" s="3"/>
      <c r="QDL109" s="2"/>
      <c r="QDM109" s="2"/>
      <c r="QDN109" s="5"/>
      <c r="QDO109" s="2"/>
      <c r="QDP109" s="4"/>
      <c r="QDQ109" s="2"/>
      <c r="QDR109" s="3"/>
      <c r="QDS109" s="2"/>
      <c r="QDT109" s="2"/>
      <c r="QDU109" s="5"/>
      <c r="QDV109" s="2"/>
      <c r="QDW109" s="4"/>
      <c r="QDX109" s="2"/>
      <c r="QDY109" s="3"/>
      <c r="QDZ109" s="2"/>
      <c r="QEA109" s="2"/>
      <c r="QEB109" s="5"/>
      <c r="QEC109" s="2"/>
      <c r="QED109" s="4"/>
      <c r="QEE109" s="2"/>
      <c r="QEF109" s="3"/>
      <c r="QEG109" s="2"/>
      <c r="QEH109" s="2"/>
      <c r="QEI109" s="5"/>
      <c r="QEJ109" s="2"/>
      <c r="QEK109" s="4"/>
      <c r="QEL109" s="2"/>
      <c r="QEM109" s="3"/>
      <c r="QEN109" s="2"/>
      <c r="QEO109" s="2"/>
      <c r="QEP109" s="5"/>
      <c r="QEQ109" s="2"/>
      <c r="QER109" s="4"/>
      <c r="QES109" s="2"/>
      <c r="QET109" s="3"/>
      <c r="QEU109" s="2"/>
      <c r="QEV109" s="2"/>
      <c r="QEW109" s="5"/>
      <c r="QEX109" s="2"/>
      <c r="QEY109" s="4"/>
      <c r="QEZ109" s="2"/>
      <c r="QFA109" s="3"/>
      <c r="QFB109" s="2"/>
      <c r="QFC109" s="2"/>
      <c r="QFD109" s="5"/>
      <c r="QFE109" s="2"/>
      <c r="QFF109" s="4"/>
      <c r="QFG109" s="2"/>
      <c r="QFH109" s="3"/>
      <c r="QFI109" s="2"/>
      <c r="QFJ109" s="2"/>
      <c r="QFK109" s="5"/>
      <c r="QFL109" s="2"/>
      <c r="QFM109" s="4"/>
      <c r="QFN109" s="2"/>
      <c r="QFO109" s="3"/>
      <c r="QFP109" s="2"/>
      <c r="QFQ109" s="2"/>
      <c r="QFR109" s="5"/>
      <c r="QFS109" s="2"/>
      <c r="QFT109" s="4"/>
      <c r="QFU109" s="2"/>
      <c r="QFV109" s="3"/>
      <c r="QFW109" s="2"/>
      <c r="QFX109" s="2"/>
      <c r="QFY109" s="5"/>
      <c r="QFZ109" s="2"/>
      <c r="QGA109" s="4"/>
      <c r="QGB109" s="2"/>
      <c r="QGC109" s="3"/>
      <c r="QGD109" s="2"/>
      <c r="QGE109" s="2"/>
      <c r="QGF109" s="5"/>
      <c r="QGG109" s="2"/>
      <c r="QGH109" s="4"/>
      <c r="QGI109" s="2"/>
      <c r="QGJ109" s="3"/>
      <c r="QGK109" s="2"/>
      <c r="QGL109" s="2"/>
      <c r="QGM109" s="5"/>
      <c r="QGN109" s="2"/>
      <c r="QGO109" s="4"/>
      <c r="QGP109" s="2"/>
      <c r="QGQ109" s="3"/>
      <c r="QGR109" s="2"/>
      <c r="QGS109" s="2"/>
      <c r="QGT109" s="5"/>
      <c r="QGU109" s="2"/>
      <c r="QGV109" s="4"/>
      <c r="QGW109" s="2"/>
      <c r="QGX109" s="3"/>
      <c r="QGY109" s="2"/>
      <c r="QGZ109" s="2"/>
      <c r="QHA109" s="5"/>
      <c r="QHB109" s="2"/>
      <c r="QHC109" s="4"/>
      <c r="QHD109" s="2"/>
      <c r="QHE109" s="3"/>
      <c r="QHF109" s="2"/>
      <c r="QHG109" s="2"/>
      <c r="QHH109" s="5"/>
      <c r="QHI109" s="2"/>
      <c r="QHJ109" s="4"/>
      <c r="QHK109" s="2"/>
      <c r="QHL109" s="3"/>
      <c r="QHM109" s="2"/>
      <c r="QHN109" s="2"/>
      <c r="QHO109" s="5"/>
      <c r="QHP109" s="2"/>
      <c r="QHQ109" s="4"/>
      <c r="QHR109" s="2"/>
      <c r="QHS109" s="3"/>
      <c r="QHT109" s="2"/>
      <c r="QHU109" s="2"/>
      <c r="QHV109" s="5"/>
      <c r="QHW109" s="2"/>
      <c r="QHX109" s="4"/>
      <c r="QHY109" s="2"/>
      <c r="QHZ109" s="3"/>
      <c r="QIA109" s="2"/>
      <c r="QIB109" s="2"/>
      <c r="QIC109" s="5"/>
      <c r="QID109" s="2"/>
      <c r="QIE109" s="4"/>
      <c r="QIF109" s="2"/>
      <c r="QIG109" s="3"/>
      <c r="QIH109" s="2"/>
      <c r="QII109" s="2"/>
      <c r="QIJ109" s="5"/>
      <c r="QIK109" s="2"/>
      <c r="QIL109" s="4"/>
      <c r="QIM109" s="2"/>
      <c r="QIN109" s="3"/>
      <c r="QIO109" s="2"/>
      <c r="QIP109" s="2"/>
      <c r="QIQ109" s="5"/>
      <c r="QIR109" s="2"/>
      <c r="QIS109" s="4"/>
      <c r="QIT109" s="2"/>
      <c r="QIU109" s="3"/>
      <c r="QIV109" s="2"/>
      <c r="QIW109" s="2"/>
      <c r="QIX109" s="5"/>
      <c r="QIY109" s="2"/>
      <c r="QIZ109" s="4"/>
      <c r="QJA109" s="2"/>
      <c r="QJB109" s="3"/>
      <c r="QJC109" s="2"/>
      <c r="QJD109" s="2"/>
      <c r="QJE109" s="5"/>
      <c r="QJF109" s="2"/>
      <c r="QJG109" s="4"/>
      <c r="QJH109" s="2"/>
      <c r="QJI109" s="3"/>
      <c r="QJJ109" s="2"/>
      <c r="QJK109" s="2"/>
      <c r="QJL109" s="5"/>
      <c r="QJM109" s="2"/>
      <c r="QJN109" s="4"/>
      <c r="QJO109" s="2"/>
      <c r="QJP109" s="3"/>
      <c r="QJQ109" s="2"/>
      <c r="QJR109" s="2"/>
      <c r="QJS109" s="5"/>
      <c r="QJT109" s="2"/>
      <c r="QJU109" s="4"/>
      <c r="QJV109" s="2"/>
      <c r="QJW109" s="3"/>
      <c r="QJX109" s="2"/>
      <c r="QJY109" s="2"/>
      <c r="QJZ109" s="5"/>
      <c r="QKA109" s="2"/>
      <c r="QKB109" s="4"/>
      <c r="QKC109" s="2"/>
      <c r="QKD109" s="3"/>
      <c r="QKE109" s="2"/>
      <c r="QKF109" s="2"/>
      <c r="QKG109" s="5"/>
      <c r="QKH109" s="2"/>
      <c r="QKI109" s="4"/>
      <c r="QKJ109" s="2"/>
      <c r="QKK109" s="3"/>
      <c r="QKL109" s="2"/>
      <c r="QKM109" s="2"/>
      <c r="QKN109" s="5"/>
      <c r="QKO109" s="2"/>
      <c r="QKP109" s="4"/>
      <c r="QKQ109" s="2"/>
      <c r="QKR109" s="3"/>
      <c r="QKS109" s="2"/>
      <c r="QKT109" s="2"/>
      <c r="QKU109" s="5"/>
      <c r="QKV109" s="2"/>
      <c r="QKW109" s="4"/>
      <c r="QKX109" s="2"/>
      <c r="QKY109" s="3"/>
      <c r="QKZ109" s="2"/>
      <c r="QLA109" s="2"/>
      <c r="QLB109" s="5"/>
      <c r="QLC109" s="2"/>
      <c r="QLD109" s="4"/>
      <c r="QLE109" s="2"/>
      <c r="QLF109" s="3"/>
      <c r="QLG109" s="2"/>
      <c r="QLH109" s="2"/>
      <c r="QLI109" s="5"/>
      <c r="QLJ109" s="2"/>
      <c r="QLK109" s="4"/>
      <c r="QLL109" s="2"/>
      <c r="QLM109" s="3"/>
      <c r="QLN109" s="2"/>
      <c r="QLO109" s="2"/>
      <c r="QLP109" s="5"/>
      <c r="QLQ109" s="2"/>
      <c r="QLR109" s="4"/>
      <c r="QLS109" s="2"/>
      <c r="QLT109" s="3"/>
      <c r="QLU109" s="2"/>
      <c r="QLV109" s="2"/>
      <c r="QLW109" s="5"/>
      <c r="QLX109" s="2"/>
      <c r="QLY109" s="4"/>
      <c r="QLZ109" s="2"/>
      <c r="QMA109" s="3"/>
      <c r="QMB109" s="2"/>
      <c r="QMC109" s="2"/>
      <c r="QMD109" s="5"/>
      <c r="QME109" s="2"/>
      <c r="QMF109" s="4"/>
      <c r="QMG109" s="2"/>
      <c r="QMH109" s="3"/>
      <c r="QMI109" s="2"/>
      <c r="QMJ109" s="2"/>
      <c r="QMK109" s="5"/>
      <c r="QML109" s="2"/>
      <c r="QMM109" s="4"/>
      <c r="QMN109" s="2"/>
      <c r="QMO109" s="3"/>
      <c r="QMP109" s="2"/>
      <c r="QMQ109" s="2"/>
      <c r="QMR109" s="5"/>
      <c r="QMS109" s="2"/>
      <c r="QMT109" s="4"/>
      <c r="QMU109" s="2"/>
      <c r="QMV109" s="3"/>
      <c r="QMW109" s="2"/>
      <c r="QMX109" s="2"/>
      <c r="QMY109" s="5"/>
      <c r="QMZ109" s="2"/>
      <c r="QNA109" s="4"/>
      <c r="QNB109" s="2"/>
      <c r="QNC109" s="3"/>
      <c r="QND109" s="2"/>
      <c r="QNE109" s="2"/>
      <c r="QNF109" s="5"/>
      <c r="QNG109" s="2"/>
      <c r="QNH109" s="4"/>
      <c r="QNI109" s="2"/>
      <c r="QNJ109" s="3"/>
      <c r="QNK109" s="2"/>
      <c r="QNL109" s="2"/>
      <c r="QNM109" s="5"/>
      <c r="QNN109" s="2"/>
      <c r="QNO109" s="4"/>
      <c r="QNP109" s="2"/>
      <c r="QNQ109" s="3"/>
      <c r="QNR109" s="2"/>
      <c r="QNS109" s="2"/>
      <c r="QNT109" s="5"/>
      <c r="QNU109" s="2"/>
      <c r="QNV109" s="4"/>
      <c r="QNW109" s="2"/>
      <c r="QNX109" s="3"/>
      <c r="QNY109" s="2"/>
      <c r="QNZ109" s="2"/>
      <c r="QOA109" s="5"/>
      <c r="QOB109" s="2"/>
      <c r="QOC109" s="4"/>
      <c r="QOD109" s="2"/>
      <c r="QOE109" s="3"/>
      <c r="QOF109" s="2"/>
      <c r="QOG109" s="2"/>
      <c r="QOH109" s="5"/>
      <c r="QOI109" s="2"/>
      <c r="QOJ109" s="4"/>
      <c r="QOK109" s="2"/>
      <c r="QOL109" s="3"/>
      <c r="QOM109" s="2"/>
      <c r="QON109" s="2"/>
      <c r="QOO109" s="5"/>
      <c r="QOP109" s="2"/>
      <c r="QOQ109" s="4"/>
      <c r="QOR109" s="2"/>
      <c r="QOS109" s="3"/>
      <c r="QOT109" s="2"/>
      <c r="QOU109" s="2"/>
      <c r="QOV109" s="5"/>
      <c r="QOW109" s="2"/>
      <c r="QOX109" s="4"/>
      <c r="QOY109" s="2"/>
      <c r="QOZ109" s="3"/>
      <c r="QPA109" s="2"/>
      <c r="QPB109" s="2"/>
      <c r="QPC109" s="5"/>
      <c r="QPD109" s="2"/>
      <c r="QPE109" s="4"/>
      <c r="QPF109" s="2"/>
      <c r="QPG109" s="3"/>
      <c r="QPH109" s="2"/>
      <c r="QPI109" s="2"/>
      <c r="QPJ109" s="5"/>
      <c r="QPK109" s="2"/>
      <c r="QPL109" s="4"/>
      <c r="QPM109" s="2"/>
      <c r="QPN109" s="3"/>
      <c r="QPO109" s="2"/>
      <c r="QPP109" s="2"/>
      <c r="QPQ109" s="5"/>
      <c r="QPR109" s="2"/>
      <c r="QPS109" s="4"/>
      <c r="QPT109" s="2"/>
      <c r="QPU109" s="3"/>
      <c r="QPV109" s="2"/>
      <c r="QPW109" s="2"/>
      <c r="QPX109" s="5"/>
      <c r="QPY109" s="2"/>
      <c r="QPZ109" s="4"/>
      <c r="QQA109" s="2"/>
      <c r="QQB109" s="3"/>
      <c r="QQC109" s="2"/>
      <c r="QQD109" s="2"/>
      <c r="QQE109" s="5"/>
      <c r="QQF109" s="2"/>
      <c r="QQG109" s="4"/>
      <c r="QQH109" s="2"/>
      <c r="QQI109" s="3"/>
      <c r="QQJ109" s="2"/>
      <c r="QQK109" s="2"/>
      <c r="QQL109" s="5"/>
      <c r="QQM109" s="2"/>
      <c r="QQN109" s="4"/>
      <c r="QQO109" s="2"/>
      <c r="QQP109" s="3"/>
      <c r="QQQ109" s="2"/>
      <c r="QQR109" s="2"/>
      <c r="QQS109" s="5"/>
      <c r="QQT109" s="2"/>
      <c r="QQU109" s="4"/>
      <c r="QQV109" s="2"/>
      <c r="QQW109" s="3"/>
      <c r="QQX109" s="2"/>
      <c r="QQY109" s="2"/>
      <c r="QQZ109" s="5"/>
      <c r="QRA109" s="2"/>
      <c r="QRB109" s="4"/>
      <c r="QRC109" s="2"/>
      <c r="QRD109" s="3"/>
      <c r="QRE109" s="2"/>
      <c r="QRF109" s="2"/>
      <c r="QRG109" s="5"/>
      <c r="QRH109" s="2"/>
      <c r="QRI109" s="4"/>
      <c r="QRJ109" s="2"/>
      <c r="QRK109" s="3"/>
      <c r="QRL109" s="2"/>
      <c r="QRM109" s="2"/>
      <c r="QRN109" s="5"/>
      <c r="QRO109" s="2"/>
      <c r="QRP109" s="4"/>
      <c r="QRQ109" s="2"/>
      <c r="QRR109" s="3"/>
      <c r="QRS109" s="2"/>
      <c r="QRT109" s="2"/>
      <c r="QRU109" s="5"/>
      <c r="QRV109" s="2"/>
      <c r="QRW109" s="4"/>
      <c r="QRX109" s="2"/>
      <c r="QRY109" s="3"/>
      <c r="QRZ109" s="2"/>
      <c r="QSA109" s="2"/>
      <c r="QSB109" s="5"/>
      <c r="QSC109" s="2"/>
      <c r="QSD109" s="4"/>
      <c r="QSE109" s="2"/>
      <c r="QSF109" s="3"/>
      <c r="QSG109" s="2"/>
      <c r="QSH109" s="2"/>
      <c r="QSI109" s="5"/>
      <c r="QSJ109" s="2"/>
      <c r="QSK109" s="4"/>
      <c r="QSL109" s="2"/>
      <c r="QSM109" s="3"/>
      <c r="QSN109" s="2"/>
      <c r="QSO109" s="2"/>
      <c r="QSP109" s="5"/>
      <c r="QSQ109" s="2"/>
      <c r="QSR109" s="4"/>
      <c r="QSS109" s="2"/>
      <c r="QST109" s="3"/>
      <c r="QSU109" s="2"/>
      <c r="QSV109" s="2"/>
      <c r="QSW109" s="5"/>
      <c r="QSX109" s="2"/>
      <c r="QSY109" s="4"/>
      <c r="QSZ109" s="2"/>
      <c r="QTA109" s="3"/>
      <c r="QTB109" s="2"/>
      <c r="QTC109" s="2"/>
      <c r="QTD109" s="5"/>
      <c r="QTE109" s="2"/>
      <c r="QTF109" s="4"/>
      <c r="QTG109" s="2"/>
      <c r="QTH109" s="3"/>
      <c r="QTI109" s="2"/>
      <c r="QTJ109" s="2"/>
      <c r="QTK109" s="5"/>
      <c r="QTL109" s="2"/>
      <c r="QTM109" s="4"/>
      <c r="QTN109" s="2"/>
      <c r="QTO109" s="3"/>
      <c r="QTP109" s="2"/>
      <c r="QTQ109" s="2"/>
      <c r="QTR109" s="5"/>
      <c r="QTS109" s="2"/>
      <c r="QTT109" s="4"/>
      <c r="QTU109" s="2"/>
      <c r="QTV109" s="3"/>
      <c r="QTW109" s="2"/>
      <c r="QTX109" s="2"/>
      <c r="QTY109" s="5"/>
      <c r="QTZ109" s="2"/>
      <c r="QUA109" s="4"/>
      <c r="QUB109" s="2"/>
      <c r="QUC109" s="3"/>
      <c r="QUD109" s="2"/>
      <c r="QUE109" s="2"/>
      <c r="QUF109" s="5"/>
      <c r="QUG109" s="2"/>
      <c r="QUH109" s="4"/>
      <c r="QUI109" s="2"/>
      <c r="QUJ109" s="3"/>
      <c r="QUK109" s="2"/>
      <c r="QUL109" s="2"/>
      <c r="QUM109" s="5"/>
      <c r="QUN109" s="2"/>
      <c r="QUO109" s="4"/>
      <c r="QUP109" s="2"/>
      <c r="QUQ109" s="3"/>
      <c r="QUR109" s="2"/>
      <c r="QUS109" s="2"/>
      <c r="QUT109" s="5"/>
      <c r="QUU109" s="2"/>
      <c r="QUV109" s="4"/>
      <c r="QUW109" s="2"/>
      <c r="QUX109" s="3"/>
      <c r="QUY109" s="2"/>
      <c r="QUZ109" s="2"/>
      <c r="QVA109" s="5"/>
      <c r="QVB109" s="2"/>
      <c r="QVC109" s="4"/>
      <c r="QVD109" s="2"/>
      <c r="QVE109" s="3"/>
      <c r="QVF109" s="2"/>
      <c r="QVG109" s="2"/>
      <c r="QVH109" s="5"/>
      <c r="QVI109" s="2"/>
      <c r="QVJ109" s="4"/>
      <c r="QVK109" s="2"/>
      <c r="QVL109" s="3"/>
      <c r="QVM109" s="2"/>
      <c r="QVN109" s="2"/>
      <c r="QVO109" s="5"/>
      <c r="QVP109" s="2"/>
      <c r="QVQ109" s="4"/>
      <c r="QVR109" s="2"/>
      <c r="QVS109" s="3"/>
      <c r="QVT109" s="2"/>
      <c r="QVU109" s="2"/>
      <c r="QVV109" s="5"/>
      <c r="QVW109" s="2"/>
      <c r="QVX109" s="4"/>
      <c r="QVY109" s="2"/>
      <c r="QVZ109" s="3"/>
      <c r="QWA109" s="2"/>
      <c r="QWB109" s="2"/>
      <c r="QWC109" s="5"/>
      <c r="QWD109" s="2"/>
      <c r="QWE109" s="4"/>
      <c r="QWF109" s="2"/>
      <c r="QWG109" s="3"/>
      <c r="QWH109" s="2"/>
      <c r="QWI109" s="2"/>
      <c r="QWJ109" s="5"/>
      <c r="QWK109" s="2"/>
      <c r="QWL109" s="4"/>
      <c r="QWM109" s="2"/>
      <c r="QWN109" s="3"/>
      <c r="QWO109" s="2"/>
      <c r="QWP109" s="2"/>
      <c r="QWQ109" s="5"/>
      <c r="QWR109" s="2"/>
      <c r="QWS109" s="4"/>
      <c r="QWT109" s="2"/>
      <c r="QWU109" s="3"/>
      <c r="QWV109" s="2"/>
      <c r="QWW109" s="2"/>
      <c r="QWX109" s="5"/>
      <c r="QWY109" s="2"/>
      <c r="QWZ109" s="4"/>
      <c r="QXA109" s="2"/>
      <c r="QXB109" s="3"/>
      <c r="QXC109" s="2"/>
      <c r="QXD109" s="2"/>
      <c r="QXE109" s="5"/>
      <c r="QXF109" s="2"/>
      <c r="QXG109" s="4"/>
      <c r="QXH109" s="2"/>
      <c r="QXI109" s="3"/>
      <c r="QXJ109" s="2"/>
      <c r="QXK109" s="2"/>
      <c r="QXL109" s="5"/>
      <c r="QXM109" s="2"/>
      <c r="QXN109" s="4"/>
      <c r="QXO109" s="2"/>
      <c r="QXP109" s="3"/>
      <c r="QXQ109" s="2"/>
      <c r="QXR109" s="2"/>
      <c r="QXS109" s="5"/>
      <c r="QXT109" s="2"/>
      <c r="QXU109" s="4"/>
      <c r="QXV109" s="2"/>
      <c r="QXW109" s="3"/>
      <c r="QXX109" s="2"/>
      <c r="QXY109" s="2"/>
      <c r="QXZ109" s="5"/>
      <c r="QYA109" s="2"/>
      <c r="QYB109" s="4"/>
      <c r="QYC109" s="2"/>
      <c r="QYD109" s="3"/>
      <c r="QYE109" s="2"/>
      <c r="QYF109" s="2"/>
      <c r="QYG109" s="5"/>
      <c r="QYH109" s="2"/>
      <c r="QYI109" s="4"/>
      <c r="QYJ109" s="2"/>
      <c r="QYK109" s="3"/>
      <c r="QYL109" s="2"/>
      <c r="QYM109" s="2"/>
      <c r="QYN109" s="5"/>
      <c r="QYO109" s="2"/>
      <c r="QYP109" s="4"/>
      <c r="QYQ109" s="2"/>
      <c r="QYR109" s="3"/>
      <c r="QYS109" s="2"/>
      <c r="QYT109" s="2"/>
      <c r="QYU109" s="5"/>
      <c r="QYV109" s="2"/>
      <c r="QYW109" s="4"/>
      <c r="QYX109" s="2"/>
      <c r="QYY109" s="3"/>
      <c r="QYZ109" s="2"/>
      <c r="QZA109" s="2"/>
      <c r="QZB109" s="5"/>
      <c r="QZC109" s="2"/>
      <c r="QZD109" s="4"/>
      <c r="QZE109" s="2"/>
      <c r="QZF109" s="3"/>
      <c r="QZG109" s="2"/>
      <c r="QZH109" s="2"/>
      <c r="QZI109" s="5"/>
      <c r="QZJ109" s="2"/>
      <c r="QZK109" s="4"/>
      <c r="QZL109" s="2"/>
      <c r="QZM109" s="3"/>
      <c r="QZN109" s="2"/>
      <c r="QZO109" s="2"/>
      <c r="QZP109" s="5"/>
      <c r="QZQ109" s="2"/>
      <c r="QZR109" s="4"/>
      <c r="QZS109" s="2"/>
      <c r="QZT109" s="3"/>
      <c r="QZU109" s="2"/>
      <c r="QZV109" s="2"/>
      <c r="QZW109" s="5"/>
      <c r="QZX109" s="2"/>
      <c r="QZY109" s="4"/>
      <c r="QZZ109" s="2"/>
      <c r="RAA109" s="3"/>
      <c r="RAB109" s="2"/>
      <c r="RAC109" s="2"/>
      <c r="RAD109" s="5"/>
      <c r="RAE109" s="2"/>
      <c r="RAF109" s="4"/>
      <c r="RAG109" s="2"/>
      <c r="RAH109" s="3"/>
      <c r="RAI109" s="2"/>
      <c r="RAJ109" s="2"/>
      <c r="RAK109" s="5"/>
      <c r="RAL109" s="2"/>
      <c r="RAM109" s="4"/>
      <c r="RAN109" s="2"/>
      <c r="RAO109" s="3"/>
      <c r="RAP109" s="2"/>
      <c r="RAQ109" s="2"/>
      <c r="RAR109" s="5"/>
      <c r="RAS109" s="2"/>
      <c r="RAT109" s="4"/>
      <c r="RAU109" s="2"/>
      <c r="RAV109" s="3"/>
      <c r="RAW109" s="2"/>
      <c r="RAX109" s="2"/>
      <c r="RAY109" s="5"/>
      <c r="RAZ109" s="2"/>
      <c r="RBA109" s="4"/>
      <c r="RBB109" s="2"/>
      <c r="RBC109" s="3"/>
      <c r="RBD109" s="2"/>
      <c r="RBE109" s="2"/>
      <c r="RBF109" s="5"/>
      <c r="RBG109" s="2"/>
      <c r="RBH109" s="4"/>
      <c r="RBI109" s="2"/>
      <c r="RBJ109" s="3"/>
      <c r="RBK109" s="2"/>
      <c r="RBL109" s="2"/>
      <c r="RBM109" s="5"/>
      <c r="RBN109" s="2"/>
      <c r="RBO109" s="4"/>
      <c r="RBP109" s="2"/>
      <c r="RBQ109" s="3"/>
      <c r="RBR109" s="2"/>
      <c r="RBS109" s="2"/>
      <c r="RBT109" s="5"/>
      <c r="RBU109" s="2"/>
      <c r="RBV109" s="4"/>
      <c r="RBW109" s="2"/>
      <c r="RBX109" s="3"/>
      <c r="RBY109" s="2"/>
      <c r="RBZ109" s="2"/>
      <c r="RCA109" s="5"/>
      <c r="RCB109" s="2"/>
      <c r="RCC109" s="4"/>
      <c r="RCD109" s="2"/>
      <c r="RCE109" s="3"/>
      <c r="RCF109" s="2"/>
      <c r="RCG109" s="2"/>
      <c r="RCH109" s="5"/>
      <c r="RCI109" s="2"/>
      <c r="RCJ109" s="4"/>
      <c r="RCK109" s="2"/>
      <c r="RCL109" s="3"/>
      <c r="RCM109" s="2"/>
      <c r="RCN109" s="2"/>
      <c r="RCO109" s="5"/>
      <c r="RCP109" s="2"/>
      <c r="RCQ109" s="4"/>
      <c r="RCR109" s="2"/>
      <c r="RCS109" s="3"/>
      <c r="RCT109" s="2"/>
      <c r="RCU109" s="2"/>
      <c r="RCV109" s="5"/>
      <c r="RCW109" s="2"/>
      <c r="RCX109" s="4"/>
      <c r="RCY109" s="2"/>
      <c r="RCZ109" s="3"/>
      <c r="RDA109" s="2"/>
      <c r="RDB109" s="2"/>
      <c r="RDC109" s="5"/>
      <c r="RDD109" s="2"/>
      <c r="RDE109" s="4"/>
      <c r="RDF109" s="2"/>
      <c r="RDG109" s="3"/>
      <c r="RDH109" s="2"/>
      <c r="RDI109" s="2"/>
      <c r="RDJ109" s="5"/>
      <c r="RDK109" s="2"/>
      <c r="RDL109" s="4"/>
      <c r="RDM109" s="2"/>
      <c r="RDN109" s="3"/>
      <c r="RDO109" s="2"/>
      <c r="RDP109" s="2"/>
      <c r="RDQ109" s="5"/>
      <c r="RDR109" s="2"/>
      <c r="RDS109" s="4"/>
      <c r="RDT109" s="2"/>
      <c r="RDU109" s="3"/>
      <c r="RDV109" s="2"/>
      <c r="RDW109" s="2"/>
      <c r="RDX109" s="5"/>
      <c r="RDY109" s="2"/>
      <c r="RDZ109" s="4"/>
      <c r="REA109" s="2"/>
      <c r="REB109" s="3"/>
      <c r="REC109" s="2"/>
      <c r="RED109" s="2"/>
      <c r="REE109" s="5"/>
      <c r="REF109" s="2"/>
      <c r="REG109" s="4"/>
      <c r="REH109" s="2"/>
      <c r="REI109" s="3"/>
      <c r="REJ109" s="2"/>
      <c r="REK109" s="2"/>
      <c r="REL109" s="5"/>
      <c r="REM109" s="2"/>
      <c r="REN109" s="4"/>
      <c r="REO109" s="2"/>
      <c r="REP109" s="3"/>
      <c r="REQ109" s="2"/>
      <c r="RER109" s="2"/>
      <c r="RES109" s="5"/>
      <c r="RET109" s="2"/>
      <c r="REU109" s="4"/>
      <c r="REV109" s="2"/>
      <c r="REW109" s="3"/>
      <c r="REX109" s="2"/>
      <c r="REY109" s="2"/>
      <c r="REZ109" s="5"/>
      <c r="RFA109" s="2"/>
      <c r="RFB109" s="4"/>
      <c r="RFC109" s="2"/>
      <c r="RFD109" s="3"/>
      <c r="RFE109" s="2"/>
      <c r="RFF109" s="2"/>
      <c r="RFG109" s="5"/>
      <c r="RFH109" s="2"/>
      <c r="RFI109" s="4"/>
      <c r="RFJ109" s="2"/>
      <c r="RFK109" s="3"/>
      <c r="RFL109" s="2"/>
      <c r="RFM109" s="2"/>
      <c r="RFN109" s="5"/>
      <c r="RFO109" s="2"/>
      <c r="RFP109" s="4"/>
      <c r="RFQ109" s="2"/>
      <c r="RFR109" s="3"/>
      <c r="RFS109" s="2"/>
      <c r="RFT109" s="2"/>
      <c r="RFU109" s="5"/>
      <c r="RFV109" s="2"/>
      <c r="RFW109" s="4"/>
      <c r="RFX109" s="2"/>
      <c r="RFY109" s="3"/>
      <c r="RFZ109" s="2"/>
      <c r="RGA109" s="2"/>
      <c r="RGB109" s="5"/>
      <c r="RGC109" s="2"/>
      <c r="RGD109" s="4"/>
      <c r="RGE109" s="2"/>
      <c r="RGF109" s="3"/>
      <c r="RGG109" s="2"/>
      <c r="RGH109" s="2"/>
      <c r="RGI109" s="5"/>
      <c r="RGJ109" s="2"/>
      <c r="RGK109" s="4"/>
      <c r="RGL109" s="2"/>
      <c r="RGM109" s="3"/>
      <c r="RGN109" s="2"/>
      <c r="RGO109" s="2"/>
      <c r="RGP109" s="5"/>
      <c r="RGQ109" s="2"/>
      <c r="RGR109" s="4"/>
      <c r="RGS109" s="2"/>
      <c r="RGT109" s="3"/>
      <c r="RGU109" s="2"/>
      <c r="RGV109" s="2"/>
      <c r="RGW109" s="5"/>
      <c r="RGX109" s="2"/>
      <c r="RGY109" s="4"/>
      <c r="RGZ109" s="2"/>
      <c r="RHA109" s="3"/>
      <c r="RHB109" s="2"/>
      <c r="RHC109" s="2"/>
      <c r="RHD109" s="5"/>
      <c r="RHE109" s="2"/>
      <c r="RHF109" s="4"/>
      <c r="RHG109" s="2"/>
      <c r="RHH109" s="3"/>
      <c r="RHI109" s="2"/>
      <c r="RHJ109" s="2"/>
      <c r="RHK109" s="5"/>
      <c r="RHL109" s="2"/>
      <c r="RHM109" s="4"/>
      <c r="RHN109" s="2"/>
      <c r="RHO109" s="3"/>
      <c r="RHP109" s="2"/>
      <c r="RHQ109" s="2"/>
      <c r="RHR109" s="5"/>
      <c r="RHS109" s="2"/>
      <c r="RHT109" s="4"/>
      <c r="RHU109" s="2"/>
      <c r="RHV109" s="3"/>
      <c r="RHW109" s="2"/>
      <c r="RHX109" s="2"/>
      <c r="RHY109" s="5"/>
      <c r="RHZ109" s="2"/>
      <c r="RIA109" s="4"/>
      <c r="RIB109" s="2"/>
      <c r="RIC109" s="3"/>
      <c r="RID109" s="2"/>
      <c r="RIE109" s="2"/>
      <c r="RIF109" s="5"/>
      <c r="RIG109" s="2"/>
      <c r="RIH109" s="4"/>
      <c r="RII109" s="2"/>
      <c r="RIJ109" s="3"/>
      <c r="RIK109" s="2"/>
      <c r="RIL109" s="2"/>
      <c r="RIM109" s="5"/>
      <c r="RIN109" s="2"/>
      <c r="RIO109" s="4"/>
      <c r="RIP109" s="2"/>
      <c r="RIQ109" s="3"/>
      <c r="RIR109" s="2"/>
      <c r="RIS109" s="2"/>
      <c r="RIT109" s="5"/>
      <c r="RIU109" s="2"/>
      <c r="RIV109" s="4"/>
      <c r="RIW109" s="2"/>
      <c r="RIX109" s="3"/>
      <c r="RIY109" s="2"/>
      <c r="RIZ109" s="2"/>
      <c r="RJA109" s="5"/>
      <c r="RJB109" s="2"/>
      <c r="RJC109" s="4"/>
      <c r="RJD109" s="2"/>
      <c r="RJE109" s="3"/>
      <c r="RJF109" s="2"/>
      <c r="RJG109" s="2"/>
      <c r="RJH109" s="5"/>
      <c r="RJI109" s="2"/>
      <c r="RJJ109" s="4"/>
      <c r="RJK109" s="2"/>
      <c r="RJL109" s="3"/>
      <c r="RJM109" s="2"/>
      <c r="RJN109" s="2"/>
      <c r="RJO109" s="5"/>
      <c r="RJP109" s="2"/>
      <c r="RJQ109" s="4"/>
      <c r="RJR109" s="2"/>
      <c r="RJS109" s="3"/>
      <c r="RJT109" s="2"/>
      <c r="RJU109" s="2"/>
      <c r="RJV109" s="5"/>
      <c r="RJW109" s="2"/>
      <c r="RJX109" s="4"/>
      <c r="RJY109" s="2"/>
      <c r="RJZ109" s="3"/>
      <c r="RKA109" s="2"/>
      <c r="RKB109" s="2"/>
      <c r="RKC109" s="5"/>
      <c r="RKD109" s="2"/>
      <c r="RKE109" s="4"/>
      <c r="RKF109" s="2"/>
      <c r="RKG109" s="3"/>
      <c r="RKH109" s="2"/>
      <c r="RKI109" s="2"/>
      <c r="RKJ109" s="5"/>
      <c r="RKK109" s="2"/>
      <c r="RKL109" s="4"/>
      <c r="RKM109" s="2"/>
      <c r="RKN109" s="3"/>
      <c r="RKO109" s="2"/>
      <c r="RKP109" s="2"/>
      <c r="RKQ109" s="5"/>
      <c r="RKR109" s="2"/>
      <c r="RKS109" s="4"/>
      <c r="RKT109" s="2"/>
      <c r="RKU109" s="3"/>
      <c r="RKV109" s="2"/>
      <c r="RKW109" s="2"/>
      <c r="RKX109" s="5"/>
      <c r="RKY109" s="2"/>
      <c r="RKZ109" s="4"/>
      <c r="RLA109" s="2"/>
      <c r="RLB109" s="3"/>
      <c r="RLC109" s="2"/>
      <c r="RLD109" s="2"/>
      <c r="RLE109" s="5"/>
      <c r="RLF109" s="2"/>
      <c r="RLG109" s="4"/>
      <c r="RLH109" s="2"/>
      <c r="RLI109" s="3"/>
      <c r="RLJ109" s="2"/>
      <c r="RLK109" s="2"/>
      <c r="RLL109" s="5"/>
      <c r="RLM109" s="2"/>
      <c r="RLN109" s="4"/>
      <c r="RLO109" s="2"/>
      <c r="RLP109" s="3"/>
      <c r="RLQ109" s="2"/>
      <c r="RLR109" s="2"/>
      <c r="RLS109" s="5"/>
      <c r="RLT109" s="2"/>
      <c r="RLU109" s="4"/>
      <c r="RLV109" s="2"/>
      <c r="RLW109" s="3"/>
      <c r="RLX109" s="2"/>
      <c r="RLY109" s="2"/>
      <c r="RLZ109" s="5"/>
      <c r="RMA109" s="2"/>
      <c r="RMB109" s="4"/>
      <c r="RMC109" s="2"/>
      <c r="RMD109" s="3"/>
      <c r="RME109" s="2"/>
      <c r="RMF109" s="2"/>
      <c r="RMG109" s="5"/>
      <c r="RMH109" s="2"/>
      <c r="RMI109" s="4"/>
      <c r="RMJ109" s="2"/>
      <c r="RMK109" s="3"/>
      <c r="RML109" s="2"/>
      <c r="RMM109" s="2"/>
      <c r="RMN109" s="5"/>
      <c r="RMO109" s="2"/>
      <c r="RMP109" s="4"/>
      <c r="RMQ109" s="2"/>
      <c r="RMR109" s="3"/>
      <c r="RMS109" s="2"/>
      <c r="RMT109" s="2"/>
      <c r="RMU109" s="5"/>
      <c r="RMV109" s="2"/>
      <c r="RMW109" s="4"/>
      <c r="RMX109" s="2"/>
      <c r="RMY109" s="3"/>
      <c r="RMZ109" s="2"/>
      <c r="RNA109" s="2"/>
      <c r="RNB109" s="5"/>
      <c r="RNC109" s="2"/>
      <c r="RND109" s="4"/>
      <c r="RNE109" s="2"/>
      <c r="RNF109" s="3"/>
      <c r="RNG109" s="2"/>
      <c r="RNH109" s="2"/>
      <c r="RNI109" s="5"/>
      <c r="RNJ109" s="2"/>
      <c r="RNK109" s="4"/>
      <c r="RNL109" s="2"/>
      <c r="RNM109" s="3"/>
      <c r="RNN109" s="2"/>
      <c r="RNO109" s="2"/>
      <c r="RNP109" s="5"/>
      <c r="RNQ109" s="2"/>
      <c r="RNR109" s="4"/>
      <c r="RNS109" s="2"/>
      <c r="RNT109" s="3"/>
      <c r="RNU109" s="2"/>
      <c r="RNV109" s="2"/>
      <c r="RNW109" s="5"/>
      <c r="RNX109" s="2"/>
      <c r="RNY109" s="4"/>
      <c r="RNZ109" s="2"/>
      <c r="ROA109" s="3"/>
      <c r="ROB109" s="2"/>
      <c r="ROC109" s="2"/>
      <c r="ROD109" s="5"/>
      <c r="ROE109" s="2"/>
      <c r="ROF109" s="4"/>
      <c r="ROG109" s="2"/>
      <c r="ROH109" s="3"/>
      <c r="ROI109" s="2"/>
      <c r="ROJ109" s="2"/>
      <c r="ROK109" s="5"/>
      <c r="ROL109" s="2"/>
      <c r="ROM109" s="4"/>
      <c r="RON109" s="2"/>
      <c r="ROO109" s="3"/>
      <c r="ROP109" s="2"/>
      <c r="ROQ109" s="2"/>
      <c r="ROR109" s="5"/>
      <c r="ROS109" s="2"/>
      <c r="ROT109" s="4"/>
      <c r="ROU109" s="2"/>
      <c r="ROV109" s="3"/>
      <c r="ROW109" s="2"/>
      <c r="ROX109" s="2"/>
      <c r="ROY109" s="5"/>
      <c r="ROZ109" s="2"/>
      <c r="RPA109" s="4"/>
      <c r="RPB109" s="2"/>
      <c r="RPC109" s="3"/>
      <c r="RPD109" s="2"/>
      <c r="RPE109" s="2"/>
      <c r="RPF109" s="5"/>
      <c r="RPG109" s="2"/>
      <c r="RPH109" s="4"/>
      <c r="RPI109" s="2"/>
      <c r="RPJ109" s="3"/>
      <c r="RPK109" s="2"/>
      <c r="RPL109" s="2"/>
      <c r="RPM109" s="5"/>
      <c r="RPN109" s="2"/>
      <c r="RPO109" s="4"/>
      <c r="RPP109" s="2"/>
      <c r="RPQ109" s="3"/>
      <c r="RPR109" s="2"/>
      <c r="RPS109" s="2"/>
      <c r="RPT109" s="5"/>
      <c r="RPU109" s="2"/>
      <c r="RPV109" s="4"/>
      <c r="RPW109" s="2"/>
      <c r="RPX109" s="3"/>
      <c r="RPY109" s="2"/>
      <c r="RPZ109" s="2"/>
      <c r="RQA109" s="5"/>
      <c r="RQB109" s="2"/>
      <c r="RQC109" s="4"/>
      <c r="RQD109" s="2"/>
      <c r="RQE109" s="3"/>
      <c r="RQF109" s="2"/>
      <c r="RQG109" s="2"/>
      <c r="RQH109" s="5"/>
      <c r="RQI109" s="2"/>
      <c r="RQJ109" s="4"/>
      <c r="RQK109" s="2"/>
      <c r="RQL109" s="3"/>
      <c r="RQM109" s="2"/>
      <c r="RQN109" s="2"/>
      <c r="RQO109" s="5"/>
      <c r="RQP109" s="2"/>
      <c r="RQQ109" s="4"/>
      <c r="RQR109" s="2"/>
      <c r="RQS109" s="3"/>
      <c r="RQT109" s="2"/>
      <c r="RQU109" s="2"/>
      <c r="RQV109" s="5"/>
      <c r="RQW109" s="2"/>
      <c r="RQX109" s="4"/>
      <c r="RQY109" s="2"/>
      <c r="RQZ109" s="3"/>
      <c r="RRA109" s="2"/>
      <c r="RRB109" s="2"/>
      <c r="RRC109" s="5"/>
      <c r="RRD109" s="2"/>
      <c r="RRE109" s="4"/>
      <c r="RRF109" s="2"/>
      <c r="RRG109" s="3"/>
      <c r="RRH109" s="2"/>
      <c r="RRI109" s="2"/>
      <c r="RRJ109" s="5"/>
      <c r="RRK109" s="2"/>
      <c r="RRL109" s="4"/>
      <c r="RRM109" s="2"/>
      <c r="RRN109" s="3"/>
      <c r="RRO109" s="2"/>
      <c r="RRP109" s="2"/>
      <c r="RRQ109" s="5"/>
      <c r="RRR109" s="2"/>
      <c r="RRS109" s="4"/>
      <c r="RRT109" s="2"/>
      <c r="RRU109" s="3"/>
      <c r="RRV109" s="2"/>
      <c r="RRW109" s="2"/>
      <c r="RRX109" s="5"/>
      <c r="RRY109" s="2"/>
      <c r="RRZ109" s="4"/>
      <c r="RSA109" s="2"/>
      <c r="RSB109" s="3"/>
      <c r="RSC109" s="2"/>
      <c r="RSD109" s="2"/>
      <c r="RSE109" s="5"/>
      <c r="RSF109" s="2"/>
      <c r="RSG109" s="4"/>
      <c r="RSH109" s="2"/>
      <c r="RSI109" s="3"/>
      <c r="RSJ109" s="2"/>
      <c r="RSK109" s="2"/>
      <c r="RSL109" s="5"/>
      <c r="RSM109" s="2"/>
      <c r="RSN109" s="4"/>
      <c r="RSO109" s="2"/>
      <c r="RSP109" s="3"/>
      <c r="RSQ109" s="2"/>
      <c r="RSR109" s="2"/>
      <c r="RSS109" s="5"/>
      <c r="RST109" s="2"/>
      <c r="RSU109" s="4"/>
      <c r="RSV109" s="2"/>
      <c r="RSW109" s="3"/>
      <c r="RSX109" s="2"/>
      <c r="RSY109" s="2"/>
      <c r="RSZ109" s="5"/>
      <c r="RTA109" s="2"/>
      <c r="RTB109" s="4"/>
      <c r="RTC109" s="2"/>
      <c r="RTD109" s="3"/>
      <c r="RTE109" s="2"/>
      <c r="RTF109" s="2"/>
      <c r="RTG109" s="5"/>
      <c r="RTH109" s="2"/>
      <c r="RTI109" s="4"/>
      <c r="RTJ109" s="2"/>
      <c r="RTK109" s="3"/>
      <c r="RTL109" s="2"/>
      <c r="RTM109" s="2"/>
      <c r="RTN109" s="5"/>
      <c r="RTO109" s="2"/>
      <c r="RTP109" s="4"/>
      <c r="RTQ109" s="2"/>
      <c r="RTR109" s="3"/>
      <c r="RTS109" s="2"/>
      <c r="RTT109" s="2"/>
      <c r="RTU109" s="5"/>
      <c r="RTV109" s="2"/>
      <c r="RTW109" s="4"/>
      <c r="RTX109" s="2"/>
      <c r="RTY109" s="3"/>
      <c r="RTZ109" s="2"/>
      <c r="RUA109" s="2"/>
      <c r="RUB109" s="5"/>
      <c r="RUC109" s="2"/>
      <c r="RUD109" s="4"/>
      <c r="RUE109" s="2"/>
      <c r="RUF109" s="3"/>
      <c r="RUG109" s="2"/>
      <c r="RUH109" s="2"/>
      <c r="RUI109" s="5"/>
      <c r="RUJ109" s="2"/>
      <c r="RUK109" s="4"/>
      <c r="RUL109" s="2"/>
      <c r="RUM109" s="3"/>
      <c r="RUN109" s="2"/>
      <c r="RUO109" s="2"/>
      <c r="RUP109" s="5"/>
      <c r="RUQ109" s="2"/>
      <c r="RUR109" s="4"/>
      <c r="RUS109" s="2"/>
      <c r="RUT109" s="3"/>
      <c r="RUU109" s="2"/>
      <c r="RUV109" s="2"/>
      <c r="RUW109" s="5"/>
      <c r="RUX109" s="2"/>
      <c r="RUY109" s="4"/>
      <c r="RUZ109" s="2"/>
      <c r="RVA109" s="3"/>
      <c r="RVB109" s="2"/>
      <c r="RVC109" s="2"/>
      <c r="RVD109" s="5"/>
      <c r="RVE109" s="2"/>
      <c r="RVF109" s="4"/>
      <c r="RVG109" s="2"/>
      <c r="RVH109" s="3"/>
      <c r="RVI109" s="2"/>
      <c r="RVJ109" s="2"/>
      <c r="RVK109" s="5"/>
      <c r="RVL109" s="2"/>
      <c r="RVM109" s="4"/>
      <c r="RVN109" s="2"/>
      <c r="RVO109" s="3"/>
      <c r="RVP109" s="2"/>
      <c r="RVQ109" s="2"/>
      <c r="RVR109" s="5"/>
      <c r="RVS109" s="2"/>
      <c r="RVT109" s="4"/>
      <c r="RVU109" s="2"/>
      <c r="RVV109" s="3"/>
      <c r="RVW109" s="2"/>
      <c r="RVX109" s="2"/>
      <c r="RVY109" s="5"/>
      <c r="RVZ109" s="2"/>
      <c r="RWA109" s="4"/>
      <c r="RWB109" s="2"/>
      <c r="RWC109" s="3"/>
      <c r="RWD109" s="2"/>
      <c r="RWE109" s="2"/>
      <c r="RWF109" s="5"/>
      <c r="RWG109" s="2"/>
      <c r="RWH109" s="4"/>
      <c r="RWI109" s="2"/>
      <c r="RWJ109" s="3"/>
      <c r="RWK109" s="2"/>
      <c r="RWL109" s="2"/>
      <c r="RWM109" s="5"/>
      <c r="RWN109" s="2"/>
      <c r="RWO109" s="4"/>
      <c r="RWP109" s="2"/>
      <c r="RWQ109" s="3"/>
      <c r="RWR109" s="2"/>
      <c r="RWS109" s="2"/>
      <c r="RWT109" s="5"/>
      <c r="RWU109" s="2"/>
      <c r="RWV109" s="4"/>
      <c r="RWW109" s="2"/>
      <c r="RWX109" s="3"/>
      <c r="RWY109" s="2"/>
      <c r="RWZ109" s="2"/>
      <c r="RXA109" s="5"/>
      <c r="RXB109" s="2"/>
      <c r="RXC109" s="4"/>
      <c r="RXD109" s="2"/>
      <c r="RXE109" s="3"/>
      <c r="RXF109" s="2"/>
      <c r="RXG109" s="2"/>
      <c r="RXH109" s="5"/>
      <c r="RXI109" s="2"/>
      <c r="RXJ109" s="4"/>
      <c r="RXK109" s="2"/>
      <c r="RXL109" s="3"/>
      <c r="RXM109" s="2"/>
      <c r="RXN109" s="2"/>
      <c r="RXO109" s="5"/>
      <c r="RXP109" s="2"/>
      <c r="RXQ109" s="4"/>
      <c r="RXR109" s="2"/>
      <c r="RXS109" s="3"/>
      <c r="RXT109" s="2"/>
      <c r="RXU109" s="2"/>
      <c r="RXV109" s="5"/>
      <c r="RXW109" s="2"/>
      <c r="RXX109" s="4"/>
      <c r="RXY109" s="2"/>
      <c r="RXZ109" s="3"/>
      <c r="RYA109" s="2"/>
      <c r="RYB109" s="2"/>
      <c r="RYC109" s="5"/>
      <c r="RYD109" s="2"/>
      <c r="RYE109" s="4"/>
      <c r="RYF109" s="2"/>
      <c r="RYG109" s="3"/>
      <c r="RYH109" s="2"/>
      <c r="RYI109" s="2"/>
      <c r="RYJ109" s="5"/>
      <c r="RYK109" s="2"/>
      <c r="RYL109" s="4"/>
      <c r="RYM109" s="2"/>
      <c r="RYN109" s="3"/>
      <c r="RYO109" s="2"/>
      <c r="RYP109" s="2"/>
      <c r="RYQ109" s="5"/>
      <c r="RYR109" s="2"/>
      <c r="RYS109" s="4"/>
      <c r="RYT109" s="2"/>
      <c r="RYU109" s="3"/>
      <c r="RYV109" s="2"/>
      <c r="RYW109" s="2"/>
      <c r="RYX109" s="5"/>
      <c r="RYY109" s="2"/>
      <c r="RYZ109" s="4"/>
      <c r="RZA109" s="2"/>
      <c r="RZB109" s="3"/>
      <c r="RZC109" s="2"/>
      <c r="RZD109" s="2"/>
      <c r="RZE109" s="5"/>
      <c r="RZF109" s="2"/>
      <c r="RZG109" s="4"/>
      <c r="RZH109" s="2"/>
      <c r="RZI109" s="3"/>
      <c r="RZJ109" s="2"/>
      <c r="RZK109" s="2"/>
      <c r="RZL109" s="5"/>
      <c r="RZM109" s="2"/>
      <c r="RZN109" s="4"/>
      <c r="RZO109" s="2"/>
      <c r="RZP109" s="3"/>
      <c r="RZQ109" s="2"/>
      <c r="RZR109" s="2"/>
      <c r="RZS109" s="5"/>
      <c r="RZT109" s="2"/>
      <c r="RZU109" s="4"/>
      <c r="RZV109" s="2"/>
      <c r="RZW109" s="3"/>
      <c r="RZX109" s="2"/>
      <c r="RZY109" s="2"/>
      <c r="RZZ109" s="5"/>
      <c r="SAA109" s="2"/>
      <c r="SAB109" s="4"/>
      <c r="SAC109" s="2"/>
      <c r="SAD109" s="3"/>
      <c r="SAE109" s="2"/>
      <c r="SAF109" s="2"/>
      <c r="SAG109" s="5"/>
      <c r="SAH109" s="2"/>
      <c r="SAI109" s="4"/>
      <c r="SAJ109" s="2"/>
      <c r="SAK109" s="3"/>
      <c r="SAL109" s="2"/>
      <c r="SAM109" s="2"/>
      <c r="SAN109" s="5"/>
      <c r="SAO109" s="2"/>
      <c r="SAP109" s="4"/>
      <c r="SAQ109" s="2"/>
      <c r="SAR109" s="3"/>
      <c r="SAS109" s="2"/>
      <c r="SAT109" s="2"/>
      <c r="SAU109" s="5"/>
      <c r="SAV109" s="2"/>
      <c r="SAW109" s="4"/>
      <c r="SAX109" s="2"/>
      <c r="SAY109" s="3"/>
      <c r="SAZ109" s="2"/>
      <c r="SBA109" s="2"/>
      <c r="SBB109" s="5"/>
      <c r="SBC109" s="2"/>
      <c r="SBD109" s="4"/>
      <c r="SBE109" s="2"/>
      <c r="SBF109" s="3"/>
      <c r="SBG109" s="2"/>
      <c r="SBH109" s="2"/>
      <c r="SBI109" s="5"/>
      <c r="SBJ109" s="2"/>
      <c r="SBK109" s="4"/>
      <c r="SBL109" s="2"/>
      <c r="SBM109" s="3"/>
      <c r="SBN109" s="2"/>
      <c r="SBO109" s="2"/>
      <c r="SBP109" s="5"/>
      <c r="SBQ109" s="2"/>
      <c r="SBR109" s="4"/>
      <c r="SBS109" s="2"/>
      <c r="SBT109" s="3"/>
      <c r="SBU109" s="2"/>
      <c r="SBV109" s="2"/>
      <c r="SBW109" s="5"/>
      <c r="SBX109" s="2"/>
      <c r="SBY109" s="4"/>
      <c r="SBZ109" s="2"/>
      <c r="SCA109" s="3"/>
      <c r="SCB109" s="2"/>
      <c r="SCC109" s="2"/>
      <c r="SCD109" s="5"/>
      <c r="SCE109" s="2"/>
      <c r="SCF109" s="4"/>
      <c r="SCG109" s="2"/>
      <c r="SCH109" s="3"/>
      <c r="SCI109" s="2"/>
      <c r="SCJ109" s="2"/>
      <c r="SCK109" s="5"/>
      <c r="SCL109" s="2"/>
      <c r="SCM109" s="4"/>
      <c r="SCN109" s="2"/>
      <c r="SCO109" s="3"/>
      <c r="SCP109" s="2"/>
      <c r="SCQ109" s="2"/>
      <c r="SCR109" s="5"/>
      <c r="SCS109" s="2"/>
      <c r="SCT109" s="4"/>
      <c r="SCU109" s="2"/>
      <c r="SCV109" s="3"/>
      <c r="SCW109" s="2"/>
      <c r="SCX109" s="2"/>
      <c r="SCY109" s="5"/>
      <c r="SCZ109" s="2"/>
      <c r="SDA109" s="4"/>
      <c r="SDB109" s="2"/>
      <c r="SDC109" s="3"/>
      <c r="SDD109" s="2"/>
      <c r="SDE109" s="2"/>
      <c r="SDF109" s="5"/>
      <c r="SDG109" s="2"/>
      <c r="SDH109" s="4"/>
      <c r="SDI109" s="2"/>
      <c r="SDJ109" s="3"/>
      <c r="SDK109" s="2"/>
      <c r="SDL109" s="2"/>
      <c r="SDM109" s="5"/>
      <c r="SDN109" s="2"/>
      <c r="SDO109" s="4"/>
      <c r="SDP109" s="2"/>
      <c r="SDQ109" s="3"/>
      <c r="SDR109" s="2"/>
      <c r="SDS109" s="2"/>
      <c r="SDT109" s="5"/>
      <c r="SDU109" s="2"/>
      <c r="SDV109" s="4"/>
      <c r="SDW109" s="2"/>
      <c r="SDX109" s="3"/>
      <c r="SDY109" s="2"/>
      <c r="SDZ109" s="2"/>
      <c r="SEA109" s="5"/>
      <c r="SEB109" s="2"/>
      <c r="SEC109" s="4"/>
      <c r="SED109" s="2"/>
      <c r="SEE109" s="3"/>
      <c r="SEF109" s="2"/>
      <c r="SEG109" s="2"/>
      <c r="SEH109" s="5"/>
      <c r="SEI109" s="2"/>
      <c r="SEJ109" s="4"/>
      <c r="SEK109" s="2"/>
      <c r="SEL109" s="3"/>
      <c r="SEM109" s="2"/>
      <c r="SEN109" s="2"/>
      <c r="SEO109" s="5"/>
      <c r="SEP109" s="2"/>
      <c r="SEQ109" s="4"/>
      <c r="SER109" s="2"/>
      <c r="SES109" s="3"/>
      <c r="SET109" s="2"/>
      <c r="SEU109" s="2"/>
      <c r="SEV109" s="5"/>
      <c r="SEW109" s="2"/>
      <c r="SEX109" s="4"/>
      <c r="SEY109" s="2"/>
      <c r="SEZ109" s="3"/>
      <c r="SFA109" s="2"/>
      <c r="SFB109" s="2"/>
      <c r="SFC109" s="5"/>
      <c r="SFD109" s="2"/>
      <c r="SFE109" s="4"/>
      <c r="SFF109" s="2"/>
      <c r="SFG109" s="3"/>
      <c r="SFH109" s="2"/>
      <c r="SFI109" s="2"/>
      <c r="SFJ109" s="5"/>
      <c r="SFK109" s="2"/>
      <c r="SFL109" s="4"/>
      <c r="SFM109" s="2"/>
      <c r="SFN109" s="3"/>
      <c r="SFO109" s="2"/>
      <c r="SFP109" s="2"/>
      <c r="SFQ109" s="5"/>
      <c r="SFR109" s="2"/>
      <c r="SFS109" s="4"/>
      <c r="SFT109" s="2"/>
      <c r="SFU109" s="3"/>
      <c r="SFV109" s="2"/>
      <c r="SFW109" s="2"/>
      <c r="SFX109" s="5"/>
      <c r="SFY109" s="2"/>
      <c r="SFZ109" s="4"/>
      <c r="SGA109" s="2"/>
      <c r="SGB109" s="3"/>
      <c r="SGC109" s="2"/>
      <c r="SGD109" s="2"/>
      <c r="SGE109" s="5"/>
      <c r="SGF109" s="2"/>
      <c r="SGG109" s="4"/>
      <c r="SGH109" s="2"/>
      <c r="SGI109" s="3"/>
      <c r="SGJ109" s="2"/>
      <c r="SGK109" s="2"/>
      <c r="SGL109" s="5"/>
      <c r="SGM109" s="2"/>
      <c r="SGN109" s="4"/>
      <c r="SGO109" s="2"/>
      <c r="SGP109" s="3"/>
      <c r="SGQ109" s="2"/>
      <c r="SGR109" s="2"/>
      <c r="SGS109" s="5"/>
      <c r="SGT109" s="2"/>
      <c r="SGU109" s="4"/>
      <c r="SGV109" s="2"/>
      <c r="SGW109" s="3"/>
      <c r="SGX109" s="2"/>
      <c r="SGY109" s="2"/>
      <c r="SGZ109" s="5"/>
      <c r="SHA109" s="2"/>
      <c r="SHB109" s="4"/>
      <c r="SHC109" s="2"/>
      <c r="SHD109" s="3"/>
      <c r="SHE109" s="2"/>
      <c r="SHF109" s="2"/>
      <c r="SHG109" s="5"/>
      <c r="SHH109" s="2"/>
      <c r="SHI109" s="4"/>
      <c r="SHJ109" s="2"/>
      <c r="SHK109" s="3"/>
      <c r="SHL109" s="2"/>
      <c r="SHM109" s="2"/>
      <c r="SHN109" s="5"/>
      <c r="SHO109" s="2"/>
      <c r="SHP109" s="4"/>
      <c r="SHQ109" s="2"/>
      <c r="SHR109" s="3"/>
      <c r="SHS109" s="2"/>
      <c r="SHT109" s="2"/>
      <c r="SHU109" s="5"/>
      <c r="SHV109" s="2"/>
      <c r="SHW109" s="4"/>
      <c r="SHX109" s="2"/>
      <c r="SHY109" s="3"/>
      <c r="SHZ109" s="2"/>
      <c r="SIA109" s="2"/>
      <c r="SIB109" s="5"/>
      <c r="SIC109" s="2"/>
      <c r="SID109" s="4"/>
      <c r="SIE109" s="2"/>
      <c r="SIF109" s="3"/>
      <c r="SIG109" s="2"/>
      <c r="SIH109" s="2"/>
      <c r="SII109" s="5"/>
      <c r="SIJ109" s="2"/>
      <c r="SIK109" s="4"/>
      <c r="SIL109" s="2"/>
      <c r="SIM109" s="3"/>
      <c r="SIN109" s="2"/>
      <c r="SIO109" s="2"/>
      <c r="SIP109" s="5"/>
      <c r="SIQ109" s="2"/>
      <c r="SIR109" s="4"/>
      <c r="SIS109" s="2"/>
      <c r="SIT109" s="3"/>
      <c r="SIU109" s="2"/>
      <c r="SIV109" s="2"/>
      <c r="SIW109" s="5"/>
      <c r="SIX109" s="2"/>
      <c r="SIY109" s="4"/>
      <c r="SIZ109" s="2"/>
      <c r="SJA109" s="3"/>
      <c r="SJB109" s="2"/>
      <c r="SJC109" s="2"/>
      <c r="SJD109" s="5"/>
      <c r="SJE109" s="2"/>
      <c r="SJF109" s="4"/>
      <c r="SJG109" s="2"/>
      <c r="SJH109" s="3"/>
      <c r="SJI109" s="2"/>
      <c r="SJJ109" s="2"/>
      <c r="SJK109" s="5"/>
      <c r="SJL109" s="2"/>
      <c r="SJM109" s="4"/>
      <c r="SJN109" s="2"/>
      <c r="SJO109" s="3"/>
      <c r="SJP109" s="2"/>
      <c r="SJQ109" s="2"/>
      <c r="SJR109" s="5"/>
      <c r="SJS109" s="2"/>
      <c r="SJT109" s="4"/>
      <c r="SJU109" s="2"/>
      <c r="SJV109" s="3"/>
      <c r="SJW109" s="2"/>
      <c r="SJX109" s="2"/>
      <c r="SJY109" s="5"/>
      <c r="SJZ109" s="2"/>
      <c r="SKA109" s="4"/>
      <c r="SKB109" s="2"/>
      <c r="SKC109" s="3"/>
      <c r="SKD109" s="2"/>
      <c r="SKE109" s="2"/>
      <c r="SKF109" s="5"/>
      <c r="SKG109" s="2"/>
      <c r="SKH109" s="4"/>
      <c r="SKI109" s="2"/>
      <c r="SKJ109" s="3"/>
      <c r="SKK109" s="2"/>
      <c r="SKL109" s="2"/>
      <c r="SKM109" s="5"/>
      <c r="SKN109" s="2"/>
      <c r="SKO109" s="4"/>
      <c r="SKP109" s="2"/>
      <c r="SKQ109" s="3"/>
      <c r="SKR109" s="2"/>
      <c r="SKS109" s="2"/>
      <c r="SKT109" s="5"/>
      <c r="SKU109" s="2"/>
      <c r="SKV109" s="4"/>
      <c r="SKW109" s="2"/>
      <c r="SKX109" s="3"/>
      <c r="SKY109" s="2"/>
      <c r="SKZ109" s="2"/>
      <c r="SLA109" s="5"/>
      <c r="SLB109" s="2"/>
      <c r="SLC109" s="4"/>
      <c r="SLD109" s="2"/>
      <c r="SLE109" s="3"/>
      <c r="SLF109" s="2"/>
      <c r="SLG109" s="2"/>
      <c r="SLH109" s="5"/>
      <c r="SLI109" s="2"/>
      <c r="SLJ109" s="4"/>
      <c r="SLK109" s="2"/>
      <c r="SLL109" s="3"/>
      <c r="SLM109" s="2"/>
      <c r="SLN109" s="2"/>
      <c r="SLO109" s="5"/>
      <c r="SLP109" s="2"/>
      <c r="SLQ109" s="4"/>
      <c r="SLR109" s="2"/>
      <c r="SLS109" s="3"/>
      <c r="SLT109" s="2"/>
      <c r="SLU109" s="2"/>
      <c r="SLV109" s="5"/>
      <c r="SLW109" s="2"/>
      <c r="SLX109" s="4"/>
      <c r="SLY109" s="2"/>
      <c r="SLZ109" s="3"/>
      <c r="SMA109" s="2"/>
      <c r="SMB109" s="2"/>
      <c r="SMC109" s="5"/>
      <c r="SMD109" s="2"/>
      <c r="SME109" s="4"/>
      <c r="SMF109" s="2"/>
      <c r="SMG109" s="3"/>
      <c r="SMH109" s="2"/>
      <c r="SMI109" s="2"/>
      <c r="SMJ109" s="5"/>
      <c r="SMK109" s="2"/>
      <c r="SML109" s="4"/>
      <c r="SMM109" s="2"/>
      <c r="SMN109" s="3"/>
      <c r="SMO109" s="2"/>
      <c r="SMP109" s="2"/>
      <c r="SMQ109" s="5"/>
      <c r="SMR109" s="2"/>
      <c r="SMS109" s="4"/>
      <c r="SMT109" s="2"/>
      <c r="SMU109" s="3"/>
      <c r="SMV109" s="2"/>
      <c r="SMW109" s="2"/>
      <c r="SMX109" s="5"/>
      <c r="SMY109" s="2"/>
      <c r="SMZ109" s="4"/>
      <c r="SNA109" s="2"/>
      <c r="SNB109" s="3"/>
      <c r="SNC109" s="2"/>
      <c r="SND109" s="2"/>
      <c r="SNE109" s="5"/>
      <c r="SNF109" s="2"/>
      <c r="SNG109" s="4"/>
      <c r="SNH109" s="2"/>
      <c r="SNI109" s="3"/>
      <c r="SNJ109" s="2"/>
      <c r="SNK109" s="2"/>
      <c r="SNL109" s="5"/>
      <c r="SNM109" s="2"/>
      <c r="SNN109" s="4"/>
      <c r="SNO109" s="2"/>
      <c r="SNP109" s="3"/>
      <c r="SNQ109" s="2"/>
      <c r="SNR109" s="2"/>
      <c r="SNS109" s="5"/>
      <c r="SNT109" s="2"/>
      <c r="SNU109" s="4"/>
      <c r="SNV109" s="2"/>
      <c r="SNW109" s="3"/>
      <c r="SNX109" s="2"/>
      <c r="SNY109" s="2"/>
      <c r="SNZ109" s="5"/>
      <c r="SOA109" s="2"/>
      <c r="SOB109" s="4"/>
      <c r="SOC109" s="2"/>
      <c r="SOD109" s="3"/>
      <c r="SOE109" s="2"/>
      <c r="SOF109" s="2"/>
      <c r="SOG109" s="5"/>
      <c r="SOH109" s="2"/>
      <c r="SOI109" s="4"/>
      <c r="SOJ109" s="2"/>
      <c r="SOK109" s="3"/>
      <c r="SOL109" s="2"/>
      <c r="SOM109" s="2"/>
      <c r="SON109" s="5"/>
      <c r="SOO109" s="2"/>
      <c r="SOP109" s="4"/>
      <c r="SOQ109" s="2"/>
      <c r="SOR109" s="3"/>
      <c r="SOS109" s="2"/>
      <c r="SOT109" s="2"/>
      <c r="SOU109" s="5"/>
      <c r="SOV109" s="2"/>
      <c r="SOW109" s="4"/>
      <c r="SOX109" s="2"/>
      <c r="SOY109" s="3"/>
      <c r="SOZ109" s="2"/>
      <c r="SPA109" s="2"/>
      <c r="SPB109" s="5"/>
      <c r="SPC109" s="2"/>
      <c r="SPD109" s="4"/>
      <c r="SPE109" s="2"/>
      <c r="SPF109" s="3"/>
      <c r="SPG109" s="2"/>
      <c r="SPH109" s="2"/>
      <c r="SPI109" s="5"/>
      <c r="SPJ109" s="2"/>
      <c r="SPK109" s="4"/>
      <c r="SPL109" s="2"/>
      <c r="SPM109" s="3"/>
      <c r="SPN109" s="2"/>
      <c r="SPO109" s="2"/>
      <c r="SPP109" s="5"/>
      <c r="SPQ109" s="2"/>
      <c r="SPR109" s="4"/>
      <c r="SPS109" s="2"/>
      <c r="SPT109" s="3"/>
      <c r="SPU109" s="2"/>
      <c r="SPV109" s="2"/>
      <c r="SPW109" s="5"/>
      <c r="SPX109" s="2"/>
      <c r="SPY109" s="4"/>
      <c r="SPZ109" s="2"/>
      <c r="SQA109" s="3"/>
      <c r="SQB109" s="2"/>
      <c r="SQC109" s="2"/>
      <c r="SQD109" s="5"/>
      <c r="SQE109" s="2"/>
      <c r="SQF109" s="4"/>
      <c r="SQG109" s="2"/>
      <c r="SQH109" s="3"/>
      <c r="SQI109" s="2"/>
      <c r="SQJ109" s="2"/>
      <c r="SQK109" s="5"/>
      <c r="SQL109" s="2"/>
      <c r="SQM109" s="4"/>
      <c r="SQN109" s="2"/>
      <c r="SQO109" s="3"/>
      <c r="SQP109" s="2"/>
      <c r="SQQ109" s="2"/>
      <c r="SQR109" s="5"/>
      <c r="SQS109" s="2"/>
      <c r="SQT109" s="4"/>
      <c r="SQU109" s="2"/>
      <c r="SQV109" s="3"/>
      <c r="SQW109" s="2"/>
      <c r="SQX109" s="2"/>
      <c r="SQY109" s="5"/>
      <c r="SQZ109" s="2"/>
      <c r="SRA109" s="4"/>
      <c r="SRB109" s="2"/>
      <c r="SRC109" s="3"/>
      <c r="SRD109" s="2"/>
      <c r="SRE109" s="2"/>
      <c r="SRF109" s="5"/>
      <c r="SRG109" s="2"/>
      <c r="SRH109" s="4"/>
      <c r="SRI109" s="2"/>
      <c r="SRJ109" s="3"/>
      <c r="SRK109" s="2"/>
      <c r="SRL109" s="2"/>
      <c r="SRM109" s="5"/>
      <c r="SRN109" s="2"/>
      <c r="SRO109" s="4"/>
      <c r="SRP109" s="2"/>
      <c r="SRQ109" s="3"/>
      <c r="SRR109" s="2"/>
      <c r="SRS109" s="2"/>
      <c r="SRT109" s="5"/>
      <c r="SRU109" s="2"/>
      <c r="SRV109" s="4"/>
      <c r="SRW109" s="2"/>
      <c r="SRX109" s="3"/>
      <c r="SRY109" s="2"/>
      <c r="SRZ109" s="2"/>
      <c r="SSA109" s="5"/>
      <c r="SSB109" s="2"/>
      <c r="SSC109" s="4"/>
      <c r="SSD109" s="2"/>
      <c r="SSE109" s="3"/>
      <c r="SSF109" s="2"/>
      <c r="SSG109" s="2"/>
      <c r="SSH109" s="5"/>
      <c r="SSI109" s="2"/>
      <c r="SSJ109" s="4"/>
      <c r="SSK109" s="2"/>
      <c r="SSL109" s="3"/>
      <c r="SSM109" s="2"/>
      <c r="SSN109" s="2"/>
      <c r="SSO109" s="5"/>
      <c r="SSP109" s="2"/>
      <c r="SSQ109" s="4"/>
      <c r="SSR109" s="2"/>
      <c r="SSS109" s="3"/>
      <c r="SST109" s="2"/>
      <c r="SSU109" s="2"/>
      <c r="SSV109" s="5"/>
      <c r="SSW109" s="2"/>
      <c r="SSX109" s="4"/>
      <c r="SSY109" s="2"/>
      <c r="SSZ109" s="3"/>
      <c r="STA109" s="2"/>
      <c r="STB109" s="2"/>
      <c r="STC109" s="5"/>
      <c r="STD109" s="2"/>
      <c r="STE109" s="4"/>
      <c r="STF109" s="2"/>
      <c r="STG109" s="3"/>
      <c r="STH109" s="2"/>
      <c r="STI109" s="2"/>
      <c r="STJ109" s="5"/>
      <c r="STK109" s="2"/>
      <c r="STL109" s="4"/>
      <c r="STM109" s="2"/>
      <c r="STN109" s="3"/>
      <c r="STO109" s="2"/>
      <c r="STP109" s="2"/>
      <c r="STQ109" s="5"/>
      <c r="STR109" s="2"/>
      <c r="STS109" s="4"/>
      <c r="STT109" s="2"/>
      <c r="STU109" s="3"/>
      <c r="STV109" s="2"/>
      <c r="STW109" s="2"/>
      <c r="STX109" s="5"/>
      <c r="STY109" s="2"/>
      <c r="STZ109" s="4"/>
      <c r="SUA109" s="2"/>
      <c r="SUB109" s="3"/>
      <c r="SUC109" s="2"/>
      <c r="SUD109" s="2"/>
      <c r="SUE109" s="5"/>
      <c r="SUF109" s="2"/>
      <c r="SUG109" s="4"/>
      <c r="SUH109" s="2"/>
      <c r="SUI109" s="3"/>
      <c r="SUJ109" s="2"/>
      <c r="SUK109" s="2"/>
      <c r="SUL109" s="5"/>
      <c r="SUM109" s="2"/>
      <c r="SUN109" s="4"/>
      <c r="SUO109" s="2"/>
      <c r="SUP109" s="3"/>
      <c r="SUQ109" s="2"/>
      <c r="SUR109" s="2"/>
      <c r="SUS109" s="5"/>
      <c r="SUT109" s="2"/>
      <c r="SUU109" s="4"/>
      <c r="SUV109" s="2"/>
      <c r="SUW109" s="3"/>
      <c r="SUX109" s="2"/>
      <c r="SUY109" s="2"/>
      <c r="SUZ109" s="5"/>
      <c r="SVA109" s="2"/>
      <c r="SVB109" s="4"/>
      <c r="SVC109" s="2"/>
      <c r="SVD109" s="3"/>
      <c r="SVE109" s="2"/>
      <c r="SVF109" s="2"/>
      <c r="SVG109" s="5"/>
      <c r="SVH109" s="2"/>
      <c r="SVI109" s="4"/>
      <c r="SVJ109" s="2"/>
      <c r="SVK109" s="3"/>
      <c r="SVL109" s="2"/>
      <c r="SVM109" s="2"/>
      <c r="SVN109" s="5"/>
      <c r="SVO109" s="2"/>
      <c r="SVP109" s="4"/>
      <c r="SVQ109" s="2"/>
      <c r="SVR109" s="3"/>
      <c r="SVS109" s="2"/>
      <c r="SVT109" s="2"/>
      <c r="SVU109" s="5"/>
      <c r="SVV109" s="2"/>
      <c r="SVW109" s="4"/>
      <c r="SVX109" s="2"/>
      <c r="SVY109" s="3"/>
      <c r="SVZ109" s="2"/>
      <c r="SWA109" s="2"/>
      <c r="SWB109" s="5"/>
      <c r="SWC109" s="2"/>
      <c r="SWD109" s="4"/>
      <c r="SWE109" s="2"/>
      <c r="SWF109" s="3"/>
      <c r="SWG109" s="2"/>
      <c r="SWH109" s="2"/>
      <c r="SWI109" s="5"/>
      <c r="SWJ109" s="2"/>
      <c r="SWK109" s="4"/>
      <c r="SWL109" s="2"/>
      <c r="SWM109" s="3"/>
      <c r="SWN109" s="2"/>
      <c r="SWO109" s="2"/>
      <c r="SWP109" s="5"/>
      <c r="SWQ109" s="2"/>
      <c r="SWR109" s="4"/>
      <c r="SWS109" s="2"/>
      <c r="SWT109" s="3"/>
      <c r="SWU109" s="2"/>
      <c r="SWV109" s="2"/>
      <c r="SWW109" s="5"/>
      <c r="SWX109" s="2"/>
      <c r="SWY109" s="4"/>
      <c r="SWZ109" s="2"/>
      <c r="SXA109" s="3"/>
      <c r="SXB109" s="2"/>
      <c r="SXC109" s="2"/>
      <c r="SXD109" s="5"/>
      <c r="SXE109" s="2"/>
      <c r="SXF109" s="4"/>
      <c r="SXG109" s="2"/>
      <c r="SXH109" s="3"/>
      <c r="SXI109" s="2"/>
      <c r="SXJ109" s="2"/>
      <c r="SXK109" s="5"/>
      <c r="SXL109" s="2"/>
      <c r="SXM109" s="4"/>
      <c r="SXN109" s="2"/>
      <c r="SXO109" s="3"/>
      <c r="SXP109" s="2"/>
      <c r="SXQ109" s="2"/>
      <c r="SXR109" s="5"/>
      <c r="SXS109" s="2"/>
      <c r="SXT109" s="4"/>
      <c r="SXU109" s="2"/>
      <c r="SXV109" s="3"/>
      <c r="SXW109" s="2"/>
      <c r="SXX109" s="2"/>
      <c r="SXY109" s="5"/>
      <c r="SXZ109" s="2"/>
      <c r="SYA109" s="4"/>
      <c r="SYB109" s="2"/>
      <c r="SYC109" s="3"/>
      <c r="SYD109" s="2"/>
      <c r="SYE109" s="2"/>
      <c r="SYF109" s="5"/>
      <c r="SYG109" s="2"/>
      <c r="SYH109" s="4"/>
      <c r="SYI109" s="2"/>
      <c r="SYJ109" s="3"/>
      <c r="SYK109" s="2"/>
      <c r="SYL109" s="2"/>
      <c r="SYM109" s="5"/>
      <c r="SYN109" s="2"/>
      <c r="SYO109" s="4"/>
      <c r="SYP109" s="2"/>
      <c r="SYQ109" s="3"/>
      <c r="SYR109" s="2"/>
      <c r="SYS109" s="2"/>
      <c r="SYT109" s="5"/>
      <c r="SYU109" s="2"/>
      <c r="SYV109" s="4"/>
      <c r="SYW109" s="2"/>
      <c r="SYX109" s="3"/>
      <c r="SYY109" s="2"/>
      <c r="SYZ109" s="2"/>
      <c r="SZA109" s="5"/>
      <c r="SZB109" s="2"/>
      <c r="SZC109" s="4"/>
      <c r="SZD109" s="2"/>
      <c r="SZE109" s="3"/>
      <c r="SZF109" s="2"/>
      <c r="SZG109" s="2"/>
      <c r="SZH109" s="5"/>
      <c r="SZI109" s="2"/>
      <c r="SZJ109" s="4"/>
      <c r="SZK109" s="2"/>
      <c r="SZL109" s="3"/>
      <c r="SZM109" s="2"/>
      <c r="SZN109" s="2"/>
      <c r="SZO109" s="5"/>
      <c r="SZP109" s="2"/>
      <c r="SZQ109" s="4"/>
      <c r="SZR109" s="2"/>
      <c r="SZS109" s="3"/>
      <c r="SZT109" s="2"/>
      <c r="SZU109" s="2"/>
      <c r="SZV109" s="5"/>
      <c r="SZW109" s="2"/>
      <c r="SZX109" s="4"/>
      <c r="SZY109" s="2"/>
      <c r="SZZ109" s="3"/>
      <c r="TAA109" s="2"/>
      <c r="TAB109" s="2"/>
      <c r="TAC109" s="5"/>
      <c r="TAD109" s="2"/>
      <c r="TAE109" s="4"/>
      <c r="TAF109" s="2"/>
      <c r="TAG109" s="3"/>
      <c r="TAH109" s="2"/>
      <c r="TAI109" s="2"/>
      <c r="TAJ109" s="5"/>
      <c r="TAK109" s="2"/>
      <c r="TAL109" s="4"/>
      <c r="TAM109" s="2"/>
      <c r="TAN109" s="3"/>
      <c r="TAO109" s="2"/>
      <c r="TAP109" s="2"/>
      <c r="TAQ109" s="5"/>
      <c r="TAR109" s="2"/>
      <c r="TAS109" s="4"/>
      <c r="TAT109" s="2"/>
      <c r="TAU109" s="3"/>
      <c r="TAV109" s="2"/>
      <c r="TAW109" s="2"/>
      <c r="TAX109" s="5"/>
      <c r="TAY109" s="2"/>
      <c r="TAZ109" s="4"/>
      <c r="TBA109" s="2"/>
      <c r="TBB109" s="3"/>
      <c r="TBC109" s="2"/>
      <c r="TBD109" s="2"/>
      <c r="TBE109" s="5"/>
      <c r="TBF109" s="2"/>
      <c r="TBG109" s="4"/>
      <c r="TBH109" s="2"/>
      <c r="TBI109" s="3"/>
      <c r="TBJ109" s="2"/>
      <c r="TBK109" s="2"/>
      <c r="TBL109" s="5"/>
      <c r="TBM109" s="2"/>
      <c r="TBN109" s="4"/>
      <c r="TBO109" s="2"/>
      <c r="TBP109" s="3"/>
      <c r="TBQ109" s="2"/>
      <c r="TBR109" s="2"/>
      <c r="TBS109" s="5"/>
      <c r="TBT109" s="2"/>
      <c r="TBU109" s="4"/>
      <c r="TBV109" s="2"/>
      <c r="TBW109" s="3"/>
      <c r="TBX109" s="2"/>
      <c r="TBY109" s="2"/>
      <c r="TBZ109" s="5"/>
      <c r="TCA109" s="2"/>
      <c r="TCB109" s="4"/>
      <c r="TCC109" s="2"/>
      <c r="TCD109" s="3"/>
      <c r="TCE109" s="2"/>
      <c r="TCF109" s="2"/>
      <c r="TCG109" s="5"/>
      <c r="TCH109" s="2"/>
      <c r="TCI109" s="4"/>
      <c r="TCJ109" s="2"/>
      <c r="TCK109" s="3"/>
      <c r="TCL109" s="2"/>
      <c r="TCM109" s="2"/>
      <c r="TCN109" s="5"/>
      <c r="TCO109" s="2"/>
      <c r="TCP109" s="4"/>
      <c r="TCQ109" s="2"/>
      <c r="TCR109" s="3"/>
      <c r="TCS109" s="2"/>
      <c r="TCT109" s="2"/>
      <c r="TCU109" s="5"/>
      <c r="TCV109" s="2"/>
      <c r="TCW109" s="4"/>
      <c r="TCX109" s="2"/>
      <c r="TCY109" s="3"/>
      <c r="TCZ109" s="2"/>
      <c r="TDA109" s="2"/>
      <c r="TDB109" s="5"/>
      <c r="TDC109" s="2"/>
      <c r="TDD109" s="4"/>
      <c r="TDE109" s="2"/>
      <c r="TDF109" s="3"/>
      <c r="TDG109" s="2"/>
      <c r="TDH109" s="2"/>
      <c r="TDI109" s="5"/>
      <c r="TDJ109" s="2"/>
      <c r="TDK109" s="4"/>
      <c r="TDL109" s="2"/>
      <c r="TDM109" s="3"/>
      <c r="TDN109" s="2"/>
      <c r="TDO109" s="2"/>
      <c r="TDP109" s="5"/>
      <c r="TDQ109" s="2"/>
      <c r="TDR109" s="4"/>
      <c r="TDS109" s="2"/>
      <c r="TDT109" s="3"/>
      <c r="TDU109" s="2"/>
      <c r="TDV109" s="2"/>
      <c r="TDW109" s="5"/>
      <c r="TDX109" s="2"/>
      <c r="TDY109" s="4"/>
      <c r="TDZ109" s="2"/>
      <c r="TEA109" s="3"/>
      <c r="TEB109" s="2"/>
      <c r="TEC109" s="2"/>
      <c r="TED109" s="5"/>
      <c r="TEE109" s="2"/>
      <c r="TEF109" s="4"/>
      <c r="TEG109" s="2"/>
      <c r="TEH109" s="3"/>
      <c r="TEI109" s="2"/>
      <c r="TEJ109" s="2"/>
      <c r="TEK109" s="5"/>
      <c r="TEL109" s="2"/>
      <c r="TEM109" s="4"/>
      <c r="TEN109" s="2"/>
      <c r="TEO109" s="3"/>
      <c r="TEP109" s="2"/>
      <c r="TEQ109" s="2"/>
      <c r="TER109" s="5"/>
      <c r="TES109" s="2"/>
      <c r="TET109" s="4"/>
      <c r="TEU109" s="2"/>
      <c r="TEV109" s="3"/>
      <c r="TEW109" s="2"/>
      <c r="TEX109" s="2"/>
      <c r="TEY109" s="5"/>
      <c r="TEZ109" s="2"/>
      <c r="TFA109" s="4"/>
      <c r="TFB109" s="2"/>
      <c r="TFC109" s="3"/>
      <c r="TFD109" s="2"/>
      <c r="TFE109" s="2"/>
      <c r="TFF109" s="5"/>
      <c r="TFG109" s="2"/>
      <c r="TFH109" s="4"/>
      <c r="TFI109" s="2"/>
      <c r="TFJ109" s="3"/>
      <c r="TFK109" s="2"/>
      <c r="TFL109" s="2"/>
      <c r="TFM109" s="5"/>
      <c r="TFN109" s="2"/>
      <c r="TFO109" s="4"/>
      <c r="TFP109" s="2"/>
      <c r="TFQ109" s="3"/>
      <c r="TFR109" s="2"/>
      <c r="TFS109" s="2"/>
      <c r="TFT109" s="5"/>
      <c r="TFU109" s="2"/>
      <c r="TFV109" s="4"/>
      <c r="TFW109" s="2"/>
      <c r="TFX109" s="3"/>
      <c r="TFY109" s="2"/>
      <c r="TFZ109" s="2"/>
      <c r="TGA109" s="5"/>
      <c r="TGB109" s="2"/>
      <c r="TGC109" s="4"/>
      <c r="TGD109" s="2"/>
      <c r="TGE109" s="3"/>
      <c r="TGF109" s="2"/>
      <c r="TGG109" s="2"/>
      <c r="TGH109" s="5"/>
      <c r="TGI109" s="2"/>
      <c r="TGJ109" s="4"/>
      <c r="TGK109" s="2"/>
      <c r="TGL109" s="3"/>
      <c r="TGM109" s="2"/>
      <c r="TGN109" s="2"/>
      <c r="TGO109" s="5"/>
      <c r="TGP109" s="2"/>
      <c r="TGQ109" s="4"/>
      <c r="TGR109" s="2"/>
      <c r="TGS109" s="3"/>
      <c r="TGT109" s="2"/>
      <c r="TGU109" s="2"/>
      <c r="TGV109" s="5"/>
      <c r="TGW109" s="2"/>
      <c r="TGX109" s="4"/>
      <c r="TGY109" s="2"/>
      <c r="TGZ109" s="3"/>
      <c r="THA109" s="2"/>
      <c r="THB109" s="2"/>
      <c r="THC109" s="5"/>
      <c r="THD109" s="2"/>
      <c r="THE109" s="4"/>
      <c r="THF109" s="2"/>
      <c r="THG109" s="3"/>
      <c r="THH109" s="2"/>
      <c r="THI109" s="2"/>
      <c r="THJ109" s="5"/>
      <c r="THK109" s="2"/>
      <c r="THL109" s="4"/>
      <c r="THM109" s="2"/>
      <c r="THN109" s="3"/>
      <c r="THO109" s="2"/>
      <c r="THP109" s="2"/>
      <c r="THQ109" s="5"/>
      <c r="THR109" s="2"/>
      <c r="THS109" s="4"/>
      <c r="THT109" s="2"/>
      <c r="THU109" s="3"/>
      <c r="THV109" s="2"/>
      <c r="THW109" s="2"/>
      <c r="THX109" s="5"/>
      <c r="THY109" s="2"/>
      <c r="THZ109" s="4"/>
      <c r="TIA109" s="2"/>
      <c r="TIB109" s="3"/>
      <c r="TIC109" s="2"/>
      <c r="TID109" s="2"/>
      <c r="TIE109" s="5"/>
      <c r="TIF109" s="2"/>
      <c r="TIG109" s="4"/>
      <c r="TIH109" s="2"/>
      <c r="TII109" s="3"/>
      <c r="TIJ109" s="2"/>
      <c r="TIK109" s="2"/>
      <c r="TIL109" s="5"/>
      <c r="TIM109" s="2"/>
      <c r="TIN109" s="4"/>
      <c r="TIO109" s="2"/>
      <c r="TIP109" s="3"/>
      <c r="TIQ109" s="2"/>
      <c r="TIR109" s="2"/>
      <c r="TIS109" s="5"/>
      <c r="TIT109" s="2"/>
      <c r="TIU109" s="4"/>
      <c r="TIV109" s="2"/>
      <c r="TIW109" s="3"/>
      <c r="TIX109" s="2"/>
      <c r="TIY109" s="2"/>
      <c r="TIZ109" s="5"/>
      <c r="TJA109" s="2"/>
      <c r="TJB109" s="4"/>
      <c r="TJC109" s="2"/>
      <c r="TJD109" s="3"/>
      <c r="TJE109" s="2"/>
      <c r="TJF109" s="2"/>
      <c r="TJG109" s="5"/>
      <c r="TJH109" s="2"/>
      <c r="TJI109" s="4"/>
      <c r="TJJ109" s="2"/>
      <c r="TJK109" s="3"/>
      <c r="TJL109" s="2"/>
      <c r="TJM109" s="2"/>
      <c r="TJN109" s="5"/>
      <c r="TJO109" s="2"/>
      <c r="TJP109" s="4"/>
      <c r="TJQ109" s="2"/>
      <c r="TJR109" s="3"/>
      <c r="TJS109" s="2"/>
      <c r="TJT109" s="2"/>
      <c r="TJU109" s="5"/>
      <c r="TJV109" s="2"/>
      <c r="TJW109" s="4"/>
      <c r="TJX109" s="2"/>
      <c r="TJY109" s="3"/>
      <c r="TJZ109" s="2"/>
      <c r="TKA109" s="2"/>
      <c r="TKB109" s="5"/>
      <c r="TKC109" s="2"/>
      <c r="TKD109" s="4"/>
      <c r="TKE109" s="2"/>
      <c r="TKF109" s="3"/>
      <c r="TKG109" s="2"/>
      <c r="TKH109" s="2"/>
      <c r="TKI109" s="5"/>
      <c r="TKJ109" s="2"/>
      <c r="TKK109" s="4"/>
      <c r="TKL109" s="2"/>
      <c r="TKM109" s="3"/>
      <c r="TKN109" s="2"/>
      <c r="TKO109" s="2"/>
      <c r="TKP109" s="5"/>
      <c r="TKQ109" s="2"/>
      <c r="TKR109" s="4"/>
      <c r="TKS109" s="2"/>
      <c r="TKT109" s="3"/>
      <c r="TKU109" s="2"/>
      <c r="TKV109" s="2"/>
      <c r="TKW109" s="5"/>
      <c r="TKX109" s="2"/>
      <c r="TKY109" s="4"/>
      <c r="TKZ109" s="2"/>
      <c r="TLA109" s="3"/>
      <c r="TLB109" s="2"/>
      <c r="TLC109" s="2"/>
      <c r="TLD109" s="5"/>
      <c r="TLE109" s="2"/>
      <c r="TLF109" s="4"/>
      <c r="TLG109" s="2"/>
      <c r="TLH109" s="3"/>
      <c r="TLI109" s="2"/>
      <c r="TLJ109" s="2"/>
      <c r="TLK109" s="5"/>
      <c r="TLL109" s="2"/>
      <c r="TLM109" s="4"/>
      <c r="TLN109" s="2"/>
      <c r="TLO109" s="3"/>
      <c r="TLP109" s="2"/>
      <c r="TLQ109" s="2"/>
      <c r="TLR109" s="5"/>
      <c r="TLS109" s="2"/>
      <c r="TLT109" s="4"/>
      <c r="TLU109" s="2"/>
      <c r="TLV109" s="3"/>
      <c r="TLW109" s="2"/>
      <c r="TLX109" s="2"/>
      <c r="TLY109" s="5"/>
      <c r="TLZ109" s="2"/>
      <c r="TMA109" s="4"/>
      <c r="TMB109" s="2"/>
      <c r="TMC109" s="3"/>
      <c r="TMD109" s="2"/>
      <c r="TME109" s="2"/>
      <c r="TMF109" s="5"/>
      <c r="TMG109" s="2"/>
      <c r="TMH109" s="4"/>
      <c r="TMI109" s="2"/>
      <c r="TMJ109" s="3"/>
      <c r="TMK109" s="2"/>
      <c r="TML109" s="2"/>
      <c r="TMM109" s="5"/>
      <c r="TMN109" s="2"/>
      <c r="TMO109" s="4"/>
      <c r="TMP109" s="2"/>
      <c r="TMQ109" s="3"/>
      <c r="TMR109" s="2"/>
      <c r="TMS109" s="2"/>
      <c r="TMT109" s="5"/>
      <c r="TMU109" s="2"/>
      <c r="TMV109" s="4"/>
      <c r="TMW109" s="2"/>
      <c r="TMX109" s="3"/>
      <c r="TMY109" s="2"/>
      <c r="TMZ109" s="2"/>
      <c r="TNA109" s="5"/>
      <c r="TNB109" s="2"/>
      <c r="TNC109" s="4"/>
      <c r="TND109" s="2"/>
      <c r="TNE109" s="3"/>
      <c r="TNF109" s="2"/>
      <c r="TNG109" s="2"/>
      <c r="TNH109" s="5"/>
      <c r="TNI109" s="2"/>
      <c r="TNJ109" s="4"/>
      <c r="TNK109" s="2"/>
      <c r="TNL109" s="3"/>
      <c r="TNM109" s="2"/>
      <c r="TNN109" s="2"/>
      <c r="TNO109" s="5"/>
      <c r="TNP109" s="2"/>
      <c r="TNQ109" s="4"/>
      <c r="TNR109" s="2"/>
      <c r="TNS109" s="3"/>
      <c r="TNT109" s="2"/>
      <c r="TNU109" s="2"/>
      <c r="TNV109" s="5"/>
      <c r="TNW109" s="2"/>
      <c r="TNX109" s="4"/>
      <c r="TNY109" s="2"/>
      <c r="TNZ109" s="3"/>
      <c r="TOA109" s="2"/>
      <c r="TOB109" s="2"/>
      <c r="TOC109" s="5"/>
      <c r="TOD109" s="2"/>
      <c r="TOE109" s="4"/>
      <c r="TOF109" s="2"/>
      <c r="TOG109" s="3"/>
      <c r="TOH109" s="2"/>
      <c r="TOI109" s="2"/>
      <c r="TOJ109" s="5"/>
      <c r="TOK109" s="2"/>
      <c r="TOL109" s="4"/>
      <c r="TOM109" s="2"/>
      <c r="TON109" s="3"/>
      <c r="TOO109" s="2"/>
      <c r="TOP109" s="2"/>
      <c r="TOQ109" s="5"/>
      <c r="TOR109" s="2"/>
      <c r="TOS109" s="4"/>
      <c r="TOT109" s="2"/>
      <c r="TOU109" s="3"/>
      <c r="TOV109" s="2"/>
      <c r="TOW109" s="2"/>
      <c r="TOX109" s="5"/>
      <c r="TOY109" s="2"/>
      <c r="TOZ109" s="4"/>
      <c r="TPA109" s="2"/>
      <c r="TPB109" s="3"/>
      <c r="TPC109" s="2"/>
      <c r="TPD109" s="2"/>
      <c r="TPE109" s="5"/>
      <c r="TPF109" s="2"/>
      <c r="TPG109" s="4"/>
      <c r="TPH109" s="2"/>
      <c r="TPI109" s="3"/>
      <c r="TPJ109" s="2"/>
      <c r="TPK109" s="2"/>
      <c r="TPL109" s="5"/>
      <c r="TPM109" s="2"/>
      <c r="TPN109" s="4"/>
      <c r="TPO109" s="2"/>
      <c r="TPP109" s="3"/>
      <c r="TPQ109" s="2"/>
      <c r="TPR109" s="2"/>
      <c r="TPS109" s="5"/>
      <c r="TPT109" s="2"/>
      <c r="TPU109" s="4"/>
      <c r="TPV109" s="2"/>
      <c r="TPW109" s="3"/>
      <c r="TPX109" s="2"/>
      <c r="TPY109" s="2"/>
      <c r="TPZ109" s="5"/>
      <c r="TQA109" s="2"/>
      <c r="TQB109" s="4"/>
      <c r="TQC109" s="2"/>
      <c r="TQD109" s="3"/>
      <c r="TQE109" s="2"/>
      <c r="TQF109" s="2"/>
      <c r="TQG109" s="5"/>
      <c r="TQH109" s="2"/>
      <c r="TQI109" s="4"/>
      <c r="TQJ109" s="2"/>
      <c r="TQK109" s="3"/>
      <c r="TQL109" s="2"/>
      <c r="TQM109" s="2"/>
      <c r="TQN109" s="5"/>
      <c r="TQO109" s="2"/>
      <c r="TQP109" s="4"/>
      <c r="TQQ109" s="2"/>
      <c r="TQR109" s="3"/>
      <c r="TQS109" s="2"/>
      <c r="TQT109" s="2"/>
      <c r="TQU109" s="5"/>
      <c r="TQV109" s="2"/>
      <c r="TQW109" s="4"/>
      <c r="TQX109" s="2"/>
      <c r="TQY109" s="3"/>
      <c r="TQZ109" s="2"/>
      <c r="TRA109" s="2"/>
      <c r="TRB109" s="5"/>
      <c r="TRC109" s="2"/>
      <c r="TRD109" s="4"/>
      <c r="TRE109" s="2"/>
      <c r="TRF109" s="3"/>
      <c r="TRG109" s="2"/>
      <c r="TRH109" s="2"/>
      <c r="TRI109" s="5"/>
      <c r="TRJ109" s="2"/>
      <c r="TRK109" s="4"/>
      <c r="TRL109" s="2"/>
      <c r="TRM109" s="3"/>
      <c r="TRN109" s="2"/>
      <c r="TRO109" s="2"/>
      <c r="TRP109" s="5"/>
      <c r="TRQ109" s="2"/>
      <c r="TRR109" s="4"/>
      <c r="TRS109" s="2"/>
      <c r="TRT109" s="3"/>
      <c r="TRU109" s="2"/>
      <c r="TRV109" s="2"/>
      <c r="TRW109" s="5"/>
      <c r="TRX109" s="2"/>
      <c r="TRY109" s="4"/>
      <c r="TRZ109" s="2"/>
      <c r="TSA109" s="3"/>
      <c r="TSB109" s="2"/>
      <c r="TSC109" s="2"/>
      <c r="TSD109" s="5"/>
      <c r="TSE109" s="2"/>
      <c r="TSF109" s="4"/>
      <c r="TSG109" s="2"/>
      <c r="TSH109" s="3"/>
      <c r="TSI109" s="2"/>
      <c r="TSJ109" s="2"/>
      <c r="TSK109" s="5"/>
      <c r="TSL109" s="2"/>
      <c r="TSM109" s="4"/>
      <c r="TSN109" s="2"/>
      <c r="TSO109" s="3"/>
      <c r="TSP109" s="2"/>
      <c r="TSQ109" s="2"/>
      <c r="TSR109" s="5"/>
      <c r="TSS109" s="2"/>
      <c r="TST109" s="4"/>
      <c r="TSU109" s="2"/>
      <c r="TSV109" s="3"/>
      <c r="TSW109" s="2"/>
      <c r="TSX109" s="2"/>
      <c r="TSY109" s="5"/>
      <c r="TSZ109" s="2"/>
      <c r="TTA109" s="4"/>
      <c r="TTB109" s="2"/>
      <c r="TTC109" s="3"/>
      <c r="TTD109" s="2"/>
      <c r="TTE109" s="2"/>
      <c r="TTF109" s="5"/>
      <c r="TTG109" s="2"/>
      <c r="TTH109" s="4"/>
      <c r="TTI109" s="2"/>
      <c r="TTJ109" s="3"/>
      <c r="TTK109" s="2"/>
      <c r="TTL109" s="2"/>
      <c r="TTM109" s="5"/>
      <c r="TTN109" s="2"/>
      <c r="TTO109" s="4"/>
      <c r="TTP109" s="2"/>
      <c r="TTQ109" s="3"/>
      <c r="TTR109" s="2"/>
      <c r="TTS109" s="2"/>
      <c r="TTT109" s="5"/>
      <c r="TTU109" s="2"/>
      <c r="TTV109" s="4"/>
      <c r="TTW109" s="2"/>
      <c r="TTX109" s="3"/>
      <c r="TTY109" s="2"/>
      <c r="TTZ109" s="2"/>
      <c r="TUA109" s="5"/>
      <c r="TUB109" s="2"/>
      <c r="TUC109" s="4"/>
      <c r="TUD109" s="2"/>
      <c r="TUE109" s="3"/>
      <c r="TUF109" s="2"/>
      <c r="TUG109" s="2"/>
      <c r="TUH109" s="5"/>
      <c r="TUI109" s="2"/>
      <c r="TUJ109" s="4"/>
      <c r="TUK109" s="2"/>
      <c r="TUL109" s="3"/>
      <c r="TUM109" s="2"/>
      <c r="TUN109" s="2"/>
      <c r="TUO109" s="5"/>
      <c r="TUP109" s="2"/>
      <c r="TUQ109" s="4"/>
      <c r="TUR109" s="2"/>
      <c r="TUS109" s="3"/>
      <c r="TUT109" s="2"/>
      <c r="TUU109" s="2"/>
      <c r="TUV109" s="5"/>
      <c r="TUW109" s="2"/>
      <c r="TUX109" s="4"/>
      <c r="TUY109" s="2"/>
      <c r="TUZ109" s="3"/>
      <c r="TVA109" s="2"/>
      <c r="TVB109" s="2"/>
      <c r="TVC109" s="5"/>
      <c r="TVD109" s="2"/>
      <c r="TVE109" s="4"/>
      <c r="TVF109" s="2"/>
      <c r="TVG109" s="3"/>
      <c r="TVH109" s="2"/>
      <c r="TVI109" s="2"/>
      <c r="TVJ109" s="5"/>
      <c r="TVK109" s="2"/>
      <c r="TVL109" s="4"/>
      <c r="TVM109" s="2"/>
      <c r="TVN109" s="3"/>
      <c r="TVO109" s="2"/>
      <c r="TVP109" s="2"/>
      <c r="TVQ109" s="5"/>
      <c r="TVR109" s="2"/>
      <c r="TVS109" s="4"/>
      <c r="TVT109" s="2"/>
      <c r="TVU109" s="3"/>
      <c r="TVV109" s="2"/>
      <c r="TVW109" s="2"/>
      <c r="TVX109" s="5"/>
      <c r="TVY109" s="2"/>
      <c r="TVZ109" s="4"/>
      <c r="TWA109" s="2"/>
      <c r="TWB109" s="3"/>
      <c r="TWC109" s="2"/>
      <c r="TWD109" s="2"/>
      <c r="TWE109" s="5"/>
      <c r="TWF109" s="2"/>
      <c r="TWG109" s="4"/>
      <c r="TWH109" s="2"/>
      <c r="TWI109" s="3"/>
      <c r="TWJ109" s="2"/>
      <c r="TWK109" s="2"/>
      <c r="TWL109" s="5"/>
      <c r="TWM109" s="2"/>
      <c r="TWN109" s="4"/>
      <c r="TWO109" s="2"/>
      <c r="TWP109" s="3"/>
      <c r="TWQ109" s="2"/>
      <c r="TWR109" s="2"/>
      <c r="TWS109" s="5"/>
      <c r="TWT109" s="2"/>
      <c r="TWU109" s="4"/>
      <c r="TWV109" s="2"/>
      <c r="TWW109" s="3"/>
      <c r="TWX109" s="2"/>
      <c r="TWY109" s="2"/>
      <c r="TWZ109" s="5"/>
      <c r="TXA109" s="2"/>
      <c r="TXB109" s="4"/>
      <c r="TXC109" s="2"/>
      <c r="TXD109" s="3"/>
      <c r="TXE109" s="2"/>
      <c r="TXF109" s="2"/>
      <c r="TXG109" s="5"/>
      <c r="TXH109" s="2"/>
      <c r="TXI109" s="4"/>
      <c r="TXJ109" s="2"/>
      <c r="TXK109" s="3"/>
      <c r="TXL109" s="2"/>
      <c r="TXM109" s="2"/>
      <c r="TXN109" s="5"/>
      <c r="TXO109" s="2"/>
      <c r="TXP109" s="4"/>
      <c r="TXQ109" s="2"/>
      <c r="TXR109" s="3"/>
      <c r="TXS109" s="2"/>
      <c r="TXT109" s="2"/>
      <c r="TXU109" s="5"/>
      <c r="TXV109" s="2"/>
      <c r="TXW109" s="4"/>
      <c r="TXX109" s="2"/>
      <c r="TXY109" s="3"/>
      <c r="TXZ109" s="2"/>
      <c r="TYA109" s="2"/>
      <c r="TYB109" s="5"/>
      <c r="TYC109" s="2"/>
      <c r="TYD109" s="4"/>
      <c r="TYE109" s="2"/>
      <c r="TYF109" s="3"/>
      <c r="TYG109" s="2"/>
      <c r="TYH109" s="2"/>
      <c r="TYI109" s="5"/>
      <c r="TYJ109" s="2"/>
      <c r="TYK109" s="4"/>
      <c r="TYL109" s="2"/>
      <c r="TYM109" s="3"/>
      <c r="TYN109" s="2"/>
      <c r="TYO109" s="2"/>
      <c r="TYP109" s="5"/>
      <c r="TYQ109" s="2"/>
      <c r="TYR109" s="4"/>
      <c r="TYS109" s="2"/>
      <c r="TYT109" s="3"/>
      <c r="TYU109" s="2"/>
      <c r="TYV109" s="2"/>
      <c r="TYW109" s="5"/>
      <c r="TYX109" s="2"/>
      <c r="TYY109" s="4"/>
      <c r="TYZ109" s="2"/>
      <c r="TZA109" s="3"/>
      <c r="TZB109" s="2"/>
      <c r="TZC109" s="2"/>
      <c r="TZD109" s="5"/>
      <c r="TZE109" s="2"/>
      <c r="TZF109" s="4"/>
      <c r="TZG109" s="2"/>
      <c r="TZH109" s="3"/>
      <c r="TZI109" s="2"/>
      <c r="TZJ109" s="2"/>
      <c r="TZK109" s="5"/>
      <c r="TZL109" s="2"/>
      <c r="TZM109" s="4"/>
      <c r="TZN109" s="2"/>
      <c r="TZO109" s="3"/>
      <c r="TZP109" s="2"/>
      <c r="TZQ109" s="2"/>
      <c r="TZR109" s="5"/>
      <c r="TZS109" s="2"/>
      <c r="TZT109" s="4"/>
      <c r="TZU109" s="2"/>
      <c r="TZV109" s="3"/>
      <c r="TZW109" s="2"/>
      <c r="TZX109" s="2"/>
      <c r="TZY109" s="5"/>
      <c r="TZZ109" s="2"/>
      <c r="UAA109" s="4"/>
      <c r="UAB109" s="2"/>
      <c r="UAC109" s="3"/>
      <c r="UAD109" s="2"/>
      <c r="UAE109" s="2"/>
      <c r="UAF109" s="5"/>
      <c r="UAG109" s="2"/>
      <c r="UAH109" s="4"/>
      <c r="UAI109" s="2"/>
      <c r="UAJ109" s="3"/>
      <c r="UAK109" s="2"/>
      <c r="UAL109" s="2"/>
      <c r="UAM109" s="5"/>
      <c r="UAN109" s="2"/>
      <c r="UAO109" s="4"/>
      <c r="UAP109" s="2"/>
      <c r="UAQ109" s="3"/>
      <c r="UAR109" s="2"/>
      <c r="UAS109" s="2"/>
      <c r="UAT109" s="5"/>
      <c r="UAU109" s="2"/>
      <c r="UAV109" s="4"/>
      <c r="UAW109" s="2"/>
      <c r="UAX109" s="3"/>
      <c r="UAY109" s="2"/>
      <c r="UAZ109" s="2"/>
      <c r="UBA109" s="5"/>
      <c r="UBB109" s="2"/>
      <c r="UBC109" s="4"/>
      <c r="UBD109" s="2"/>
      <c r="UBE109" s="3"/>
      <c r="UBF109" s="2"/>
      <c r="UBG109" s="2"/>
      <c r="UBH109" s="5"/>
      <c r="UBI109" s="2"/>
      <c r="UBJ109" s="4"/>
      <c r="UBK109" s="2"/>
      <c r="UBL109" s="3"/>
      <c r="UBM109" s="2"/>
      <c r="UBN109" s="2"/>
      <c r="UBO109" s="5"/>
      <c r="UBP109" s="2"/>
      <c r="UBQ109" s="4"/>
      <c r="UBR109" s="2"/>
      <c r="UBS109" s="3"/>
      <c r="UBT109" s="2"/>
      <c r="UBU109" s="2"/>
      <c r="UBV109" s="5"/>
      <c r="UBW109" s="2"/>
      <c r="UBX109" s="4"/>
      <c r="UBY109" s="2"/>
      <c r="UBZ109" s="3"/>
      <c r="UCA109" s="2"/>
      <c r="UCB109" s="2"/>
      <c r="UCC109" s="5"/>
      <c r="UCD109" s="2"/>
      <c r="UCE109" s="4"/>
      <c r="UCF109" s="2"/>
      <c r="UCG109" s="3"/>
      <c r="UCH109" s="2"/>
      <c r="UCI109" s="2"/>
      <c r="UCJ109" s="5"/>
      <c r="UCK109" s="2"/>
      <c r="UCL109" s="4"/>
      <c r="UCM109" s="2"/>
      <c r="UCN109" s="3"/>
      <c r="UCO109" s="2"/>
      <c r="UCP109" s="2"/>
      <c r="UCQ109" s="5"/>
      <c r="UCR109" s="2"/>
      <c r="UCS109" s="4"/>
      <c r="UCT109" s="2"/>
      <c r="UCU109" s="3"/>
      <c r="UCV109" s="2"/>
      <c r="UCW109" s="2"/>
      <c r="UCX109" s="5"/>
      <c r="UCY109" s="2"/>
      <c r="UCZ109" s="4"/>
      <c r="UDA109" s="2"/>
      <c r="UDB109" s="3"/>
      <c r="UDC109" s="2"/>
      <c r="UDD109" s="2"/>
      <c r="UDE109" s="5"/>
      <c r="UDF109" s="2"/>
      <c r="UDG109" s="4"/>
      <c r="UDH109" s="2"/>
      <c r="UDI109" s="3"/>
      <c r="UDJ109" s="2"/>
      <c r="UDK109" s="2"/>
      <c r="UDL109" s="5"/>
      <c r="UDM109" s="2"/>
      <c r="UDN109" s="4"/>
      <c r="UDO109" s="2"/>
      <c r="UDP109" s="3"/>
      <c r="UDQ109" s="2"/>
      <c r="UDR109" s="2"/>
      <c r="UDS109" s="5"/>
      <c r="UDT109" s="2"/>
      <c r="UDU109" s="4"/>
      <c r="UDV109" s="2"/>
      <c r="UDW109" s="3"/>
      <c r="UDX109" s="2"/>
      <c r="UDY109" s="2"/>
      <c r="UDZ109" s="5"/>
      <c r="UEA109" s="2"/>
      <c r="UEB109" s="4"/>
      <c r="UEC109" s="2"/>
      <c r="UED109" s="3"/>
      <c r="UEE109" s="2"/>
      <c r="UEF109" s="2"/>
      <c r="UEG109" s="5"/>
      <c r="UEH109" s="2"/>
      <c r="UEI109" s="4"/>
      <c r="UEJ109" s="2"/>
      <c r="UEK109" s="3"/>
      <c r="UEL109" s="2"/>
      <c r="UEM109" s="2"/>
      <c r="UEN109" s="5"/>
      <c r="UEO109" s="2"/>
      <c r="UEP109" s="4"/>
      <c r="UEQ109" s="2"/>
      <c r="UER109" s="3"/>
      <c r="UES109" s="2"/>
      <c r="UET109" s="2"/>
      <c r="UEU109" s="5"/>
      <c r="UEV109" s="2"/>
      <c r="UEW109" s="4"/>
      <c r="UEX109" s="2"/>
      <c r="UEY109" s="3"/>
      <c r="UEZ109" s="2"/>
      <c r="UFA109" s="2"/>
      <c r="UFB109" s="5"/>
      <c r="UFC109" s="2"/>
      <c r="UFD109" s="4"/>
      <c r="UFE109" s="2"/>
      <c r="UFF109" s="3"/>
      <c r="UFG109" s="2"/>
      <c r="UFH109" s="2"/>
      <c r="UFI109" s="5"/>
      <c r="UFJ109" s="2"/>
      <c r="UFK109" s="4"/>
      <c r="UFL109" s="2"/>
      <c r="UFM109" s="3"/>
      <c r="UFN109" s="2"/>
      <c r="UFO109" s="2"/>
      <c r="UFP109" s="5"/>
      <c r="UFQ109" s="2"/>
      <c r="UFR109" s="4"/>
      <c r="UFS109" s="2"/>
      <c r="UFT109" s="3"/>
      <c r="UFU109" s="2"/>
      <c r="UFV109" s="2"/>
      <c r="UFW109" s="5"/>
      <c r="UFX109" s="2"/>
      <c r="UFY109" s="4"/>
      <c r="UFZ109" s="2"/>
      <c r="UGA109" s="3"/>
      <c r="UGB109" s="2"/>
      <c r="UGC109" s="2"/>
      <c r="UGD109" s="5"/>
      <c r="UGE109" s="2"/>
      <c r="UGF109" s="4"/>
      <c r="UGG109" s="2"/>
      <c r="UGH109" s="3"/>
      <c r="UGI109" s="2"/>
      <c r="UGJ109" s="2"/>
      <c r="UGK109" s="5"/>
      <c r="UGL109" s="2"/>
      <c r="UGM109" s="4"/>
      <c r="UGN109" s="2"/>
      <c r="UGO109" s="3"/>
      <c r="UGP109" s="2"/>
      <c r="UGQ109" s="2"/>
      <c r="UGR109" s="5"/>
      <c r="UGS109" s="2"/>
      <c r="UGT109" s="4"/>
      <c r="UGU109" s="2"/>
      <c r="UGV109" s="3"/>
      <c r="UGW109" s="2"/>
      <c r="UGX109" s="2"/>
      <c r="UGY109" s="5"/>
      <c r="UGZ109" s="2"/>
      <c r="UHA109" s="4"/>
      <c r="UHB109" s="2"/>
      <c r="UHC109" s="3"/>
      <c r="UHD109" s="2"/>
      <c r="UHE109" s="2"/>
      <c r="UHF109" s="5"/>
      <c r="UHG109" s="2"/>
      <c r="UHH109" s="4"/>
      <c r="UHI109" s="2"/>
      <c r="UHJ109" s="3"/>
      <c r="UHK109" s="2"/>
      <c r="UHL109" s="2"/>
      <c r="UHM109" s="5"/>
      <c r="UHN109" s="2"/>
      <c r="UHO109" s="4"/>
      <c r="UHP109" s="2"/>
      <c r="UHQ109" s="3"/>
      <c r="UHR109" s="2"/>
      <c r="UHS109" s="2"/>
      <c r="UHT109" s="5"/>
      <c r="UHU109" s="2"/>
      <c r="UHV109" s="4"/>
      <c r="UHW109" s="2"/>
      <c r="UHX109" s="3"/>
      <c r="UHY109" s="2"/>
      <c r="UHZ109" s="2"/>
      <c r="UIA109" s="5"/>
      <c r="UIB109" s="2"/>
      <c r="UIC109" s="4"/>
      <c r="UID109" s="2"/>
      <c r="UIE109" s="3"/>
      <c r="UIF109" s="2"/>
      <c r="UIG109" s="2"/>
      <c r="UIH109" s="5"/>
      <c r="UII109" s="2"/>
      <c r="UIJ109" s="4"/>
      <c r="UIK109" s="2"/>
      <c r="UIL109" s="3"/>
      <c r="UIM109" s="2"/>
      <c r="UIN109" s="2"/>
      <c r="UIO109" s="5"/>
      <c r="UIP109" s="2"/>
      <c r="UIQ109" s="4"/>
      <c r="UIR109" s="2"/>
      <c r="UIS109" s="3"/>
      <c r="UIT109" s="2"/>
      <c r="UIU109" s="2"/>
      <c r="UIV109" s="5"/>
      <c r="UIW109" s="2"/>
      <c r="UIX109" s="4"/>
      <c r="UIY109" s="2"/>
      <c r="UIZ109" s="3"/>
      <c r="UJA109" s="2"/>
      <c r="UJB109" s="2"/>
      <c r="UJC109" s="5"/>
      <c r="UJD109" s="2"/>
      <c r="UJE109" s="4"/>
      <c r="UJF109" s="2"/>
      <c r="UJG109" s="3"/>
      <c r="UJH109" s="2"/>
      <c r="UJI109" s="2"/>
      <c r="UJJ109" s="5"/>
      <c r="UJK109" s="2"/>
      <c r="UJL109" s="4"/>
      <c r="UJM109" s="2"/>
      <c r="UJN109" s="3"/>
      <c r="UJO109" s="2"/>
      <c r="UJP109" s="2"/>
      <c r="UJQ109" s="5"/>
      <c r="UJR109" s="2"/>
      <c r="UJS109" s="4"/>
      <c r="UJT109" s="2"/>
      <c r="UJU109" s="3"/>
      <c r="UJV109" s="2"/>
      <c r="UJW109" s="2"/>
      <c r="UJX109" s="5"/>
      <c r="UJY109" s="2"/>
      <c r="UJZ109" s="4"/>
      <c r="UKA109" s="2"/>
      <c r="UKB109" s="3"/>
      <c r="UKC109" s="2"/>
      <c r="UKD109" s="2"/>
      <c r="UKE109" s="5"/>
      <c r="UKF109" s="2"/>
      <c r="UKG109" s="4"/>
      <c r="UKH109" s="2"/>
      <c r="UKI109" s="3"/>
      <c r="UKJ109" s="2"/>
      <c r="UKK109" s="2"/>
      <c r="UKL109" s="5"/>
      <c r="UKM109" s="2"/>
      <c r="UKN109" s="4"/>
      <c r="UKO109" s="2"/>
      <c r="UKP109" s="3"/>
      <c r="UKQ109" s="2"/>
      <c r="UKR109" s="2"/>
      <c r="UKS109" s="5"/>
      <c r="UKT109" s="2"/>
      <c r="UKU109" s="4"/>
      <c r="UKV109" s="2"/>
      <c r="UKW109" s="3"/>
      <c r="UKX109" s="2"/>
      <c r="UKY109" s="2"/>
      <c r="UKZ109" s="5"/>
      <c r="ULA109" s="2"/>
      <c r="ULB109" s="4"/>
      <c r="ULC109" s="2"/>
      <c r="ULD109" s="3"/>
      <c r="ULE109" s="2"/>
      <c r="ULF109" s="2"/>
      <c r="ULG109" s="5"/>
      <c r="ULH109" s="2"/>
      <c r="ULI109" s="4"/>
      <c r="ULJ109" s="2"/>
      <c r="ULK109" s="3"/>
      <c r="ULL109" s="2"/>
      <c r="ULM109" s="2"/>
      <c r="ULN109" s="5"/>
      <c r="ULO109" s="2"/>
      <c r="ULP109" s="4"/>
      <c r="ULQ109" s="2"/>
      <c r="ULR109" s="3"/>
      <c r="ULS109" s="2"/>
      <c r="ULT109" s="2"/>
      <c r="ULU109" s="5"/>
      <c r="ULV109" s="2"/>
      <c r="ULW109" s="4"/>
      <c r="ULX109" s="2"/>
      <c r="ULY109" s="3"/>
      <c r="ULZ109" s="2"/>
      <c r="UMA109" s="2"/>
      <c r="UMB109" s="5"/>
      <c r="UMC109" s="2"/>
      <c r="UMD109" s="4"/>
      <c r="UME109" s="2"/>
      <c r="UMF109" s="3"/>
      <c r="UMG109" s="2"/>
      <c r="UMH109" s="2"/>
      <c r="UMI109" s="5"/>
      <c r="UMJ109" s="2"/>
      <c r="UMK109" s="4"/>
      <c r="UML109" s="2"/>
      <c r="UMM109" s="3"/>
      <c r="UMN109" s="2"/>
      <c r="UMO109" s="2"/>
      <c r="UMP109" s="5"/>
      <c r="UMQ109" s="2"/>
      <c r="UMR109" s="4"/>
      <c r="UMS109" s="2"/>
      <c r="UMT109" s="3"/>
      <c r="UMU109" s="2"/>
      <c r="UMV109" s="2"/>
      <c r="UMW109" s="5"/>
      <c r="UMX109" s="2"/>
      <c r="UMY109" s="4"/>
      <c r="UMZ109" s="2"/>
      <c r="UNA109" s="3"/>
      <c r="UNB109" s="2"/>
      <c r="UNC109" s="2"/>
      <c r="UND109" s="5"/>
      <c r="UNE109" s="2"/>
      <c r="UNF109" s="4"/>
      <c r="UNG109" s="2"/>
      <c r="UNH109" s="3"/>
      <c r="UNI109" s="2"/>
      <c r="UNJ109" s="2"/>
      <c r="UNK109" s="5"/>
      <c r="UNL109" s="2"/>
      <c r="UNM109" s="4"/>
      <c r="UNN109" s="2"/>
      <c r="UNO109" s="3"/>
      <c r="UNP109" s="2"/>
      <c r="UNQ109" s="2"/>
      <c r="UNR109" s="5"/>
      <c r="UNS109" s="2"/>
      <c r="UNT109" s="4"/>
      <c r="UNU109" s="2"/>
      <c r="UNV109" s="3"/>
      <c r="UNW109" s="2"/>
      <c r="UNX109" s="2"/>
      <c r="UNY109" s="5"/>
      <c r="UNZ109" s="2"/>
      <c r="UOA109" s="4"/>
      <c r="UOB109" s="2"/>
      <c r="UOC109" s="3"/>
      <c r="UOD109" s="2"/>
      <c r="UOE109" s="2"/>
      <c r="UOF109" s="5"/>
      <c r="UOG109" s="2"/>
      <c r="UOH109" s="4"/>
      <c r="UOI109" s="2"/>
      <c r="UOJ109" s="3"/>
      <c r="UOK109" s="2"/>
      <c r="UOL109" s="2"/>
      <c r="UOM109" s="5"/>
      <c r="UON109" s="2"/>
      <c r="UOO109" s="4"/>
      <c r="UOP109" s="2"/>
      <c r="UOQ109" s="3"/>
      <c r="UOR109" s="2"/>
      <c r="UOS109" s="2"/>
      <c r="UOT109" s="5"/>
      <c r="UOU109" s="2"/>
      <c r="UOV109" s="4"/>
      <c r="UOW109" s="2"/>
      <c r="UOX109" s="3"/>
      <c r="UOY109" s="2"/>
      <c r="UOZ109" s="2"/>
      <c r="UPA109" s="5"/>
      <c r="UPB109" s="2"/>
      <c r="UPC109" s="4"/>
      <c r="UPD109" s="2"/>
      <c r="UPE109" s="3"/>
      <c r="UPF109" s="2"/>
      <c r="UPG109" s="2"/>
      <c r="UPH109" s="5"/>
      <c r="UPI109" s="2"/>
      <c r="UPJ109" s="4"/>
      <c r="UPK109" s="2"/>
      <c r="UPL109" s="3"/>
      <c r="UPM109" s="2"/>
      <c r="UPN109" s="2"/>
      <c r="UPO109" s="5"/>
      <c r="UPP109" s="2"/>
      <c r="UPQ109" s="4"/>
      <c r="UPR109" s="2"/>
      <c r="UPS109" s="3"/>
      <c r="UPT109" s="2"/>
      <c r="UPU109" s="2"/>
      <c r="UPV109" s="5"/>
      <c r="UPW109" s="2"/>
      <c r="UPX109" s="4"/>
      <c r="UPY109" s="2"/>
      <c r="UPZ109" s="3"/>
      <c r="UQA109" s="2"/>
      <c r="UQB109" s="2"/>
      <c r="UQC109" s="5"/>
      <c r="UQD109" s="2"/>
      <c r="UQE109" s="4"/>
      <c r="UQF109" s="2"/>
      <c r="UQG109" s="3"/>
      <c r="UQH109" s="2"/>
      <c r="UQI109" s="2"/>
      <c r="UQJ109" s="5"/>
      <c r="UQK109" s="2"/>
      <c r="UQL109" s="4"/>
      <c r="UQM109" s="2"/>
      <c r="UQN109" s="3"/>
      <c r="UQO109" s="2"/>
      <c r="UQP109" s="2"/>
      <c r="UQQ109" s="5"/>
      <c r="UQR109" s="2"/>
      <c r="UQS109" s="4"/>
      <c r="UQT109" s="2"/>
      <c r="UQU109" s="3"/>
      <c r="UQV109" s="2"/>
      <c r="UQW109" s="2"/>
      <c r="UQX109" s="5"/>
      <c r="UQY109" s="2"/>
      <c r="UQZ109" s="4"/>
      <c r="URA109" s="2"/>
      <c r="URB109" s="3"/>
      <c r="URC109" s="2"/>
      <c r="URD109" s="2"/>
      <c r="URE109" s="5"/>
      <c r="URF109" s="2"/>
      <c r="URG109" s="4"/>
      <c r="URH109" s="2"/>
      <c r="URI109" s="3"/>
      <c r="URJ109" s="2"/>
      <c r="URK109" s="2"/>
      <c r="URL109" s="5"/>
      <c r="URM109" s="2"/>
      <c r="URN109" s="4"/>
      <c r="URO109" s="2"/>
      <c r="URP109" s="3"/>
      <c r="URQ109" s="2"/>
      <c r="URR109" s="2"/>
      <c r="URS109" s="5"/>
      <c r="URT109" s="2"/>
      <c r="URU109" s="4"/>
      <c r="URV109" s="2"/>
      <c r="URW109" s="3"/>
      <c r="URX109" s="2"/>
      <c r="URY109" s="2"/>
      <c r="URZ109" s="5"/>
      <c r="USA109" s="2"/>
      <c r="USB109" s="4"/>
      <c r="USC109" s="2"/>
      <c r="USD109" s="3"/>
      <c r="USE109" s="2"/>
      <c r="USF109" s="2"/>
      <c r="USG109" s="5"/>
      <c r="USH109" s="2"/>
      <c r="USI109" s="4"/>
      <c r="USJ109" s="2"/>
      <c r="USK109" s="3"/>
      <c r="USL109" s="2"/>
      <c r="USM109" s="2"/>
      <c r="USN109" s="5"/>
      <c r="USO109" s="2"/>
      <c r="USP109" s="4"/>
      <c r="USQ109" s="2"/>
      <c r="USR109" s="3"/>
      <c r="USS109" s="2"/>
      <c r="UST109" s="2"/>
      <c r="USU109" s="5"/>
      <c r="USV109" s="2"/>
      <c r="USW109" s="4"/>
      <c r="USX109" s="2"/>
      <c r="USY109" s="3"/>
      <c r="USZ109" s="2"/>
      <c r="UTA109" s="2"/>
      <c r="UTB109" s="5"/>
      <c r="UTC109" s="2"/>
      <c r="UTD109" s="4"/>
      <c r="UTE109" s="2"/>
      <c r="UTF109" s="3"/>
      <c r="UTG109" s="2"/>
      <c r="UTH109" s="2"/>
      <c r="UTI109" s="5"/>
      <c r="UTJ109" s="2"/>
      <c r="UTK109" s="4"/>
      <c r="UTL109" s="2"/>
      <c r="UTM109" s="3"/>
      <c r="UTN109" s="2"/>
      <c r="UTO109" s="2"/>
      <c r="UTP109" s="5"/>
      <c r="UTQ109" s="2"/>
      <c r="UTR109" s="4"/>
      <c r="UTS109" s="2"/>
      <c r="UTT109" s="3"/>
      <c r="UTU109" s="2"/>
      <c r="UTV109" s="2"/>
      <c r="UTW109" s="5"/>
      <c r="UTX109" s="2"/>
      <c r="UTY109" s="4"/>
      <c r="UTZ109" s="2"/>
      <c r="UUA109" s="3"/>
      <c r="UUB109" s="2"/>
      <c r="UUC109" s="2"/>
      <c r="UUD109" s="5"/>
      <c r="UUE109" s="2"/>
      <c r="UUF109" s="4"/>
      <c r="UUG109" s="2"/>
      <c r="UUH109" s="3"/>
      <c r="UUI109" s="2"/>
      <c r="UUJ109" s="2"/>
      <c r="UUK109" s="5"/>
      <c r="UUL109" s="2"/>
      <c r="UUM109" s="4"/>
      <c r="UUN109" s="2"/>
      <c r="UUO109" s="3"/>
      <c r="UUP109" s="2"/>
      <c r="UUQ109" s="2"/>
      <c r="UUR109" s="5"/>
      <c r="UUS109" s="2"/>
      <c r="UUT109" s="4"/>
      <c r="UUU109" s="2"/>
      <c r="UUV109" s="3"/>
      <c r="UUW109" s="2"/>
      <c r="UUX109" s="2"/>
      <c r="UUY109" s="5"/>
      <c r="UUZ109" s="2"/>
      <c r="UVA109" s="4"/>
      <c r="UVB109" s="2"/>
      <c r="UVC109" s="3"/>
      <c r="UVD109" s="2"/>
      <c r="UVE109" s="2"/>
      <c r="UVF109" s="5"/>
      <c r="UVG109" s="2"/>
      <c r="UVH109" s="4"/>
      <c r="UVI109" s="2"/>
      <c r="UVJ109" s="3"/>
      <c r="UVK109" s="2"/>
      <c r="UVL109" s="2"/>
      <c r="UVM109" s="5"/>
      <c r="UVN109" s="2"/>
      <c r="UVO109" s="4"/>
      <c r="UVP109" s="2"/>
      <c r="UVQ109" s="3"/>
      <c r="UVR109" s="2"/>
      <c r="UVS109" s="2"/>
      <c r="UVT109" s="5"/>
      <c r="UVU109" s="2"/>
      <c r="UVV109" s="4"/>
      <c r="UVW109" s="2"/>
      <c r="UVX109" s="3"/>
      <c r="UVY109" s="2"/>
      <c r="UVZ109" s="2"/>
      <c r="UWA109" s="5"/>
      <c r="UWB109" s="2"/>
      <c r="UWC109" s="4"/>
      <c r="UWD109" s="2"/>
      <c r="UWE109" s="3"/>
      <c r="UWF109" s="2"/>
      <c r="UWG109" s="2"/>
      <c r="UWH109" s="5"/>
      <c r="UWI109" s="2"/>
      <c r="UWJ109" s="4"/>
      <c r="UWK109" s="2"/>
      <c r="UWL109" s="3"/>
      <c r="UWM109" s="2"/>
      <c r="UWN109" s="2"/>
      <c r="UWO109" s="5"/>
      <c r="UWP109" s="2"/>
      <c r="UWQ109" s="4"/>
      <c r="UWR109" s="2"/>
      <c r="UWS109" s="3"/>
      <c r="UWT109" s="2"/>
      <c r="UWU109" s="2"/>
      <c r="UWV109" s="5"/>
      <c r="UWW109" s="2"/>
      <c r="UWX109" s="4"/>
      <c r="UWY109" s="2"/>
      <c r="UWZ109" s="3"/>
      <c r="UXA109" s="2"/>
      <c r="UXB109" s="2"/>
      <c r="UXC109" s="5"/>
      <c r="UXD109" s="2"/>
      <c r="UXE109" s="4"/>
      <c r="UXF109" s="2"/>
      <c r="UXG109" s="3"/>
      <c r="UXH109" s="2"/>
      <c r="UXI109" s="2"/>
      <c r="UXJ109" s="5"/>
      <c r="UXK109" s="2"/>
      <c r="UXL109" s="4"/>
      <c r="UXM109" s="2"/>
      <c r="UXN109" s="3"/>
      <c r="UXO109" s="2"/>
      <c r="UXP109" s="2"/>
      <c r="UXQ109" s="5"/>
      <c r="UXR109" s="2"/>
      <c r="UXS109" s="4"/>
      <c r="UXT109" s="2"/>
      <c r="UXU109" s="3"/>
      <c r="UXV109" s="2"/>
      <c r="UXW109" s="2"/>
      <c r="UXX109" s="5"/>
      <c r="UXY109" s="2"/>
      <c r="UXZ109" s="4"/>
      <c r="UYA109" s="2"/>
      <c r="UYB109" s="3"/>
      <c r="UYC109" s="2"/>
      <c r="UYD109" s="2"/>
      <c r="UYE109" s="5"/>
      <c r="UYF109" s="2"/>
      <c r="UYG109" s="4"/>
      <c r="UYH109" s="2"/>
      <c r="UYI109" s="3"/>
      <c r="UYJ109" s="2"/>
      <c r="UYK109" s="2"/>
      <c r="UYL109" s="5"/>
      <c r="UYM109" s="2"/>
      <c r="UYN109" s="4"/>
      <c r="UYO109" s="2"/>
      <c r="UYP109" s="3"/>
      <c r="UYQ109" s="2"/>
      <c r="UYR109" s="2"/>
      <c r="UYS109" s="5"/>
      <c r="UYT109" s="2"/>
      <c r="UYU109" s="4"/>
      <c r="UYV109" s="2"/>
      <c r="UYW109" s="3"/>
      <c r="UYX109" s="2"/>
      <c r="UYY109" s="2"/>
      <c r="UYZ109" s="5"/>
      <c r="UZA109" s="2"/>
      <c r="UZB109" s="4"/>
      <c r="UZC109" s="2"/>
      <c r="UZD109" s="3"/>
      <c r="UZE109" s="2"/>
      <c r="UZF109" s="2"/>
      <c r="UZG109" s="5"/>
      <c r="UZH109" s="2"/>
      <c r="UZI109" s="4"/>
      <c r="UZJ109" s="2"/>
      <c r="UZK109" s="3"/>
      <c r="UZL109" s="2"/>
      <c r="UZM109" s="2"/>
      <c r="UZN109" s="5"/>
      <c r="UZO109" s="2"/>
      <c r="UZP109" s="4"/>
      <c r="UZQ109" s="2"/>
      <c r="UZR109" s="3"/>
      <c r="UZS109" s="2"/>
      <c r="UZT109" s="2"/>
      <c r="UZU109" s="5"/>
      <c r="UZV109" s="2"/>
      <c r="UZW109" s="4"/>
      <c r="UZX109" s="2"/>
      <c r="UZY109" s="3"/>
      <c r="UZZ109" s="2"/>
      <c r="VAA109" s="2"/>
      <c r="VAB109" s="5"/>
      <c r="VAC109" s="2"/>
      <c r="VAD109" s="4"/>
      <c r="VAE109" s="2"/>
      <c r="VAF109" s="3"/>
      <c r="VAG109" s="2"/>
      <c r="VAH109" s="2"/>
      <c r="VAI109" s="5"/>
      <c r="VAJ109" s="2"/>
      <c r="VAK109" s="4"/>
      <c r="VAL109" s="2"/>
      <c r="VAM109" s="3"/>
      <c r="VAN109" s="2"/>
      <c r="VAO109" s="2"/>
      <c r="VAP109" s="5"/>
      <c r="VAQ109" s="2"/>
      <c r="VAR109" s="4"/>
      <c r="VAS109" s="2"/>
      <c r="VAT109" s="3"/>
      <c r="VAU109" s="2"/>
      <c r="VAV109" s="2"/>
      <c r="VAW109" s="5"/>
      <c r="VAX109" s="2"/>
      <c r="VAY109" s="4"/>
      <c r="VAZ109" s="2"/>
      <c r="VBA109" s="3"/>
      <c r="VBB109" s="2"/>
      <c r="VBC109" s="2"/>
      <c r="VBD109" s="5"/>
      <c r="VBE109" s="2"/>
      <c r="VBF109" s="4"/>
      <c r="VBG109" s="2"/>
      <c r="VBH109" s="3"/>
      <c r="VBI109" s="2"/>
      <c r="VBJ109" s="2"/>
      <c r="VBK109" s="5"/>
      <c r="VBL109" s="2"/>
      <c r="VBM109" s="4"/>
      <c r="VBN109" s="2"/>
      <c r="VBO109" s="3"/>
      <c r="VBP109" s="2"/>
      <c r="VBQ109" s="2"/>
      <c r="VBR109" s="5"/>
      <c r="VBS109" s="2"/>
      <c r="VBT109" s="4"/>
      <c r="VBU109" s="2"/>
      <c r="VBV109" s="3"/>
      <c r="VBW109" s="2"/>
      <c r="VBX109" s="2"/>
      <c r="VBY109" s="5"/>
      <c r="VBZ109" s="2"/>
      <c r="VCA109" s="4"/>
      <c r="VCB109" s="2"/>
      <c r="VCC109" s="3"/>
      <c r="VCD109" s="2"/>
      <c r="VCE109" s="2"/>
      <c r="VCF109" s="5"/>
      <c r="VCG109" s="2"/>
      <c r="VCH109" s="4"/>
      <c r="VCI109" s="2"/>
      <c r="VCJ109" s="3"/>
      <c r="VCK109" s="2"/>
      <c r="VCL109" s="2"/>
      <c r="VCM109" s="5"/>
      <c r="VCN109" s="2"/>
      <c r="VCO109" s="4"/>
      <c r="VCP109" s="2"/>
      <c r="VCQ109" s="3"/>
      <c r="VCR109" s="2"/>
      <c r="VCS109" s="2"/>
      <c r="VCT109" s="5"/>
      <c r="VCU109" s="2"/>
      <c r="VCV109" s="4"/>
      <c r="VCW109" s="2"/>
      <c r="VCX109" s="3"/>
      <c r="VCY109" s="2"/>
      <c r="VCZ109" s="2"/>
      <c r="VDA109" s="5"/>
      <c r="VDB109" s="2"/>
      <c r="VDC109" s="4"/>
      <c r="VDD109" s="2"/>
      <c r="VDE109" s="3"/>
      <c r="VDF109" s="2"/>
      <c r="VDG109" s="2"/>
      <c r="VDH109" s="5"/>
      <c r="VDI109" s="2"/>
      <c r="VDJ109" s="4"/>
      <c r="VDK109" s="2"/>
      <c r="VDL109" s="3"/>
      <c r="VDM109" s="2"/>
      <c r="VDN109" s="2"/>
      <c r="VDO109" s="5"/>
      <c r="VDP109" s="2"/>
      <c r="VDQ109" s="4"/>
      <c r="VDR109" s="2"/>
      <c r="VDS109" s="3"/>
      <c r="VDT109" s="2"/>
      <c r="VDU109" s="2"/>
      <c r="VDV109" s="5"/>
      <c r="VDW109" s="2"/>
      <c r="VDX109" s="4"/>
      <c r="VDY109" s="2"/>
      <c r="VDZ109" s="3"/>
      <c r="VEA109" s="2"/>
      <c r="VEB109" s="2"/>
      <c r="VEC109" s="5"/>
      <c r="VED109" s="2"/>
      <c r="VEE109" s="4"/>
      <c r="VEF109" s="2"/>
      <c r="VEG109" s="3"/>
      <c r="VEH109" s="2"/>
      <c r="VEI109" s="2"/>
      <c r="VEJ109" s="5"/>
      <c r="VEK109" s="2"/>
      <c r="VEL109" s="4"/>
      <c r="VEM109" s="2"/>
      <c r="VEN109" s="3"/>
      <c r="VEO109" s="2"/>
      <c r="VEP109" s="2"/>
      <c r="VEQ109" s="5"/>
      <c r="VER109" s="2"/>
      <c r="VES109" s="4"/>
      <c r="VET109" s="2"/>
      <c r="VEU109" s="3"/>
      <c r="VEV109" s="2"/>
      <c r="VEW109" s="2"/>
      <c r="VEX109" s="5"/>
      <c r="VEY109" s="2"/>
      <c r="VEZ109" s="4"/>
      <c r="VFA109" s="2"/>
      <c r="VFB109" s="3"/>
      <c r="VFC109" s="2"/>
      <c r="VFD109" s="2"/>
      <c r="VFE109" s="5"/>
      <c r="VFF109" s="2"/>
      <c r="VFG109" s="4"/>
      <c r="VFH109" s="2"/>
      <c r="VFI109" s="3"/>
      <c r="VFJ109" s="2"/>
      <c r="VFK109" s="2"/>
      <c r="VFL109" s="5"/>
      <c r="VFM109" s="2"/>
      <c r="VFN109" s="4"/>
      <c r="VFO109" s="2"/>
      <c r="VFP109" s="3"/>
      <c r="VFQ109" s="2"/>
      <c r="VFR109" s="2"/>
      <c r="VFS109" s="5"/>
      <c r="VFT109" s="2"/>
      <c r="VFU109" s="4"/>
      <c r="VFV109" s="2"/>
      <c r="VFW109" s="3"/>
      <c r="VFX109" s="2"/>
      <c r="VFY109" s="2"/>
      <c r="VFZ109" s="5"/>
      <c r="VGA109" s="2"/>
      <c r="VGB109" s="4"/>
      <c r="VGC109" s="2"/>
      <c r="VGD109" s="3"/>
      <c r="VGE109" s="2"/>
      <c r="VGF109" s="2"/>
      <c r="VGG109" s="5"/>
      <c r="VGH109" s="2"/>
      <c r="VGI109" s="4"/>
      <c r="VGJ109" s="2"/>
      <c r="VGK109" s="3"/>
      <c r="VGL109" s="2"/>
      <c r="VGM109" s="2"/>
      <c r="VGN109" s="5"/>
      <c r="VGO109" s="2"/>
      <c r="VGP109" s="4"/>
      <c r="VGQ109" s="2"/>
      <c r="VGR109" s="3"/>
      <c r="VGS109" s="2"/>
      <c r="VGT109" s="2"/>
      <c r="VGU109" s="5"/>
      <c r="VGV109" s="2"/>
      <c r="VGW109" s="4"/>
      <c r="VGX109" s="2"/>
      <c r="VGY109" s="3"/>
      <c r="VGZ109" s="2"/>
      <c r="VHA109" s="2"/>
      <c r="VHB109" s="5"/>
      <c r="VHC109" s="2"/>
      <c r="VHD109" s="4"/>
      <c r="VHE109" s="2"/>
      <c r="VHF109" s="3"/>
      <c r="VHG109" s="2"/>
      <c r="VHH109" s="2"/>
      <c r="VHI109" s="5"/>
      <c r="VHJ109" s="2"/>
      <c r="VHK109" s="4"/>
      <c r="VHL109" s="2"/>
      <c r="VHM109" s="3"/>
      <c r="VHN109" s="2"/>
      <c r="VHO109" s="2"/>
      <c r="VHP109" s="5"/>
      <c r="VHQ109" s="2"/>
      <c r="VHR109" s="4"/>
      <c r="VHS109" s="2"/>
      <c r="VHT109" s="3"/>
      <c r="VHU109" s="2"/>
      <c r="VHV109" s="2"/>
      <c r="VHW109" s="5"/>
      <c r="VHX109" s="2"/>
      <c r="VHY109" s="4"/>
      <c r="VHZ109" s="2"/>
      <c r="VIA109" s="3"/>
      <c r="VIB109" s="2"/>
      <c r="VIC109" s="2"/>
      <c r="VID109" s="5"/>
      <c r="VIE109" s="2"/>
      <c r="VIF109" s="4"/>
      <c r="VIG109" s="2"/>
      <c r="VIH109" s="3"/>
      <c r="VII109" s="2"/>
      <c r="VIJ109" s="2"/>
      <c r="VIK109" s="5"/>
      <c r="VIL109" s="2"/>
      <c r="VIM109" s="4"/>
      <c r="VIN109" s="2"/>
      <c r="VIO109" s="3"/>
      <c r="VIP109" s="2"/>
      <c r="VIQ109" s="2"/>
      <c r="VIR109" s="5"/>
      <c r="VIS109" s="2"/>
      <c r="VIT109" s="4"/>
      <c r="VIU109" s="2"/>
      <c r="VIV109" s="3"/>
      <c r="VIW109" s="2"/>
      <c r="VIX109" s="2"/>
      <c r="VIY109" s="5"/>
      <c r="VIZ109" s="2"/>
      <c r="VJA109" s="4"/>
      <c r="VJB109" s="2"/>
      <c r="VJC109" s="3"/>
      <c r="VJD109" s="2"/>
      <c r="VJE109" s="2"/>
      <c r="VJF109" s="5"/>
      <c r="VJG109" s="2"/>
      <c r="VJH109" s="4"/>
      <c r="VJI109" s="2"/>
      <c r="VJJ109" s="3"/>
      <c r="VJK109" s="2"/>
      <c r="VJL109" s="2"/>
      <c r="VJM109" s="5"/>
      <c r="VJN109" s="2"/>
      <c r="VJO109" s="4"/>
      <c r="VJP109" s="2"/>
      <c r="VJQ109" s="3"/>
      <c r="VJR109" s="2"/>
      <c r="VJS109" s="2"/>
      <c r="VJT109" s="5"/>
      <c r="VJU109" s="2"/>
      <c r="VJV109" s="4"/>
      <c r="VJW109" s="2"/>
      <c r="VJX109" s="3"/>
      <c r="VJY109" s="2"/>
      <c r="VJZ109" s="2"/>
      <c r="VKA109" s="5"/>
      <c r="VKB109" s="2"/>
      <c r="VKC109" s="4"/>
      <c r="VKD109" s="2"/>
      <c r="VKE109" s="3"/>
      <c r="VKF109" s="2"/>
      <c r="VKG109" s="2"/>
      <c r="VKH109" s="5"/>
      <c r="VKI109" s="2"/>
      <c r="VKJ109" s="4"/>
      <c r="VKK109" s="2"/>
      <c r="VKL109" s="3"/>
      <c r="VKM109" s="2"/>
      <c r="VKN109" s="2"/>
      <c r="VKO109" s="5"/>
      <c r="VKP109" s="2"/>
      <c r="VKQ109" s="4"/>
      <c r="VKR109" s="2"/>
      <c r="VKS109" s="3"/>
      <c r="VKT109" s="2"/>
      <c r="VKU109" s="2"/>
      <c r="VKV109" s="5"/>
      <c r="VKW109" s="2"/>
      <c r="VKX109" s="4"/>
      <c r="VKY109" s="2"/>
      <c r="VKZ109" s="3"/>
      <c r="VLA109" s="2"/>
      <c r="VLB109" s="2"/>
      <c r="VLC109" s="5"/>
      <c r="VLD109" s="2"/>
      <c r="VLE109" s="4"/>
      <c r="VLF109" s="2"/>
      <c r="VLG109" s="3"/>
      <c r="VLH109" s="2"/>
      <c r="VLI109" s="2"/>
      <c r="VLJ109" s="5"/>
      <c r="VLK109" s="2"/>
      <c r="VLL109" s="4"/>
      <c r="VLM109" s="2"/>
      <c r="VLN109" s="3"/>
      <c r="VLO109" s="2"/>
      <c r="VLP109" s="2"/>
      <c r="VLQ109" s="5"/>
      <c r="VLR109" s="2"/>
      <c r="VLS109" s="4"/>
      <c r="VLT109" s="2"/>
      <c r="VLU109" s="3"/>
      <c r="VLV109" s="2"/>
      <c r="VLW109" s="2"/>
      <c r="VLX109" s="5"/>
      <c r="VLY109" s="2"/>
      <c r="VLZ109" s="4"/>
      <c r="VMA109" s="2"/>
      <c r="VMB109" s="3"/>
      <c r="VMC109" s="2"/>
      <c r="VMD109" s="2"/>
      <c r="VME109" s="5"/>
      <c r="VMF109" s="2"/>
      <c r="VMG109" s="4"/>
      <c r="VMH109" s="2"/>
      <c r="VMI109" s="3"/>
      <c r="VMJ109" s="2"/>
      <c r="VMK109" s="2"/>
      <c r="VML109" s="5"/>
      <c r="VMM109" s="2"/>
      <c r="VMN109" s="4"/>
      <c r="VMO109" s="2"/>
      <c r="VMP109" s="3"/>
      <c r="VMQ109" s="2"/>
      <c r="VMR109" s="2"/>
      <c r="VMS109" s="5"/>
      <c r="VMT109" s="2"/>
      <c r="VMU109" s="4"/>
      <c r="VMV109" s="2"/>
      <c r="VMW109" s="3"/>
      <c r="VMX109" s="2"/>
      <c r="VMY109" s="2"/>
      <c r="VMZ109" s="5"/>
      <c r="VNA109" s="2"/>
      <c r="VNB109" s="4"/>
      <c r="VNC109" s="2"/>
      <c r="VND109" s="3"/>
      <c r="VNE109" s="2"/>
      <c r="VNF109" s="2"/>
      <c r="VNG109" s="5"/>
      <c r="VNH109" s="2"/>
      <c r="VNI109" s="4"/>
      <c r="VNJ109" s="2"/>
      <c r="VNK109" s="3"/>
      <c r="VNL109" s="2"/>
      <c r="VNM109" s="2"/>
      <c r="VNN109" s="5"/>
      <c r="VNO109" s="2"/>
      <c r="VNP109" s="4"/>
      <c r="VNQ109" s="2"/>
      <c r="VNR109" s="3"/>
      <c r="VNS109" s="2"/>
      <c r="VNT109" s="2"/>
      <c r="VNU109" s="5"/>
      <c r="VNV109" s="2"/>
      <c r="VNW109" s="4"/>
      <c r="VNX109" s="2"/>
      <c r="VNY109" s="3"/>
      <c r="VNZ109" s="2"/>
      <c r="VOA109" s="2"/>
      <c r="VOB109" s="5"/>
      <c r="VOC109" s="2"/>
      <c r="VOD109" s="4"/>
      <c r="VOE109" s="2"/>
      <c r="VOF109" s="3"/>
      <c r="VOG109" s="2"/>
      <c r="VOH109" s="2"/>
      <c r="VOI109" s="5"/>
      <c r="VOJ109" s="2"/>
      <c r="VOK109" s="4"/>
      <c r="VOL109" s="2"/>
      <c r="VOM109" s="3"/>
      <c r="VON109" s="2"/>
      <c r="VOO109" s="2"/>
      <c r="VOP109" s="5"/>
      <c r="VOQ109" s="2"/>
      <c r="VOR109" s="4"/>
      <c r="VOS109" s="2"/>
      <c r="VOT109" s="3"/>
      <c r="VOU109" s="2"/>
      <c r="VOV109" s="2"/>
      <c r="VOW109" s="5"/>
      <c r="VOX109" s="2"/>
      <c r="VOY109" s="4"/>
      <c r="VOZ109" s="2"/>
      <c r="VPA109" s="3"/>
      <c r="VPB109" s="2"/>
      <c r="VPC109" s="2"/>
      <c r="VPD109" s="5"/>
      <c r="VPE109" s="2"/>
      <c r="VPF109" s="4"/>
      <c r="VPG109" s="2"/>
      <c r="VPH109" s="3"/>
      <c r="VPI109" s="2"/>
      <c r="VPJ109" s="2"/>
      <c r="VPK109" s="5"/>
      <c r="VPL109" s="2"/>
      <c r="VPM109" s="4"/>
      <c r="VPN109" s="2"/>
      <c r="VPO109" s="3"/>
      <c r="VPP109" s="2"/>
      <c r="VPQ109" s="2"/>
      <c r="VPR109" s="5"/>
      <c r="VPS109" s="2"/>
      <c r="VPT109" s="4"/>
      <c r="VPU109" s="2"/>
      <c r="VPV109" s="3"/>
      <c r="VPW109" s="2"/>
      <c r="VPX109" s="2"/>
      <c r="VPY109" s="5"/>
      <c r="VPZ109" s="2"/>
      <c r="VQA109" s="4"/>
      <c r="VQB109" s="2"/>
      <c r="VQC109" s="3"/>
      <c r="VQD109" s="2"/>
      <c r="VQE109" s="2"/>
      <c r="VQF109" s="5"/>
      <c r="VQG109" s="2"/>
      <c r="VQH109" s="4"/>
      <c r="VQI109" s="2"/>
      <c r="VQJ109" s="3"/>
      <c r="VQK109" s="2"/>
      <c r="VQL109" s="2"/>
      <c r="VQM109" s="5"/>
      <c r="VQN109" s="2"/>
      <c r="VQO109" s="4"/>
      <c r="VQP109" s="2"/>
      <c r="VQQ109" s="3"/>
      <c r="VQR109" s="2"/>
      <c r="VQS109" s="2"/>
      <c r="VQT109" s="5"/>
      <c r="VQU109" s="2"/>
      <c r="VQV109" s="4"/>
      <c r="VQW109" s="2"/>
      <c r="VQX109" s="3"/>
      <c r="VQY109" s="2"/>
      <c r="VQZ109" s="2"/>
      <c r="VRA109" s="5"/>
      <c r="VRB109" s="2"/>
      <c r="VRC109" s="4"/>
      <c r="VRD109" s="2"/>
      <c r="VRE109" s="3"/>
      <c r="VRF109" s="2"/>
      <c r="VRG109" s="2"/>
      <c r="VRH109" s="5"/>
      <c r="VRI109" s="2"/>
      <c r="VRJ109" s="4"/>
      <c r="VRK109" s="2"/>
      <c r="VRL109" s="3"/>
      <c r="VRM109" s="2"/>
      <c r="VRN109" s="2"/>
      <c r="VRO109" s="5"/>
      <c r="VRP109" s="2"/>
      <c r="VRQ109" s="4"/>
      <c r="VRR109" s="2"/>
      <c r="VRS109" s="3"/>
      <c r="VRT109" s="2"/>
      <c r="VRU109" s="2"/>
      <c r="VRV109" s="5"/>
      <c r="VRW109" s="2"/>
      <c r="VRX109" s="4"/>
      <c r="VRY109" s="2"/>
      <c r="VRZ109" s="3"/>
      <c r="VSA109" s="2"/>
      <c r="VSB109" s="2"/>
      <c r="VSC109" s="5"/>
      <c r="VSD109" s="2"/>
      <c r="VSE109" s="4"/>
      <c r="VSF109" s="2"/>
      <c r="VSG109" s="3"/>
      <c r="VSH109" s="2"/>
      <c r="VSI109" s="2"/>
      <c r="VSJ109" s="5"/>
      <c r="VSK109" s="2"/>
      <c r="VSL109" s="4"/>
      <c r="VSM109" s="2"/>
      <c r="VSN109" s="3"/>
      <c r="VSO109" s="2"/>
      <c r="VSP109" s="2"/>
      <c r="VSQ109" s="5"/>
      <c r="VSR109" s="2"/>
      <c r="VSS109" s="4"/>
      <c r="VST109" s="2"/>
      <c r="VSU109" s="3"/>
      <c r="VSV109" s="2"/>
      <c r="VSW109" s="2"/>
      <c r="VSX109" s="5"/>
      <c r="VSY109" s="2"/>
      <c r="VSZ109" s="4"/>
      <c r="VTA109" s="2"/>
      <c r="VTB109" s="3"/>
      <c r="VTC109" s="2"/>
      <c r="VTD109" s="2"/>
      <c r="VTE109" s="5"/>
      <c r="VTF109" s="2"/>
      <c r="VTG109" s="4"/>
      <c r="VTH109" s="2"/>
      <c r="VTI109" s="3"/>
      <c r="VTJ109" s="2"/>
      <c r="VTK109" s="2"/>
      <c r="VTL109" s="5"/>
      <c r="VTM109" s="2"/>
      <c r="VTN109" s="4"/>
      <c r="VTO109" s="2"/>
      <c r="VTP109" s="3"/>
      <c r="VTQ109" s="2"/>
      <c r="VTR109" s="2"/>
      <c r="VTS109" s="5"/>
      <c r="VTT109" s="2"/>
      <c r="VTU109" s="4"/>
      <c r="VTV109" s="2"/>
      <c r="VTW109" s="3"/>
      <c r="VTX109" s="2"/>
      <c r="VTY109" s="2"/>
      <c r="VTZ109" s="5"/>
      <c r="VUA109" s="2"/>
      <c r="VUB109" s="4"/>
      <c r="VUC109" s="2"/>
      <c r="VUD109" s="3"/>
      <c r="VUE109" s="2"/>
      <c r="VUF109" s="2"/>
      <c r="VUG109" s="5"/>
      <c r="VUH109" s="2"/>
      <c r="VUI109" s="4"/>
      <c r="VUJ109" s="2"/>
      <c r="VUK109" s="3"/>
      <c r="VUL109" s="2"/>
      <c r="VUM109" s="2"/>
      <c r="VUN109" s="5"/>
      <c r="VUO109" s="2"/>
      <c r="VUP109" s="4"/>
      <c r="VUQ109" s="2"/>
      <c r="VUR109" s="3"/>
      <c r="VUS109" s="2"/>
      <c r="VUT109" s="2"/>
      <c r="VUU109" s="5"/>
      <c r="VUV109" s="2"/>
      <c r="VUW109" s="4"/>
      <c r="VUX109" s="2"/>
      <c r="VUY109" s="3"/>
      <c r="VUZ109" s="2"/>
      <c r="VVA109" s="2"/>
      <c r="VVB109" s="5"/>
      <c r="VVC109" s="2"/>
      <c r="VVD109" s="4"/>
      <c r="VVE109" s="2"/>
      <c r="VVF109" s="3"/>
      <c r="VVG109" s="2"/>
      <c r="VVH109" s="2"/>
      <c r="VVI109" s="5"/>
      <c r="VVJ109" s="2"/>
      <c r="VVK109" s="4"/>
      <c r="VVL109" s="2"/>
      <c r="VVM109" s="3"/>
      <c r="VVN109" s="2"/>
      <c r="VVO109" s="2"/>
      <c r="VVP109" s="5"/>
      <c r="VVQ109" s="2"/>
      <c r="VVR109" s="4"/>
      <c r="VVS109" s="2"/>
      <c r="VVT109" s="3"/>
      <c r="VVU109" s="2"/>
      <c r="VVV109" s="2"/>
      <c r="VVW109" s="5"/>
      <c r="VVX109" s="2"/>
      <c r="VVY109" s="4"/>
      <c r="VVZ109" s="2"/>
      <c r="VWA109" s="3"/>
      <c r="VWB109" s="2"/>
      <c r="VWC109" s="2"/>
      <c r="VWD109" s="5"/>
      <c r="VWE109" s="2"/>
      <c r="VWF109" s="4"/>
      <c r="VWG109" s="2"/>
      <c r="VWH109" s="3"/>
      <c r="VWI109" s="2"/>
      <c r="VWJ109" s="2"/>
      <c r="VWK109" s="5"/>
      <c r="VWL109" s="2"/>
      <c r="VWM109" s="4"/>
      <c r="VWN109" s="2"/>
      <c r="VWO109" s="3"/>
      <c r="VWP109" s="2"/>
      <c r="VWQ109" s="2"/>
      <c r="VWR109" s="5"/>
      <c r="VWS109" s="2"/>
      <c r="VWT109" s="4"/>
      <c r="VWU109" s="2"/>
      <c r="VWV109" s="3"/>
      <c r="VWW109" s="2"/>
      <c r="VWX109" s="2"/>
      <c r="VWY109" s="5"/>
      <c r="VWZ109" s="2"/>
      <c r="VXA109" s="4"/>
      <c r="VXB109" s="2"/>
      <c r="VXC109" s="3"/>
      <c r="VXD109" s="2"/>
      <c r="VXE109" s="2"/>
      <c r="VXF109" s="5"/>
      <c r="VXG109" s="2"/>
      <c r="VXH109" s="4"/>
      <c r="VXI109" s="2"/>
      <c r="VXJ109" s="3"/>
      <c r="VXK109" s="2"/>
      <c r="VXL109" s="2"/>
      <c r="VXM109" s="5"/>
      <c r="VXN109" s="2"/>
      <c r="VXO109" s="4"/>
      <c r="VXP109" s="2"/>
      <c r="VXQ109" s="3"/>
      <c r="VXR109" s="2"/>
      <c r="VXS109" s="2"/>
      <c r="VXT109" s="5"/>
      <c r="VXU109" s="2"/>
      <c r="VXV109" s="4"/>
      <c r="VXW109" s="2"/>
      <c r="VXX109" s="3"/>
      <c r="VXY109" s="2"/>
      <c r="VXZ109" s="2"/>
      <c r="VYA109" s="5"/>
      <c r="VYB109" s="2"/>
      <c r="VYC109" s="4"/>
      <c r="VYD109" s="2"/>
      <c r="VYE109" s="3"/>
      <c r="VYF109" s="2"/>
      <c r="VYG109" s="2"/>
      <c r="VYH109" s="5"/>
      <c r="VYI109" s="2"/>
      <c r="VYJ109" s="4"/>
      <c r="VYK109" s="2"/>
      <c r="VYL109" s="3"/>
      <c r="VYM109" s="2"/>
      <c r="VYN109" s="2"/>
      <c r="VYO109" s="5"/>
      <c r="VYP109" s="2"/>
      <c r="VYQ109" s="4"/>
      <c r="VYR109" s="2"/>
      <c r="VYS109" s="3"/>
      <c r="VYT109" s="2"/>
      <c r="VYU109" s="2"/>
      <c r="VYV109" s="5"/>
      <c r="VYW109" s="2"/>
      <c r="VYX109" s="4"/>
      <c r="VYY109" s="2"/>
      <c r="VYZ109" s="3"/>
      <c r="VZA109" s="2"/>
      <c r="VZB109" s="2"/>
      <c r="VZC109" s="5"/>
      <c r="VZD109" s="2"/>
      <c r="VZE109" s="4"/>
      <c r="VZF109" s="2"/>
      <c r="VZG109" s="3"/>
      <c r="VZH109" s="2"/>
      <c r="VZI109" s="2"/>
      <c r="VZJ109" s="5"/>
      <c r="VZK109" s="2"/>
      <c r="VZL109" s="4"/>
      <c r="VZM109" s="2"/>
      <c r="VZN109" s="3"/>
      <c r="VZO109" s="2"/>
      <c r="VZP109" s="2"/>
      <c r="VZQ109" s="5"/>
      <c r="VZR109" s="2"/>
      <c r="VZS109" s="4"/>
      <c r="VZT109" s="2"/>
      <c r="VZU109" s="3"/>
      <c r="VZV109" s="2"/>
      <c r="VZW109" s="2"/>
      <c r="VZX109" s="5"/>
      <c r="VZY109" s="2"/>
      <c r="VZZ109" s="4"/>
      <c r="WAA109" s="2"/>
      <c r="WAB109" s="3"/>
      <c r="WAC109" s="2"/>
      <c r="WAD109" s="2"/>
      <c r="WAE109" s="5"/>
      <c r="WAF109" s="2"/>
      <c r="WAG109" s="4"/>
      <c r="WAH109" s="2"/>
      <c r="WAI109" s="3"/>
      <c r="WAJ109" s="2"/>
      <c r="WAK109" s="2"/>
      <c r="WAL109" s="5"/>
      <c r="WAM109" s="2"/>
      <c r="WAN109" s="4"/>
      <c r="WAO109" s="2"/>
      <c r="WAP109" s="3"/>
      <c r="WAQ109" s="2"/>
      <c r="WAR109" s="2"/>
      <c r="WAS109" s="5"/>
      <c r="WAT109" s="2"/>
      <c r="WAU109" s="4"/>
      <c r="WAV109" s="2"/>
      <c r="WAW109" s="3"/>
      <c r="WAX109" s="2"/>
      <c r="WAY109" s="2"/>
      <c r="WAZ109" s="5"/>
      <c r="WBA109" s="2"/>
      <c r="WBB109" s="4"/>
      <c r="WBC109" s="2"/>
      <c r="WBD109" s="3"/>
      <c r="WBE109" s="2"/>
      <c r="WBF109" s="2"/>
      <c r="WBG109" s="5"/>
      <c r="WBH109" s="2"/>
      <c r="WBI109" s="4"/>
      <c r="WBJ109" s="2"/>
      <c r="WBK109" s="3"/>
      <c r="WBL109" s="2"/>
      <c r="WBM109" s="2"/>
      <c r="WBN109" s="5"/>
      <c r="WBO109" s="2"/>
      <c r="WBP109" s="4"/>
      <c r="WBQ109" s="2"/>
      <c r="WBR109" s="3"/>
      <c r="WBS109" s="2"/>
      <c r="WBT109" s="2"/>
      <c r="WBU109" s="5"/>
      <c r="WBV109" s="2"/>
      <c r="WBW109" s="4"/>
      <c r="WBX109" s="2"/>
      <c r="WBY109" s="3"/>
      <c r="WBZ109" s="2"/>
      <c r="WCA109" s="2"/>
      <c r="WCB109" s="5"/>
      <c r="WCC109" s="2"/>
      <c r="WCD109" s="4"/>
      <c r="WCE109" s="2"/>
      <c r="WCF109" s="3"/>
      <c r="WCG109" s="2"/>
      <c r="WCH109" s="2"/>
      <c r="WCI109" s="5"/>
      <c r="WCJ109" s="2"/>
      <c r="WCK109" s="4"/>
      <c r="WCL109" s="2"/>
      <c r="WCM109" s="3"/>
      <c r="WCN109" s="2"/>
      <c r="WCO109" s="2"/>
      <c r="WCP109" s="5"/>
      <c r="WCQ109" s="2"/>
      <c r="WCR109" s="4"/>
      <c r="WCS109" s="2"/>
      <c r="WCT109" s="3"/>
      <c r="WCU109" s="2"/>
      <c r="WCV109" s="2"/>
      <c r="WCW109" s="5"/>
      <c r="WCX109" s="2"/>
      <c r="WCY109" s="4"/>
      <c r="WCZ109" s="2"/>
      <c r="WDA109" s="3"/>
      <c r="WDB109" s="2"/>
      <c r="WDC109" s="2"/>
      <c r="WDD109" s="5"/>
      <c r="WDE109" s="2"/>
      <c r="WDF109" s="4"/>
      <c r="WDG109" s="2"/>
      <c r="WDH109" s="3"/>
      <c r="WDI109" s="2"/>
      <c r="WDJ109" s="2"/>
      <c r="WDK109" s="5"/>
      <c r="WDL109" s="2"/>
      <c r="WDM109" s="4"/>
      <c r="WDN109" s="2"/>
      <c r="WDO109" s="3"/>
      <c r="WDP109" s="2"/>
      <c r="WDQ109" s="2"/>
      <c r="WDR109" s="5"/>
      <c r="WDS109" s="2"/>
      <c r="WDT109" s="4"/>
      <c r="WDU109" s="2"/>
      <c r="WDV109" s="3"/>
      <c r="WDW109" s="2"/>
      <c r="WDX109" s="2"/>
      <c r="WDY109" s="5"/>
      <c r="WDZ109" s="2"/>
      <c r="WEA109" s="4"/>
      <c r="WEB109" s="2"/>
      <c r="WEC109" s="3"/>
      <c r="WED109" s="2"/>
      <c r="WEE109" s="2"/>
      <c r="WEF109" s="5"/>
      <c r="WEG109" s="2"/>
      <c r="WEH109" s="4"/>
      <c r="WEI109" s="2"/>
      <c r="WEJ109" s="3"/>
      <c r="WEK109" s="2"/>
      <c r="WEL109" s="2"/>
      <c r="WEM109" s="5"/>
      <c r="WEN109" s="2"/>
      <c r="WEO109" s="4"/>
      <c r="WEP109" s="2"/>
      <c r="WEQ109" s="3"/>
      <c r="WER109" s="2"/>
      <c r="WES109" s="2"/>
      <c r="WET109" s="5"/>
      <c r="WEU109" s="2"/>
      <c r="WEV109" s="4"/>
      <c r="WEW109" s="2"/>
      <c r="WEX109" s="3"/>
      <c r="WEY109" s="2"/>
      <c r="WEZ109" s="2"/>
      <c r="WFA109" s="5"/>
      <c r="WFB109" s="2"/>
      <c r="WFC109" s="4"/>
      <c r="WFD109" s="2"/>
      <c r="WFE109" s="3"/>
      <c r="WFF109" s="2"/>
      <c r="WFG109" s="2"/>
      <c r="WFH109" s="5"/>
      <c r="WFI109" s="2"/>
      <c r="WFJ109" s="4"/>
      <c r="WFK109" s="2"/>
      <c r="WFL109" s="3"/>
      <c r="WFM109" s="2"/>
      <c r="WFN109" s="2"/>
      <c r="WFO109" s="5"/>
      <c r="WFP109" s="2"/>
      <c r="WFQ109" s="4"/>
      <c r="WFR109" s="2"/>
      <c r="WFS109" s="3"/>
      <c r="WFT109" s="2"/>
      <c r="WFU109" s="2"/>
      <c r="WFV109" s="5"/>
      <c r="WFW109" s="2"/>
      <c r="WFX109" s="4"/>
      <c r="WFY109" s="2"/>
      <c r="WFZ109" s="3"/>
      <c r="WGA109" s="2"/>
      <c r="WGB109" s="2"/>
      <c r="WGC109" s="5"/>
      <c r="WGD109" s="2"/>
      <c r="WGE109" s="4"/>
      <c r="WGF109" s="2"/>
      <c r="WGG109" s="3"/>
      <c r="WGH109" s="2"/>
      <c r="WGI109" s="2"/>
      <c r="WGJ109" s="5"/>
      <c r="WGK109" s="2"/>
      <c r="WGL109" s="4"/>
      <c r="WGM109" s="2"/>
      <c r="WGN109" s="3"/>
      <c r="WGO109" s="2"/>
      <c r="WGP109" s="2"/>
      <c r="WGQ109" s="5"/>
      <c r="WGR109" s="2"/>
      <c r="WGS109" s="4"/>
      <c r="WGT109" s="2"/>
      <c r="WGU109" s="3"/>
      <c r="WGV109" s="2"/>
      <c r="WGW109" s="2"/>
      <c r="WGX109" s="5"/>
      <c r="WGY109" s="2"/>
      <c r="WGZ109" s="4"/>
      <c r="WHA109" s="2"/>
      <c r="WHB109" s="3"/>
      <c r="WHC109" s="2"/>
      <c r="WHD109" s="2"/>
      <c r="WHE109" s="5"/>
      <c r="WHF109" s="2"/>
      <c r="WHG109" s="4"/>
      <c r="WHH109" s="2"/>
      <c r="WHI109" s="3"/>
      <c r="WHJ109" s="2"/>
      <c r="WHK109" s="2"/>
      <c r="WHL109" s="5"/>
      <c r="WHM109" s="2"/>
      <c r="WHN109" s="4"/>
      <c r="WHO109" s="2"/>
      <c r="WHP109" s="3"/>
      <c r="WHQ109" s="2"/>
      <c r="WHR109" s="2"/>
      <c r="WHS109" s="5"/>
      <c r="WHT109" s="2"/>
      <c r="WHU109" s="4"/>
      <c r="WHV109" s="2"/>
      <c r="WHW109" s="3"/>
      <c r="WHX109" s="2"/>
      <c r="WHY109" s="2"/>
      <c r="WHZ109" s="5"/>
      <c r="WIA109" s="2"/>
      <c r="WIB109" s="4"/>
      <c r="WIC109" s="2"/>
      <c r="WID109" s="3"/>
      <c r="WIE109" s="2"/>
      <c r="WIF109" s="2"/>
      <c r="WIG109" s="5"/>
      <c r="WIH109" s="2"/>
      <c r="WII109" s="4"/>
      <c r="WIJ109" s="2"/>
      <c r="WIK109" s="3"/>
      <c r="WIL109" s="2"/>
      <c r="WIM109" s="2"/>
      <c r="WIN109" s="5"/>
      <c r="WIO109" s="2"/>
      <c r="WIP109" s="4"/>
      <c r="WIQ109" s="2"/>
      <c r="WIR109" s="3"/>
      <c r="WIS109" s="2"/>
      <c r="WIT109" s="2"/>
      <c r="WIU109" s="5"/>
      <c r="WIV109" s="2"/>
      <c r="WIW109" s="4"/>
      <c r="WIX109" s="2"/>
      <c r="WIY109" s="3"/>
      <c r="WIZ109" s="2"/>
      <c r="WJA109" s="2"/>
      <c r="WJB109" s="5"/>
      <c r="WJC109" s="2"/>
      <c r="WJD109" s="4"/>
      <c r="WJE109" s="2"/>
      <c r="WJF109" s="3"/>
      <c r="WJG109" s="2"/>
      <c r="WJH109" s="2"/>
      <c r="WJI109" s="5"/>
      <c r="WJJ109" s="2"/>
      <c r="WJK109" s="4"/>
      <c r="WJL109" s="2"/>
      <c r="WJM109" s="3"/>
      <c r="WJN109" s="2"/>
      <c r="WJO109" s="2"/>
      <c r="WJP109" s="5"/>
      <c r="WJQ109" s="2"/>
      <c r="WJR109" s="4"/>
      <c r="WJS109" s="2"/>
      <c r="WJT109" s="3"/>
      <c r="WJU109" s="2"/>
      <c r="WJV109" s="2"/>
      <c r="WJW109" s="5"/>
      <c r="WJX109" s="2"/>
      <c r="WJY109" s="4"/>
      <c r="WJZ109" s="2"/>
      <c r="WKA109" s="3"/>
      <c r="WKB109" s="2"/>
      <c r="WKC109" s="2"/>
      <c r="WKD109" s="5"/>
      <c r="WKE109" s="2"/>
      <c r="WKF109" s="4"/>
      <c r="WKG109" s="2"/>
      <c r="WKH109" s="3"/>
      <c r="WKI109" s="2"/>
      <c r="WKJ109" s="2"/>
      <c r="WKK109" s="5"/>
      <c r="WKL109" s="2"/>
      <c r="WKM109" s="4"/>
      <c r="WKN109" s="2"/>
      <c r="WKO109" s="3"/>
      <c r="WKP109" s="2"/>
      <c r="WKQ109" s="2"/>
      <c r="WKR109" s="5"/>
      <c r="WKS109" s="2"/>
      <c r="WKT109" s="4"/>
      <c r="WKU109" s="2"/>
      <c r="WKV109" s="3"/>
      <c r="WKW109" s="2"/>
      <c r="WKX109" s="2"/>
      <c r="WKY109" s="5"/>
      <c r="WKZ109" s="2"/>
      <c r="WLA109" s="4"/>
      <c r="WLB109" s="2"/>
      <c r="WLC109" s="3"/>
      <c r="WLD109" s="2"/>
      <c r="WLE109" s="2"/>
      <c r="WLF109" s="5"/>
      <c r="WLG109" s="2"/>
      <c r="WLH109" s="4"/>
      <c r="WLI109" s="2"/>
      <c r="WLJ109" s="3"/>
      <c r="WLK109" s="2"/>
      <c r="WLL109" s="2"/>
      <c r="WLM109" s="5"/>
      <c r="WLN109" s="2"/>
      <c r="WLO109" s="4"/>
      <c r="WLP109" s="2"/>
      <c r="WLQ109" s="3"/>
      <c r="WLR109" s="2"/>
      <c r="WLS109" s="2"/>
      <c r="WLT109" s="5"/>
      <c r="WLU109" s="2"/>
      <c r="WLV109" s="4"/>
      <c r="WLW109" s="2"/>
      <c r="WLX109" s="3"/>
      <c r="WLY109" s="2"/>
      <c r="WLZ109" s="2"/>
      <c r="WMA109" s="5"/>
      <c r="WMB109" s="2"/>
      <c r="WMC109" s="4"/>
      <c r="WMD109" s="2"/>
      <c r="WME109" s="3"/>
      <c r="WMF109" s="2"/>
      <c r="WMG109" s="2"/>
      <c r="WMH109" s="5"/>
      <c r="WMI109" s="2"/>
      <c r="WMJ109" s="4"/>
      <c r="WMK109" s="2"/>
      <c r="WML109" s="3"/>
      <c r="WMM109" s="2"/>
      <c r="WMN109" s="2"/>
      <c r="WMO109" s="5"/>
      <c r="WMP109" s="2"/>
      <c r="WMQ109" s="4"/>
      <c r="WMR109" s="2"/>
      <c r="WMS109" s="3"/>
      <c r="WMT109" s="2"/>
      <c r="WMU109" s="2"/>
      <c r="WMV109" s="5"/>
      <c r="WMW109" s="2"/>
      <c r="WMX109" s="4"/>
      <c r="WMY109" s="2"/>
      <c r="WMZ109" s="3"/>
      <c r="WNA109" s="2"/>
      <c r="WNB109" s="2"/>
      <c r="WNC109" s="5"/>
      <c r="WND109" s="2"/>
      <c r="WNE109" s="4"/>
      <c r="WNF109" s="2"/>
      <c r="WNG109" s="3"/>
      <c r="WNH109" s="2"/>
      <c r="WNI109" s="2"/>
      <c r="WNJ109" s="5"/>
      <c r="WNK109" s="2"/>
      <c r="WNL109" s="4"/>
      <c r="WNM109" s="2"/>
      <c r="WNN109" s="3"/>
      <c r="WNO109" s="2"/>
      <c r="WNP109" s="2"/>
      <c r="WNQ109" s="5"/>
      <c r="WNR109" s="2"/>
      <c r="WNS109" s="4"/>
      <c r="WNT109" s="2"/>
      <c r="WNU109" s="3"/>
      <c r="WNV109" s="2"/>
      <c r="WNW109" s="2"/>
      <c r="WNX109" s="5"/>
      <c r="WNY109" s="2"/>
      <c r="WNZ109" s="4"/>
      <c r="WOA109" s="2"/>
      <c r="WOB109" s="3"/>
      <c r="WOC109" s="2"/>
      <c r="WOD109" s="2"/>
      <c r="WOE109" s="5"/>
      <c r="WOF109" s="2"/>
      <c r="WOG109" s="4"/>
      <c r="WOH109" s="2"/>
      <c r="WOI109" s="3"/>
      <c r="WOJ109" s="2"/>
      <c r="WOK109" s="2"/>
      <c r="WOL109" s="5"/>
      <c r="WOM109" s="2"/>
      <c r="WON109" s="4"/>
      <c r="WOO109" s="2"/>
      <c r="WOP109" s="3"/>
      <c r="WOQ109" s="2"/>
      <c r="WOR109" s="2"/>
      <c r="WOS109" s="5"/>
      <c r="WOT109" s="2"/>
      <c r="WOU109" s="4"/>
      <c r="WOV109" s="2"/>
      <c r="WOW109" s="3"/>
      <c r="WOX109" s="2"/>
      <c r="WOY109" s="2"/>
      <c r="WOZ109" s="5"/>
      <c r="WPA109" s="2"/>
      <c r="WPB109" s="4"/>
      <c r="WPC109" s="2"/>
      <c r="WPD109" s="3"/>
      <c r="WPE109" s="2"/>
      <c r="WPF109" s="2"/>
      <c r="WPG109" s="5"/>
      <c r="WPH109" s="2"/>
      <c r="WPI109" s="4"/>
      <c r="WPJ109" s="2"/>
      <c r="WPK109" s="3"/>
      <c r="WPL109" s="2"/>
      <c r="WPM109" s="2"/>
      <c r="WPN109" s="5"/>
      <c r="WPO109" s="2"/>
      <c r="WPP109" s="4"/>
      <c r="WPQ109" s="2"/>
      <c r="WPR109" s="3"/>
      <c r="WPS109" s="2"/>
      <c r="WPT109" s="2"/>
      <c r="WPU109" s="5"/>
      <c r="WPV109" s="2"/>
      <c r="WPW109" s="4"/>
      <c r="WPX109" s="2"/>
      <c r="WPY109" s="3"/>
      <c r="WPZ109" s="2"/>
      <c r="WQA109" s="2"/>
      <c r="WQB109" s="5"/>
      <c r="WQC109" s="2"/>
      <c r="WQD109" s="4"/>
      <c r="WQE109" s="2"/>
      <c r="WQF109" s="3"/>
      <c r="WQG109" s="2"/>
      <c r="WQH109" s="2"/>
      <c r="WQI109" s="5"/>
      <c r="WQJ109" s="2"/>
      <c r="WQK109" s="4"/>
      <c r="WQL109" s="2"/>
      <c r="WQM109" s="3"/>
      <c r="WQN109" s="2"/>
      <c r="WQO109" s="2"/>
      <c r="WQP109" s="5"/>
      <c r="WQQ109" s="2"/>
      <c r="WQR109" s="4"/>
      <c r="WQS109" s="2"/>
      <c r="WQT109" s="3"/>
      <c r="WQU109" s="2"/>
      <c r="WQV109" s="2"/>
      <c r="WQW109" s="5"/>
      <c r="WQX109" s="2"/>
      <c r="WQY109" s="4"/>
      <c r="WQZ109" s="2"/>
      <c r="WRA109" s="3"/>
      <c r="WRB109" s="2"/>
      <c r="WRC109" s="2"/>
      <c r="WRD109" s="5"/>
      <c r="WRE109" s="2"/>
      <c r="WRF109" s="4"/>
      <c r="WRG109" s="2"/>
      <c r="WRH109" s="3"/>
      <c r="WRI109" s="2"/>
      <c r="WRJ109" s="2"/>
      <c r="WRK109" s="5"/>
      <c r="WRL109" s="2"/>
      <c r="WRM109" s="4"/>
      <c r="WRN109" s="2"/>
      <c r="WRO109" s="3"/>
      <c r="WRP109" s="2"/>
      <c r="WRQ109" s="2"/>
      <c r="WRR109" s="5"/>
      <c r="WRS109" s="2"/>
      <c r="WRT109" s="4"/>
      <c r="WRU109" s="2"/>
      <c r="WRV109" s="3"/>
      <c r="WRW109" s="2"/>
      <c r="WRX109" s="2"/>
      <c r="WRY109" s="5"/>
      <c r="WRZ109" s="2"/>
      <c r="WSA109" s="4"/>
      <c r="WSB109" s="2"/>
      <c r="WSC109" s="3"/>
      <c r="WSD109" s="2"/>
      <c r="WSE109" s="2"/>
      <c r="WSF109" s="5"/>
      <c r="WSG109" s="2"/>
      <c r="WSH109" s="4"/>
      <c r="WSI109" s="2"/>
      <c r="WSJ109" s="3"/>
      <c r="WSK109" s="2"/>
      <c r="WSL109" s="2"/>
      <c r="WSM109" s="5"/>
      <c r="WSN109" s="2"/>
      <c r="WSO109" s="4"/>
      <c r="WSP109" s="2"/>
      <c r="WSQ109" s="3"/>
      <c r="WSR109" s="2"/>
      <c r="WSS109" s="2"/>
      <c r="WST109" s="5"/>
      <c r="WSU109" s="2"/>
      <c r="WSV109" s="4"/>
      <c r="WSW109" s="2"/>
      <c r="WSX109" s="3"/>
      <c r="WSY109" s="2"/>
      <c r="WSZ109" s="2"/>
      <c r="WTA109" s="5"/>
      <c r="WTB109" s="2"/>
      <c r="WTC109" s="4"/>
      <c r="WTD109" s="2"/>
      <c r="WTE109" s="3"/>
      <c r="WTF109" s="2"/>
      <c r="WTG109" s="2"/>
      <c r="WTH109" s="5"/>
      <c r="WTI109" s="2"/>
      <c r="WTJ109" s="4"/>
      <c r="WTK109" s="2"/>
      <c r="WTL109" s="3"/>
      <c r="WTM109" s="2"/>
      <c r="WTN109" s="2"/>
      <c r="WTO109" s="5"/>
      <c r="WTP109" s="2"/>
      <c r="WTQ109" s="4"/>
      <c r="WTR109" s="2"/>
      <c r="WTS109" s="3"/>
      <c r="WTT109" s="2"/>
      <c r="WTU109" s="2"/>
      <c r="WTV109" s="5"/>
      <c r="WTW109" s="2"/>
      <c r="WTX109" s="4"/>
      <c r="WTY109" s="2"/>
      <c r="WTZ109" s="3"/>
      <c r="WUA109" s="2"/>
      <c r="WUB109" s="2"/>
      <c r="WUC109" s="5"/>
      <c r="WUD109" s="2"/>
      <c r="WUE109" s="4"/>
      <c r="WUF109" s="2"/>
      <c r="WUG109" s="3"/>
      <c r="WUH109" s="2"/>
      <c r="WUI109" s="2"/>
      <c r="WUJ109" s="5"/>
      <c r="WUK109" s="2"/>
      <c r="WUL109" s="4"/>
      <c r="WUM109" s="2"/>
      <c r="WUN109" s="3"/>
      <c r="WUO109" s="2"/>
      <c r="WUP109" s="2"/>
      <c r="WUQ109" s="5"/>
      <c r="WUR109" s="2"/>
      <c r="WUS109" s="4"/>
      <c r="WUT109" s="2"/>
      <c r="WUU109" s="3"/>
      <c r="WUV109" s="2"/>
      <c r="WUW109" s="2"/>
      <c r="WUX109" s="5"/>
      <c r="WUY109" s="2"/>
      <c r="WUZ109" s="4"/>
      <c r="WVA109" s="2"/>
      <c r="WVB109" s="3"/>
      <c r="WVC109" s="2"/>
      <c r="WVD109" s="2"/>
      <c r="WVE109" s="5"/>
      <c r="WVF109" s="2"/>
      <c r="WVG109" s="4"/>
      <c r="WVH109" s="2"/>
      <c r="WVI109" s="3"/>
      <c r="WVJ109" s="2"/>
      <c r="WVK109" s="2"/>
      <c r="WVL109" s="5"/>
      <c r="WVM109" s="2"/>
      <c r="WVN109" s="4"/>
      <c r="WVO109" s="2"/>
      <c r="WVP109" s="3"/>
      <c r="WVQ109" s="2"/>
      <c r="WVR109" s="2"/>
      <c r="WVS109" s="5"/>
      <c r="WVT109" s="2"/>
      <c r="WVU109" s="4"/>
      <c r="WVV109" s="2"/>
      <c r="WVW109" s="3"/>
      <c r="WVX109" s="2"/>
      <c r="WVY109" s="2"/>
      <c r="WVZ109" s="5"/>
      <c r="WWA109" s="2"/>
      <c r="WWB109" s="4"/>
      <c r="WWC109" s="2"/>
      <c r="WWD109" s="3"/>
      <c r="WWE109" s="2"/>
      <c r="WWF109" s="2"/>
      <c r="WWG109" s="5"/>
      <c r="WWH109" s="2"/>
      <c r="WWI109" s="4"/>
      <c r="WWJ109" s="2"/>
      <c r="WWK109" s="3"/>
      <c r="WWL109" s="2"/>
      <c r="WWM109" s="2"/>
      <c r="WWN109" s="5"/>
      <c r="WWO109" s="2"/>
      <c r="WWP109" s="4"/>
      <c r="WWQ109" s="2"/>
      <c r="WWR109" s="3"/>
      <c r="WWS109" s="2"/>
      <c r="WWT109" s="2"/>
      <c r="WWU109" s="5"/>
      <c r="WWV109" s="2"/>
      <c r="WWW109" s="4"/>
      <c r="WWX109" s="2"/>
      <c r="WWY109" s="3"/>
      <c r="WWZ109" s="2"/>
      <c r="WXA109" s="2"/>
      <c r="WXB109" s="5"/>
      <c r="WXC109" s="2"/>
      <c r="WXD109" s="4"/>
      <c r="WXE109" s="2"/>
      <c r="WXF109" s="3"/>
      <c r="WXG109" s="2"/>
      <c r="WXH109" s="2"/>
      <c r="WXI109" s="5"/>
      <c r="WXJ109" s="2"/>
      <c r="WXK109" s="4"/>
      <c r="WXL109" s="2"/>
      <c r="WXM109" s="3"/>
      <c r="WXN109" s="2"/>
      <c r="WXO109" s="2"/>
      <c r="WXP109" s="5"/>
      <c r="WXQ109" s="2"/>
      <c r="WXR109" s="4"/>
      <c r="WXS109" s="2"/>
      <c r="WXT109" s="3"/>
      <c r="WXU109" s="2"/>
      <c r="WXV109" s="2"/>
      <c r="WXW109" s="5"/>
      <c r="WXX109" s="2"/>
      <c r="WXY109" s="4"/>
      <c r="WXZ109" s="2"/>
      <c r="WYA109" s="3"/>
      <c r="WYB109" s="2"/>
      <c r="WYC109" s="2"/>
      <c r="WYD109" s="5"/>
      <c r="WYE109" s="2"/>
      <c r="WYF109" s="4"/>
      <c r="WYG109" s="2"/>
      <c r="WYH109" s="3"/>
      <c r="WYI109" s="2"/>
      <c r="WYJ109" s="2"/>
      <c r="WYK109" s="5"/>
      <c r="WYL109" s="2"/>
      <c r="WYM109" s="4"/>
      <c r="WYN109" s="2"/>
      <c r="WYO109" s="3"/>
      <c r="WYP109" s="2"/>
      <c r="WYQ109" s="2"/>
      <c r="WYR109" s="5"/>
      <c r="WYS109" s="2"/>
      <c r="WYT109" s="4"/>
      <c r="WYU109" s="2"/>
      <c r="WYV109" s="3"/>
      <c r="WYW109" s="2"/>
      <c r="WYX109" s="2"/>
      <c r="WYY109" s="5"/>
      <c r="WYZ109" s="2"/>
      <c r="WZA109" s="4"/>
      <c r="WZB109" s="2"/>
      <c r="WZC109" s="3"/>
      <c r="WZD109" s="2"/>
      <c r="WZE109" s="2"/>
      <c r="WZF109" s="5"/>
      <c r="WZG109" s="2"/>
      <c r="WZH109" s="4"/>
      <c r="WZI109" s="2"/>
      <c r="WZJ109" s="3"/>
      <c r="WZK109" s="2"/>
      <c r="WZL109" s="2"/>
      <c r="WZM109" s="5"/>
      <c r="WZN109" s="2"/>
      <c r="WZO109" s="4"/>
      <c r="WZP109" s="2"/>
      <c r="WZQ109" s="3"/>
      <c r="WZR109" s="2"/>
      <c r="WZS109" s="2"/>
      <c r="WZT109" s="5"/>
      <c r="WZU109" s="2"/>
      <c r="WZV109" s="4"/>
      <c r="WZW109" s="2"/>
      <c r="WZX109" s="3"/>
      <c r="WZY109" s="2"/>
      <c r="WZZ109" s="2"/>
      <c r="XAA109" s="5"/>
      <c r="XAB109" s="2"/>
      <c r="XAC109" s="4"/>
      <c r="XAD109" s="2"/>
      <c r="XAE109" s="3"/>
      <c r="XAF109" s="2"/>
      <c r="XAG109" s="2"/>
      <c r="XAH109" s="5"/>
      <c r="XAI109" s="2"/>
      <c r="XAJ109" s="4"/>
      <c r="XAK109" s="2"/>
      <c r="XAL109" s="3"/>
      <c r="XAM109" s="2"/>
      <c r="XAN109" s="2"/>
      <c r="XAO109" s="5"/>
      <c r="XAP109" s="2"/>
      <c r="XAQ109" s="4"/>
      <c r="XAR109" s="2"/>
      <c r="XAS109" s="3"/>
      <c r="XAT109" s="2"/>
      <c r="XAU109" s="2"/>
      <c r="XAV109" s="5"/>
      <c r="XAW109" s="2"/>
      <c r="XAX109" s="4"/>
      <c r="XAY109" s="2"/>
      <c r="XAZ109" s="3"/>
      <c r="XBA109" s="2"/>
      <c r="XBB109" s="2"/>
      <c r="XBC109" s="5"/>
      <c r="XBD109" s="2"/>
      <c r="XBE109" s="4"/>
      <c r="XBF109" s="2"/>
      <c r="XBG109" s="3"/>
      <c r="XBH109" s="2"/>
      <c r="XBI109" s="2"/>
      <c r="XBJ109" s="5"/>
      <c r="XBK109" s="2"/>
      <c r="XBL109" s="4"/>
      <c r="XBM109" s="2"/>
      <c r="XBN109" s="3"/>
      <c r="XBO109" s="2"/>
      <c r="XBP109" s="2"/>
      <c r="XBQ109" s="5"/>
      <c r="XBR109" s="2"/>
      <c r="XBS109" s="4"/>
      <c r="XBT109" s="2"/>
      <c r="XBU109" s="3"/>
      <c r="XBV109" s="2"/>
      <c r="XBW109" s="2"/>
      <c r="XBX109" s="5"/>
      <c r="XBY109" s="2"/>
      <c r="XBZ109" s="4"/>
      <c r="XCA109" s="2"/>
      <c r="XCB109" s="3"/>
      <c r="XCC109" s="2"/>
      <c r="XCD109" s="2"/>
      <c r="XCE109" s="5"/>
      <c r="XCF109" s="2"/>
      <c r="XCG109" s="4"/>
      <c r="XCH109" s="2"/>
      <c r="XCI109" s="3"/>
      <c r="XCJ109" s="2"/>
      <c r="XCK109" s="2"/>
      <c r="XCL109" s="5"/>
      <c r="XCM109" s="2"/>
      <c r="XCN109" s="4"/>
      <c r="XCO109" s="2"/>
      <c r="XCP109" s="3"/>
      <c r="XCQ109" s="2"/>
      <c r="XCR109" s="2"/>
      <c r="XCS109" s="5"/>
      <c r="XCT109" s="2"/>
      <c r="XCU109" s="4"/>
      <c r="XCV109" s="2"/>
      <c r="XCW109" s="3"/>
      <c r="XCX109" s="2"/>
      <c r="XCY109" s="2"/>
      <c r="XCZ109" s="5"/>
      <c r="XDA109" s="2"/>
      <c r="XDB109" s="4"/>
      <c r="XDC109" s="2"/>
      <c r="XDD109" s="3"/>
      <c r="XDE109" s="2"/>
      <c r="XDF109" s="2"/>
      <c r="XDG109" s="5"/>
      <c r="XDH109" s="2"/>
      <c r="XDI109" s="4"/>
      <c r="XDJ109" s="2"/>
      <c r="XDK109" s="3"/>
      <c r="XDL109" s="2"/>
      <c r="XDM109" s="2"/>
      <c r="XDN109" s="5"/>
      <c r="XDO109" s="2"/>
      <c r="XDP109" s="4"/>
      <c r="XDQ109" s="2"/>
      <c r="XDR109" s="3"/>
      <c r="XDS109" s="2"/>
      <c r="XDT109" s="2"/>
      <c r="XDU109" s="5"/>
      <c r="XDV109" s="2"/>
      <c r="XDW109" s="4"/>
      <c r="XDX109" s="2"/>
      <c r="XDY109" s="3"/>
      <c r="XDZ109" s="2"/>
      <c r="XEA109" s="2"/>
      <c r="XEB109" s="5"/>
      <c r="XEC109" s="2"/>
      <c r="XED109" s="4"/>
      <c r="XEE109" s="2"/>
      <c r="XEF109" s="3"/>
      <c r="XEG109" s="2"/>
      <c r="XEH109" s="2"/>
      <c r="XEI109" s="5"/>
      <c r="XEJ109" s="2"/>
      <c r="XEK109" s="4"/>
      <c r="XEL109" s="2"/>
      <c r="XEM109" s="3"/>
      <c r="XEN109" s="2"/>
      <c r="XEO109" s="2"/>
      <c r="XEP109" s="5"/>
      <c r="XEQ109" s="2"/>
      <c r="XER109" s="4"/>
      <c r="XES109" s="2"/>
      <c r="XET109" s="3"/>
      <c r="XEU109" s="2"/>
      <c r="XEV109" s="2"/>
      <c r="XEW109" s="5"/>
      <c r="XEX109" s="2"/>
      <c r="XEY109" s="4"/>
      <c r="XEZ109" s="2"/>
      <c r="XFA109" s="3"/>
      <c r="XFB109" s="2"/>
      <c r="XFC109" s="2"/>
      <c r="XFD109" s="5"/>
    </row>
    <row r="110" spans="1:16384" ht="28.15" customHeight="1" x14ac:dyDescent="0.5">
      <c r="A110" s="62" t="s">
        <v>203</v>
      </c>
      <c r="B110" s="13"/>
      <c r="C110" s="28" t="s">
        <v>411</v>
      </c>
      <c r="D110" s="27" t="s">
        <v>8</v>
      </c>
      <c r="E110" s="28"/>
      <c r="F110" s="29" t="s">
        <v>9</v>
      </c>
      <c r="G110" s="18" t="s">
        <v>496</v>
      </c>
    </row>
    <row r="111" spans="1:16384" ht="28.15" customHeight="1" x14ac:dyDescent="0.5">
      <c r="A111" s="62" t="s">
        <v>204</v>
      </c>
      <c r="B111" s="13"/>
      <c r="C111" s="28" t="s">
        <v>414</v>
      </c>
      <c r="D111" s="27" t="s">
        <v>18</v>
      </c>
      <c r="E111" s="28"/>
      <c r="F111" s="29" t="s">
        <v>498</v>
      </c>
      <c r="G111" s="28"/>
    </row>
    <row r="112" spans="1:16384" ht="28.15" customHeight="1" x14ac:dyDescent="0.5">
      <c r="A112" s="62" t="s">
        <v>279</v>
      </c>
      <c r="B112" s="13"/>
      <c r="C112" s="28" t="s">
        <v>344</v>
      </c>
      <c r="D112" s="27" t="s">
        <v>8</v>
      </c>
      <c r="E112" s="28"/>
      <c r="F112" s="29" t="s">
        <v>498</v>
      </c>
      <c r="G112" s="28"/>
    </row>
    <row r="113" spans="1:16384" ht="28.15" customHeight="1" x14ac:dyDescent="0.5">
      <c r="A113" s="63"/>
      <c r="B113" s="30"/>
      <c r="C113" s="30"/>
      <c r="D113" s="31"/>
      <c r="E113" s="28"/>
      <c r="F113" s="32"/>
      <c r="G113" s="30"/>
    </row>
    <row r="114" spans="1:16384" ht="28.15" customHeight="1" x14ac:dyDescent="0.5">
      <c r="A114" s="61">
        <v>10</v>
      </c>
      <c r="B114" s="66" t="s">
        <v>19</v>
      </c>
      <c r="C114" s="23"/>
      <c r="D114" s="23"/>
      <c r="E114" s="28"/>
      <c r="F114" s="25"/>
      <c r="G114" s="24"/>
    </row>
    <row r="115" spans="1:16384" ht="28.15" customHeight="1" x14ac:dyDescent="0.5">
      <c r="A115" s="62" t="s">
        <v>106</v>
      </c>
      <c r="B115" s="13"/>
      <c r="C115" s="28" t="s">
        <v>194</v>
      </c>
      <c r="D115" s="27" t="s">
        <v>5</v>
      </c>
      <c r="E115" s="28"/>
      <c r="F115" s="29" t="s">
        <v>20</v>
      </c>
      <c r="G115" s="28"/>
    </row>
    <row r="116" spans="1:16384" ht="28.15" customHeight="1" x14ac:dyDescent="0.5">
      <c r="A116" s="62" t="s">
        <v>107</v>
      </c>
      <c r="B116" s="13"/>
      <c r="C116" s="28" t="s">
        <v>415</v>
      </c>
      <c r="D116" s="27" t="s">
        <v>8</v>
      </c>
      <c r="E116" s="28"/>
      <c r="F116" s="29" t="s">
        <v>20</v>
      </c>
      <c r="G116" s="28"/>
    </row>
    <row r="117" spans="1:16384" ht="28.15" customHeight="1" x14ac:dyDescent="0.5">
      <c r="A117" s="62" t="s">
        <v>108</v>
      </c>
      <c r="B117" s="13"/>
      <c r="C117" s="28" t="s">
        <v>365</v>
      </c>
      <c r="D117" s="27" t="s">
        <v>5</v>
      </c>
      <c r="E117" s="28"/>
      <c r="F117" s="29" t="s">
        <v>498</v>
      </c>
      <c r="G117" s="28"/>
    </row>
    <row r="118" spans="1:16384" ht="28.15" customHeight="1" x14ac:dyDescent="0.5">
      <c r="A118" s="62" t="s">
        <v>486</v>
      </c>
      <c r="B118" s="13"/>
      <c r="C118" s="28" t="s">
        <v>345</v>
      </c>
      <c r="D118" s="27" t="s">
        <v>8</v>
      </c>
      <c r="E118" s="28"/>
      <c r="F118" s="29" t="s">
        <v>20</v>
      </c>
      <c r="G118" s="28"/>
    </row>
    <row r="119" spans="1:16384" ht="28.15" customHeight="1" x14ac:dyDescent="0.5">
      <c r="A119" s="62" t="s">
        <v>109</v>
      </c>
      <c r="B119" s="13"/>
      <c r="C119" s="28" t="s">
        <v>23</v>
      </c>
      <c r="D119" s="27" t="s">
        <v>18</v>
      </c>
      <c r="E119" s="28"/>
      <c r="F119" s="29" t="s">
        <v>9</v>
      </c>
      <c r="G119" s="28"/>
    </row>
    <row r="120" spans="1:16384" ht="28.15" customHeight="1" x14ac:dyDescent="0.5">
      <c r="A120" s="62" t="s">
        <v>110</v>
      </c>
      <c r="B120" s="13"/>
      <c r="C120" s="28" t="s">
        <v>21</v>
      </c>
      <c r="D120" s="27" t="s">
        <v>511</v>
      </c>
      <c r="E120" s="28"/>
      <c r="F120" s="29" t="s">
        <v>498</v>
      </c>
      <c r="G120" s="18" t="s">
        <v>476</v>
      </c>
    </row>
    <row r="121" spans="1:16384" ht="28.15" customHeight="1" x14ac:dyDescent="0.5">
      <c r="A121" s="62" t="s">
        <v>111</v>
      </c>
      <c r="B121" s="13"/>
      <c r="C121" s="28" t="s">
        <v>416</v>
      </c>
      <c r="D121" s="27" t="s">
        <v>18</v>
      </c>
      <c r="E121" s="28"/>
      <c r="F121" s="29" t="s">
        <v>9</v>
      </c>
      <c r="G121" s="28"/>
      <c r="H121" s="3"/>
      <c r="I121" s="2"/>
      <c r="J121" s="2"/>
      <c r="K121" s="5"/>
      <c r="L121" s="2"/>
      <c r="M121" s="4"/>
      <c r="N121" s="2"/>
      <c r="O121" s="3"/>
      <c r="P121" s="2"/>
      <c r="Q121" s="2"/>
      <c r="R121" s="5"/>
      <c r="S121" s="2"/>
      <c r="T121" s="4"/>
      <c r="U121" s="2"/>
      <c r="V121" s="3"/>
      <c r="W121" s="2"/>
      <c r="X121" s="2"/>
      <c r="Y121" s="5"/>
      <c r="Z121" s="2"/>
      <c r="AA121" s="4"/>
      <c r="AB121" s="2"/>
      <c r="AC121" s="3"/>
      <c r="AD121" s="2"/>
      <c r="AE121" s="2"/>
      <c r="AF121" s="5"/>
      <c r="AG121" s="2"/>
      <c r="AH121" s="4"/>
      <c r="AI121" s="2"/>
      <c r="AJ121" s="3"/>
      <c r="AK121" s="2"/>
      <c r="AL121" s="2"/>
      <c r="AM121" s="5"/>
      <c r="AN121" s="2"/>
      <c r="AO121" s="4"/>
      <c r="AP121" s="2"/>
      <c r="AQ121" s="3"/>
      <c r="AR121" s="2"/>
      <c r="AS121" s="2"/>
      <c r="AT121" s="5"/>
      <c r="AU121" s="2"/>
      <c r="AV121" s="4"/>
      <c r="AW121" s="2"/>
      <c r="AX121" s="3"/>
      <c r="AY121" s="2"/>
      <c r="AZ121" s="2"/>
      <c r="BA121" s="5"/>
      <c r="BB121" s="2"/>
      <c r="BC121" s="4"/>
      <c r="BD121" s="2"/>
      <c r="BE121" s="3"/>
      <c r="BF121" s="2"/>
      <c r="BG121" s="2"/>
      <c r="BH121" s="5"/>
      <c r="BI121" s="2"/>
      <c r="BJ121" s="4"/>
      <c r="BK121" s="2"/>
      <c r="BL121" s="3"/>
      <c r="BM121" s="2"/>
      <c r="BN121" s="2"/>
      <c r="BO121" s="5"/>
      <c r="BP121" s="2"/>
      <c r="BQ121" s="4"/>
      <c r="BR121" s="2"/>
      <c r="BS121" s="3"/>
      <c r="BT121" s="2"/>
      <c r="BU121" s="2"/>
      <c r="BV121" s="5"/>
      <c r="BW121" s="2"/>
      <c r="BX121" s="4"/>
      <c r="BY121" s="2"/>
      <c r="BZ121" s="3"/>
      <c r="CA121" s="2"/>
      <c r="CB121" s="2"/>
      <c r="CC121" s="5"/>
      <c r="CD121" s="2"/>
      <c r="CE121" s="4"/>
      <c r="CF121" s="2"/>
      <c r="CG121" s="3"/>
      <c r="CH121" s="2"/>
      <c r="CI121" s="2"/>
      <c r="CJ121" s="5"/>
      <c r="CK121" s="2"/>
      <c r="CL121" s="4"/>
      <c r="CM121" s="2"/>
      <c r="CN121" s="3"/>
      <c r="CO121" s="2"/>
      <c r="CP121" s="2"/>
      <c r="CQ121" s="5"/>
      <c r="CR121" s="2"/>
      <c r="CS121" s="4"/>
      <c r="CT121" s="2"/>
      <c r="CU121" s="3"/>
      <c r="CV121" s="2"/>
      <c r="CW121" s="2"/>
      <c r="CX121" s="5"/>
      <c r="CY121" s="2"/>
      <c r="CZ121" s="4"/>
      <c r="DA121" s="2"/>
      <c r="DB121" s="3"/>
      <c r="DC121" s="2"/>
      <c r="DD121" s="2"/>
      <c r="DE121" s="5"/>
      <c r="DF121" s="2"/>
      <c r="DG121" s="4"/>
      <c r="DH121" s="2"/>
      <c r="DI121" s="3"/>
      <c r="DJ121" s="2"/>
      <c r="DK121" s="2"/>
      <c r="DL121" s="5"/>
      <c r="DM121" s="2"/>
      <c r="DN121" s="4"/>
      <c r="DO121" s="2"/>
      <c r="DP121" s="3"/>
      <c r="DQ121" s="2"/>
      <c r="DR121" s="2"/>
      <c r="DS121" s="5"/>
      <c r="DT121" s="2"/>
      <c r="DU121" s="4"/>
      <c r="DV121" s="2"/>
      <c r="DW121" s="3"/>
      <c r="DX121" s="2"/>
      <c r="DY121" s="2"/>
      <c r="DZ121" s="5"/>
      <c r="EA121" s="2"/>
      <c r="EB121" s="4"/>
      <c r="EC121" s="2"/>
      <c r="ED121" s="3"/>
      <c r="EE121" s="2"/>
      <c r="EF121" s="2"/>
      <c r="EG121" s="5"/>
      <c r="EH121" s="2"/>
      <c r="EI121" s="4"/>
      <c r="EJ121" s="2"/>
      <c r="EK121" s="3"/>
      <c r="EL121" s="2"/>
      <c r="EM121" s="2"/>
      <c r="EN121" s="5"/>
      <c r="EO121" s="2"/>
      <c r="EP121" s="4"/>
      <c r="EQ121" s="2"/>
      <c r="ER121" s="3"/>
      <c r="ES121" s="2"/>
      <c r="ET121" s="2"/>
      <c r="EU121" s="5"/>
      <c r="EV121" s="2"/>
      <c r="EW121" s="4"/>
      <c r="EX121" s="2"/>
      <c r="EY121" s="3"/>
      <c r="EZ121" s="2"/>
      <c r="FA121" s="2"/>
      <c r="FB121" s="5"/>
      <c r="FC121" s="2"/>
      <c r="FD121" s="4"/>
      <c r="FE121" s="2"/>
      <c r="FF121" s="3"/>
      <c r="FG121" s="2"/>
      <c r="FH121" s="2"/>
      <c r="FI121" s="5"/>
      <c r="FJ121" s="2"/>
      <c r="FK121" s="4"/>
      <c r="FL121" s="2"/>
      <c r="FM121" s="3"/>
      <c r="FN121" s="2"/>
      <c r="FO121" s="2"/>
      <c r="FP121" s="5"/>
      <c r="FQ121" s="2"/>
      <c r="FR121" s="4"/>
      <c r="FS121" s="2"/>
      <c r="FT121" s="3"/>
      <c r="FU121" s="2"/>
      <c r="FV121" s="2"/>
      <c r="FW121" s="5"/>
      <c r="FX121" s="2"/>
      <c r="FY121" s="4"/>
      <c r="FZ121" s="2"/>
      <c r="GA121" s="3"/>
      <c r="GB121" s="2"/>
      <c r="GC121" s="2"/>
      <c r="GD121" s="5"/>
      <c r="GE121" s="2"/>
      <c r="GF121" s="4"/>
      <c r="GG121" s="2"/>
      <c r="GH121" s="3"/>
      <c r="GI121" s="2"/>
      <c r="GJ121" s="2"/>
      <c r="GK121" s="5"/>
      <c r="GL121" s="2"/>
      <c r="GM121" s="4"/>
      <c r="GN121" s="2"/>
      <c r="GO121" s="3"/>
      <c r="GP121" s="2"/>
      <c r="GQ121" s="2"/>
      <c r="GR121" s="5"/>
      <c r="GS121" s="2"/>
      <c r="GT121" s="4"/>
      <c r="GU121" s="2"/>
      <c r="GV121" s="3"/>
      <c r="GW121" s="2"/>
      <c r="GX121" s="2"/>
      <c r="GY121" s="5"/>
      <c r="GZ121" s="2"/>
      <c r="HA121" s="4"/>
      <c r="HB121" s="2"/>
      <c r="HC121" s="3"/>
      <c r="HD121" s="2"/>
      <c r="HE121" s="2"/>
      <c r="HF121" s="5"/>
      <c r="HG121" s="2"/>
      <c r="HH121" s="4"/>
      <c r="HI121" s="2"/>
      <c r="HJ121" s="3"/>
      <c r="HK121" s="2"/>
      <c r="HL121" s="2"/>
      <c r="HM121" s="5"/>
      <c r="HN121" s="2"/>
      <c r="HO121" s="4"/>
      <c r="HP121" s="2"/>
      <c r="HQ121" s="3"/>
      <c r="HR121" s="2"/>
      <c r="HS121" s="2"/>
      <c r="HT121" s="5"/>
      <c r="HU121" s="2"/>
      <c r="HV121" s="4"/>
      <c r="HW121" s="2"/>
      <c r="HX121" s="3"/>
      <c r="HY121" s="2"/>
      <c r="HZ121" s="2"/>
      <c r="IA121" s="5"/>
      <c r="IB121" s="2"/>
      <c r="IC121" s="4"/>
      <c r="ID121" s="2"/>
      <c r="IE121" s="3"/>
      <c r="IF121" s="2"/>
      <c r="IG121" s="2"/>
      <c r="IH121" s="5"/>
      <c r="II121" s="2"/>
      <c r="IJ121" s="4"/>
      <c r="IK121" s="2"/>
      <c r="IL121" s="3"/>
      <c r="IM121" s="2"/>
      <c r="IN121" s="2"/>
      <c r="IO121" s="5"/>
      <c r="IP121" s="2"/>
      <c r="IQ121" s="4"/>
      <c r="IR121" s="2"/>
      <c r="IS121" s="3"/>
      <c r="IT121" s="2"/>
      <c r="IU121" s="2"/>
      <c r="IV121" s="5"/>
      <c r="IW121" s="2"/>
      <c r="IX121" s="4"/>
      <c r="IY121" s="2"/>
      <c r="IZ121" s="3"/>
      <c r="JA121" s="2"/>
      <c r="JB121" s="2"/>
      <c r="JC121" s="5"/>
      <c r="JD121" s="2"/>
      <c r="JE121" s="4"/>
      <c r="JF121" s="2"/>
      <c r="JG121" s="3"/>
      <c r="JH121" s="2"/>
      <c r="JI121" s="2"/>
      <c r="JJ121" s="5"/>
      <c r="JK121" s="2"/>
      <c r="JL121" s="4"/>
      <c r="JM121" s="2"/>
      <c r="JN121" s="3"/>
      <c r="JO121" s="2"/>
      <c r="JP121" s="2"/>
      <c r="JQ121" s="5"/>
      <c r="JR121" s="2"/>
      <c r="JS121" s="4"/>
      <c r="JT121" s="2"/>
      <c r="JU121" s="3"/>
      <c r="JV121" s="2"/>
      <c r="JW121" s="2"/>
      <c r="JX121" s="5"/>
      <c r="JY121" s="2"/>
      <c r="JZ121" s="4"/>
      <c r="KA121" s="2"/>
      <c r="KB121" s="3"/>
      <c r="KC121" s="2"/>
      <c r="KD121" s="2"/>
      <c r="KE121" s="5"/>
      <c r="KF121" s="2"/>
      <c r="KG121" s="4"/>
      <c r="KH121" s="2"/>
      <c r="KI121" s="3"/>
      <c r="KJ121" s="2"/>
      <c r="KK121" s="2"/>
      <c r="KL121" s="5"/>
      <c r="KM121" s="2"/>
      <c r="KN121" s="4"/>
      <c r="KO121" s="2"/>
      <c r="KP121" s="3"/>
      <c r="KQ121" s="2"/>
      <c r="KR121" s="2"/>
      <c r="KS121" s="5"/>
      <c r="KT121" s="2"/>
      <c r="KU121" s="4"/>
      <c r="KV121" s="2"/>
      <c r="KW121" s="3"/>
      <c r="KX121" s="2"/>
      <c r="KY121" s="2"/>
      <c r="KZ121" s="5"/>
      <c r="LA121" s="2"/>
      <c r="LB121" s="4"/>
      <c r="LC121" s="2"/>
      <c r="LD121" s="3"/>
      <c r="LE121" s="2"/>
      <c r="LF121" s="2"/>
      <c r="LG121" s="5"/>
      <c r="LH121" s="2"/>
      <c r="LI121" s="4"/>
      <c r="LJ121" s="2"/>
      <c r="LK121" s="3"/>
      <c r="LL121" s="2"/>
      <c r="LM121" s="2"/>
      <c r="LN121" s="5"/>
      <c r="LO121" s="2"/>
      <c r="LP121" s="4"/>
      <c r="LQ121" s="2"/>
      <c r="LR121" s="3"/>
      <c r="LS121" s="2"/>
      <c r="LT121" s="2"/>
      <c r="LU121" s="5"/>
      <c r="LV121" s="2"/>
      <c r="LW121" s="4"/>
      <c r="LX121" s="2"/>
      <c r="LY121" s="3"/>
      <c r="LZ121" s="2"/>
      <c r="MA121" s="2"/>
      <c r="MB121" s="5"/>
      <c r="MC121" s="2"/>
      <c r="MD121" s="4"/>
      <c r="ME121" s="2"/>
      <c r="MF121" s="3"/>
      <c r="MG121" s="2"/>
      <c r="MH121" s="2"/>
      <c r="MI121" s="5"/>
      <c r="MJ121" s="2"/>
      <c r="MK121" s="4"/>
      <c r="ML121" s="2"/>
      <c r="MM121" s="3"/>
      <c r="MN121" s="2"/>
      <c r="MO121" s="2"/>
      <c r="MP121" s="5"/>
      <c r="MQ121" s="2"/>
      <c r="MR121" s="4"/>
      <c r="MS121" s="2"/>
      <c r="MT121" s="3"/>
      <c r="MU121" s="2"/>
      <c r="MV121" s="2"/>
      <c r="MW121" s="5"/>
      <c r="MX121" s="2"/>
      <c r="MY121" s="4"/>
      <c r="MZ121" s="2"/>
      <c r="NA121" s="3"/>
      <c r="NB121" s="2"/>
      <c r="NC121" s="2"/>
      <c r="ND121" s="5"/>
      <c r="NE121" s="2"/>
      <c r="NF121" s="4"/>
      <c r="NG121" s="2"/>
      <c r="NH121" s="3"/>
      <c r="NI121" s="2"/>
      <c r="NJ121" s="2"/>
      <c r="NK121" s="5"/>
      <c r="NL121" s="2"/>
      <c r="NM121" s="4"/>
      <c r="NN121" s="2"/>
      <c r="NO121" s="3"/>
      <c r="NP121" s="2"/>
      <c r="NQ121" s="2"/>
      <c r="NR121" s="5"/>
      <c r="NS121" s="2"/>
      <c r="NT121" s="4"/>
      <c r="NU121" s="2"/>
      <c r="NV121" s="3"/>
      <c r="NW121" s="2"/>
      <c r="NX121" s="2"/>
      <c r="NY121" s="5"/>
      <c r="NZ121" s="2"/>
      <c r="OA121" s="4"/>
      <c r="OB121" s="2"/>
      <c r="OC121" s="3"/>
      <c r="OD121" s="2"/>
      <c r="OE121" s="2"/>
      <c r="OF121" s="5"/>
      <c r="OG121" s="2"/>
      <c r="OH121" s="4"/>
      <c r="OI121" s="2"/>
      <c r="OJ121" s="3"/>
      <c r="OK121" s="2"/>
      <c r="OL121" s="2"/>
      <c r="OM121" s="5"/>
      <c r="ON121" s="2"/>
      <c r="OO121" s="4"/>
      <c r="OP121" s="2"/>
      <c r="OQ121" s="3"/>
      <c r="OR121" s="2"/>
      <c r="OS121" s="2"/>
      <c r="OT121" s="5"/>
      <c r="OU121" s="2"/>
      <c r="OV121" s="4"/>
      <c r="OW121" s="2"/>
      <c r="OX121" s="3"/>
      <c r="OY121" s="2"/>
      <c r="OZ121" s="2"/>
      <c r="PA121" s="5"/>
      <c r="PB121" s="2"/>
      <c r="PC121" s="4"/>
      <c r="PD121" s="2"/>
      <c r="PE121" s="3"/>
      <c r="PF121" s="2"/>
      <c r="PG121" s="2"/>
      <c r="PH121" s="5"/>
      <c r="PI121" s="2"/>
      <c r="PJ121" s="4"/>
      <c r="PK121" s="2"/>
      <c r="PL121" s="3"/>
      <c r="PM121" s="2"/>
      <c r="PN121" s="2"/>
      <c r="PO121" s="5"/>
      <c r="PP121" s="2"/>
      <c r="PQ121" s="4"/>
      <c r="PR121" s="2"/>
      <c r="PS121" s="3"/>
      <c r="PT121" s="2"/>
      <c r="PU121" s="2"/>
      <c r="PV121" s="5"/>
      <c r="PW121" s="2"/>
      <c r="PX121" s="4"/>
      <c r="PY121" s="2"/>
      <c r="PZ121" s="3"/>
      <c r="QA121" s="2"/>
      <c r="QB121" s="2"/>
      <c r="QC121" s="5"/>
      <c r="QD121" s="2"/>
      <c r="QE121" s="4"/>
      <c r="QF121" s="2"/>
      <c r="QG121" s="3"/>
      <c r="QH121" s="2"/>
      <c r="QI121" s="2"/>
      <c r="QJ121" s="5"/>
      <c r="QK121" s="2"/>
      <c r="QL121" s="4"/>
      <c r="QM121" s="2"/>
      <c r="QN121" s="3"/>
      <c r="QO121" s="2"/>
      <c r="QP121" s="2"/>
      <c r="QQ121" s="5"/>
      <c r="QR121" s="2"/>
      <c r="QS121" s="4"/>
      <c r="QT121" s="2"/>
      <c r="QU121" s="3"/>
      <c r="QV121" s="2"/>
      <c r="QW121" s="2"/>
      <c r="QX121" s="5"/>
      <c r="QY121" s="2"/>
      <c r="QZ121" s="4"/>
      <c r="RA121" s="2"/>
      <c r="RB121" s="3"/>
      <c r="RC121" s="2"/>
      <c r="RD121" s="2"/>
      <c r="RE121" s="5"/>
      <c r="RF121" s="2"/>
      <c r="RG121" s="4"/>
      <c r="RH121" s="2"/>
      <c r="RI121" s="3"/>
      <c r="RJ121" s="2"/>
      <c r="RK121" s="2"/>
      <c r="RL121" s="5"/>
      <c r="RM121" s="2"/>
      <c r="RN121" s="4"/>
      <c r="RO121" s="2"/>
      <c r="RP121" s="3"/>
      <c r="RQ121" s="2"/>
      <c r="RR121" s="2"/>
      <c r="RS121" s="5"/>
      <c r="RT121" s="2"/>
      <c r="RU121" s="4"/>
      <c r="RV121" s="2"/>
      <c r="RW121" s="3"/>
      <c r="RX121" s="2"/>
      <c r="RY121" s="2"/>
      <c r="RZ121" s="5"/>
      <c r="SA121" s="2"/>
      <c r="SB121" s="4"/>
      <c r="SC121" s="2"/>
      <c r="SD121" s="3"/>
      <c r="SE121" s="2"/>
      <c r="SF121" s="2"/>
      <c r="SG121" s="5"/>
      <c r="SH121" s="2"/>
      <c r="SI121" s="4"/>
      <c r="SJ121" s="2"/>
      <c r="SK121" s="3"/>
      <c r="SL121" s="2"/>
      <c r="SM121" s="2"/>
      <c r="SN121" s="5"/>
      <c r="SO121" s="2"/>
      <c r="SP121" s="4"/>
      <c r="SQ121" s="2"/>
      <c r="SR121" s="3"/>
      <c r="SS121" s="2"/>
      <c r="ST121" s="2"/>
      <c r="SU121" s="5"/>
      <c r="SV121" s="2"/>
      <c r="SW121" s="4"/>
      <c r="SX121" s="2"/>
      <c r="SY121" s="3"/>
      <c r="SZ121" s="2"/>
      <c r="TA121" s="2"/>
      <c r="TB121" s="5"/>
      <c r="TC121" s="2"/>
      <c r="TD121" s="4"/>
      <c r="TE121" s="2"/>
      <c r="TF121" s="3"/>
      <c r="TG121" s="2"/>
      <c r="TH121" s="2"/>
      <c r="TI121" s="5"/>
      <c r="TJ121" s="2"/>
      <c r="TK121" s="4"/>
      <c r="TL121" s="2"/>
      <c r="TM121" s="3"/>
      <c r="TN121" s="2"/>
      <c r="TO121" s="2"/>
      <c r="TP121" s="5"/>
      <c r="TQ121" s="2"/>
      <c r="TR121" s="4"/>
      <c r="TS121" s="2"/>
      <c r="TT121" s="3"/>
      <c r="TU121" s="2"/>
      <c r="TV121" s="2"/>
      <c r="TW121" s="5"/>
      <c r="TX121" s="2"/>
      <c r="TY121" s="4"/>
      <c r="TZ121" s="2"/>
      <c r="UA121" s="3"/>
      <c r="UB121" s="2"/>
      <c r="UC121" s="2"/>
      <c r="UD121" s="5"/>
      <c r="UE121" s="2"/>
      <c r="UF121" s="4"/>
      <c r="UG121" s="2"/>
      <c r="UH121" s="3"/>
      <c r="UI121" s="2"/>
      <c r="UJ121" s="2"/>
      <c r="UK121" s="5"/>
      <c r="UL121" s="2"/>
      <c r="UM121" s="4"/>
      <c r="UN121" s="2"/>
      <c r="UO121" s="3"/>
      <c r="UP121" s="2"/>
      <c r="UQ121" s="2"/>
      <c r="UR121" s="5"/>
      <c r="US121" s="2"/>
      <c r="UT121" s="4"/>
      <c r="UU121" s="2"/>
      <c r="UV121" s="3"/>
      <c r="UW121" s="2"/>
      <c r="UX121" s="2"/>
      <c r="UY121" s="5"/>
      <c r="UZ121" s="2"/>
      <c r="VA121" s="4"/>
      <c r="VB121" s="2"/>
      <c r="VC121" s="3"/>
      <c r="VD121" s="2"/>
      <c r="VE121" s="2"/>
      <c r="VF121" s="5"/>
      <c r="VG121" s="2"/>
      <c r="VH121" s="4"/>
      <c r="VI121" s="2"/>
      <c r="VJ121" s="3"/>
      <c r="VK121" s="2"/>
      <c r="VL121" s="2"/>
      <c r="VM121" s="5"/>
      <c r="VN121" s="2"/>
      <c r="VO121" s="4"/>
      <c r="VP121" s="2"/>
      <c r="VQ121" s="3"/>
      <c r="VR121" s="2"/>
      <c r="VS121" s="2"/>
      <c r="VT121" s="5"/>
      <c r="VU121" s="2"/>
      <c r="VV121" s="4"/>
      <c r="VW121" s="2"/>
      <c r="VX121" s="3"/>
      <c r="VY121" s="2"/>
      <c r="VZ121" s="2"/>
      <c r="WA121" s="5"/>
      <c r="WB121" s="2"/>
      <c r="WC121" s="4"/>
      <c r="WD121" s="2"/>
      <c r="WE121" s="3"/>
      <c r="WF121" s="2"/>
      <c r="WG121" s="2"/>
      <c r="WH121" s="5"/>
      <c r="WI121" s="2"/>
      <c r="WJ121" s="4"/>
      <c r="WK121" s="2"/>
      <c r="WL121" s="3"/>
      <c r="WM121" s="2"/>
      <c r="WN121" s="2"/>
      <c r="WO121" s="5"/>
      <c r="WP121" s="2"/>
      <c r="WQ121" s="4"/>
      <c r="WR121" s="2"/>
      <c r="WS121" s="3"/>
      <c r="WT121" s="2"/>
      <c r="WU121" s="2"/>
      <c r="WV121" s="5"/>
      <c r="WW121" s="2"/>
      <c r="WX121" s="4"/>
      <c r="WY121" s="2"/>
      <c r="WZ121" s="3"/>
      <c r="XA121" s="2"/>
      <c r="XB121" s="2"/>
      <c r="XC121" s="5"/>
      <c r="XD121" s="2"/>
      <c r="XE121" s="4"/>
      <c r="XF121" s="2"/>
      <c r="XG121" s="3"/>
      <c r="XH121" s="2"/>
      <c r="XI121" s="2"/>
      <c r="XJ121" s="5"/>
      <c r="XK121" s="2"/>
      <c r="XL121" s="4"/>
      <c r="XM121" s="2"/>
      <c r="XN121" s="3"/>
      <c r="XO121" s="2"/>
      <c r="XP121" s="2"/>
      <c r="XQ121" s="5"/>
      <c r="XR121" s="2"/>
      <c r="XS121" s="4"/>
      <c r="XT121" s="2"/>
      <c r="XU121" s="3"/>
      <c r="XV121" s="2"/>
      <c r="XW121" s="2"/>
      <c r="XX121" s="5"/>
      <c r="XY121" s="2"/>
      <c r="XZ121" s="4"/>
      <c r="YA121" s="2"/>
      <c r="YB121" s="3"/>
      <c r="YC121" s="2"/>
      <c r="YD121" s="2"/>
      <c r="YE121" s="5"/>
      <c r="YF121" s="2"/>
      <c r="YG121" s="4"/>
      <c r="YH121" s="2"/>
      <c r="YI121" s="3"/>
      <c r="YJ121" s="2"/>
      <c r="YK121" s="2"/>
      <c r="YL121" s="5"/>
      <c r="YM121" s="2"/>
      <c r="YN121" s="4"/>
      <c r="YO121" s="2"/>
      <c r="YP121" s="3"/>
      <c r="YQ121" s="2"/>
      <c r="YR121" s="2"/>
      <c r="YS121" s="5"/>
      <c r="YT121" s="2"/>
      <c r="YU121" s="4"/>
      <c r="YV121" s="2"/>
      <c r="YW121" s="3"/>
      <c r="YX121" s="2"/>
      <c r="YY121" s="2"/>
      <c r="YZ121" s="5"/>
      <c r="ZA121" s="2"/>
      <c r="ZB121" s="4"/>
      <c r="ZC121" s="2"/>
      <c r="ZD121" s="3"/>
      <c r="ZE121" s="2"/>
      <c r="ZF121" s="2"/>
      <c r="ZG121" s="5"/>
      <c r="ZH121" s="2"/>
      <c r="ZI121" s="4"/>
      <c r="ZJ121" s="2"/>
      <c r="ZK121" s="3"/>
      <c r="ZL121" s="2"/>
      <c r="ZM121" s="2"/>
      <c r="ZN121" s="5"/>
      <c r="ZO121" s="2"/>
      <c r="ZP121" s="4"/>
      <c r="ZQ121" s="2"/>
      <c r="ZR121" s="3"/>
      <c r="ZS121" s="2"/>
      <c r="ZT121" s="2"/>
      <c r="ZU121" s="5"/>
      <c r="ZV121" s="2"/>
      <c r="ZW121" s="4"/>
      <c r="ZX121" s="2"/>
      <c r="ZY121" s="3"/>
      <c r="ZZ121" s="2"/>
      <c r="AAA121" s="2"/>
      <c r="AAB121" s="5"/>
      <c r="AAC121" s="2"/>
      <c r="AAD121" s="4"/>
      <c r="AAE121" s="2"/>
      <c r="AAF121" s="3"/>
      <c r="AAG121" s="2"/>
      <c r="AAH121" s="2"/>
      <c r="AAI121" s="5"/>
      <c r="AAJ121" s="2"/>
      <c r="AAK121" s="4"/>
      <c r="AAL121" s="2"/>
      <c r="AAM121" s="3"/>
      <c r="AAN121" s="2"/>
      <c r="AAO121" s="2"/>
      <c r="AAP121" s="5"/>
      <c r="AAQ121" s="2"/>
      <c r="AAR121" s="4"/>
      <c r="AAS121" s="2"/>
      <c r="AAT121" s="3"/>
      <c r="AAU121" s="2"/>
      <c r="AAV121" s="2"/>
      <c r="AAW121" s="5"/>
      <c r="AAX121" s="2"/>
      <c r="AAY121" s="4"/>
      <c r="AAZ121" s="2"/>
      <c r="ABA121" s="3"/>
      <c r="ABB121" s="2"/>
      <c r="ABC121" s="2"/>
      <c r="ABD121" s="5"/>
      <c r="ABE121" s="2"/>
      <c r="ABF121" s="4"/>
      <c r="ABG121" s="2"/>
      <c r="ABH121" s="3"/>
      <c r="ABI121" s="2"/>
      <c r="ABJ121" s="2"/>
      <c r="ABK121" s="5"/>
      <c r="ABL121" s="2"/>
      <c r="ABM121" s="4"/>
      <c r="ABN121" s="2"/>
      <c r="ABO121" s="3"/>
      <c r="ABP121" s="2"/>
      <c r="ABQ121" s="2"/>
      <c r="ABR121" s="5"/>
      <c r="ABS121" s="2"/>
      <c r="ABT121" s="4"/>
      <c r="ABU121" s="2"/>
      <c r="ABV121" s="3"/>
      <c r="ABW121" s="2"/>
      <c r="ABX121" s="2"/>
      <c r="ABY121" s="5"/>
      <c r="ABZ121" s="2"/>
      <c r="ACA121" s="4"/>
      <c r="ACB121" s="2"/>
      <c r="ACC121" s="3"/>
      <c r="ACD121" s="2"/>
      <c r="ACE121" s="2"/>
      <c r="ACF121" s="5"/>
      <c r="ACG121" s="2"/>
      <c r="ACH121" s="4"/>
      <c r="ACI121" s="2"/>
      <c r="ACJ121" s="3"/>
      <c r="ACK121" s="2"/>
      <c r="ACL121" s="2"/>
      <c r="ACM121" s="5"/>
      <c r="ACN121" s="2"/>
      <c r="ACO121" s="4"/>
      <c r="ACP121" s="2"/>
      <c r="ACQ121" s="3"/>
      <c r="ACR121" s="2"/>
      <c r="ACS121" s="2"/>
      <c r="ACT121" s="5"/>
      <c r="ACU121" s="2"/>
      <c r="ACV121" s="4"/>
      <c r="ACW121" s="2"/>
      <c r="ACX121" s="3"/>
      <c r="ACY121" s="2"/>
      <c r="ACZ121" s="2"/>
      <c r="ADA121" s="5"/>
      <c r="ADB121" s="2"/>
      <c r="ADC121" s="4"/>
      <c r="ADD121" s="2"/>
      <c r="ADE121" s="3"/>
      <c r="ADF121" s="2"/>
      <c r="ADG121" s="2"/>
      <c r="ADH121" s="5"/>
      <c r="ADI121" s="2"/>
      <c r="ADJ121" s="4"/>
      <c r="ADK121" s="2"/>
      <c r="ADL121" s="3"/>
      <c r="ADM121" s="2"/>
      <c r="ADN121" s="2"/>
      <c r="ADO121" s="5"/>
      <c r="ADP121" s="2"/>
      <c r="ADQ121" s="4"/>
      <c r="ADR121" s="2"/>
      <c r="ADS121" s="3"/>
      <c r="ADT121" s="2"/>
      <c r="ADU121" s="2"/>
      <c r="ADV121" s="5"/>
      <c r="ADW121" s="2"/>
      <c r="ADX121" s="4"/>
      <c r="ADY121" s="2"/>
      <c r="ADZ121" s="3"/>
      <c r="AEA121" s="2"/>
      <c r="AEB121" s="2"/>
      <c r="AEC121" s="5"/>
      <c r="AED121" s="2"/>
      <c r="AEE121" s="4"/>
      <c r="AEF121" s="2"/>
      <c r="AEG121" s="3"/>
      <c r="AEH121" s="2"/>
      <c r="AEI121" s="2"/>
      <c r="AEJ121" s="5"/>
      <c r="AEK121" s="2"/>
      <c r="AEL121" s="4"/>
      <c r="AEM121" s="2"/>
      <c r="AEN121" s="3"/>
      <c r="AEO121" s="2"/>
      <c r="AEP121" s="2"/>
      <c r="AEQ121" s="5"/>
      <c r="AER121" s="2"/>
      <c r="AES121" s="4"/>
      <c r="AET121" s="2"/>
      <c r="AEU121" s="3"/>
      <c r="AEV121" s="2"/>
      <c r="AEW121" s="2"/>
      <c r="AEX121" s="5"/>
      <c r="AEY121" s="2"/>
      <c r="AEZ121" s="4"/>
      <c r="AFA121" s="2"/>
      <c r="AFB121" s="3"/>
      <c r="AFC121" s="2"/>
      <c r="AFD121" s="2"/>
      <c r="AFE121" s="5"/>
      <c r="AFF121" s="2"/>
      <c r="AFG121" s="4"/>
      <c r="AFH121" s="2"/>
      <c r="AFI121" s="3"/>
      <c r="AFJ121" s="2"/>
      <c r="AFK121" s="2"/>
      <c r="AFL121" s="5"/>
      <c r="AFM121" s="2"/>
      <c r="AFN121" s="4"/>
      <c r="AFO121" s="2"/>
      <c r="AFP121" s="3"/>
      <c r="AFQ121" s="2"/>
      <c r="AFR121" s="2"/>
      <c r="AFS121" s="5"/>
      <c r="AFT121" s="2"/>
      <c r="AFU121" s="4"/>
      <c r="AFV121" s="2"/>
      <c r="AFW121" s="3"/>
      <c r="AFX121" s="2"/>
      <c r="AFY121" s="2"/>
      <c r="AFZ121" s="5"/>
      <c r="AGA121" s="2"/>
      <c r="AGB121" s="4"/>
      <c r="AGC121" s="2"/>
      <c r="AGD121" s="3"/>
      <c r="AGE121" s="2"/>
      <c r="AGF121" s="2"/>
      <c r="AGG121" s="5"/>
      <c r="AGH121" s="2"/>
      <c r="AGI121" s="4"/>
      <c r="AGJ121" s="2"/>
      <c r="AGK121" s="3"/>
      <c r="AGL121" s="2"/>
      <c r="AGM121" s="2"/>
      <c r="AGN121" s="5"/>
      <c r="AGO121" s="2"/>
      <c r="AGP121" s="4"/>
      <c r="AGQ121" s="2"/>
      <c r="AGR121" s="3"/>
      <c r="AGS121" s="2"/>
      <c r="AGT121" s="2"/>
      <c r="AGU121" s="5"/>
      <c r="AGV121" s="2"/>
      <c r="AGW121" s="4"/>
      <c r="AGX121" s="2"/>
      <c r="AGY121" s="3"/>
      <c r="AGZ121" s="2"/>
      <c r="AHA121" s="2"/>
      <c r="AHB121" s="5"/>
      <c r="AHC121" s="2"/>
      <c r="AHD121" s="4"/>
      <c r="AHE121" s="2"/>
      <c r="AHF121" s="3"/>
      <c r="AHG121" s="2"/>
      <c r="AHH121" s="2"/>
      <c r="AHI121" s="5"/>
      <c r="AHJ121" s="2"/>
      <c r="AHK121" s="4"/>
      <c r="AHL121" s="2"/>
      <c r="AHM121" s="3"/>
      <c r="AHN121" s="2"/>
      <c r="AHO121" s="2"/>
      <c r="AHP121" s="5"/>
      <c r="AHQ121" s="2"/>
      <c r="AHR121" s="4"/>
      <c r="AHS121" s="2"/>
      <c r="AHT121" s="3"/>
      <c r="AHU121" s="2"/>
      <c r="AHV121" s="2"/>
      <c r="AHW121" s="5"/>
      <c r="AHX121" s="2"/>
      <c r="AHY121" s="4"/>
      <c r="AHZ121" s="2"/>
      <c r="AIA121" s="3"/>
      <c r="AIB121" s="2"/>
      <c r="AIC121" s="2"/>
      <c r="AID121" s="5"/>
      <c r="AIE121" s="2"/>
      <c r="AIF121" s="4"/>
      <c r="AIG121" s="2"/>
      <c r="AIH121" s="3"/>
      <c r="AII121" s="2"/>
      <c r="AIJ121" s="2"/>
      <c r="AIK121" s="5"/>
      <c r="AIL121" s="2"/>
      <c r="AIM121" s="4"/>
      <c r="AIN121" s="2"/>
      <c r="AIO121" s="3"/>
      <c r="AIP121" s="2"/>
      <c r="AIQ121" s="2"/>
      <c r="AIR121" s="5"/>
      <c r="AIS121" s="2"/>
      <c r="AIT121" s="4"/>
      <c r="AIU121" s="2"/>
      <c r="AIV121" s="3"/>
      <c r="AIW121" s="2"/>
      <c r="AIX121" s="2"/>
      <c r="AIY121" s="5"/>
      <c r="AIZ121" s="2"/>
      <c r="AJA121" s="4"/>
      <c r="AJB121" s="2"/>
      <c r="AJC121" s="3"/>
      <c r="AJD121" s="2"/>
      <c r="AJE121" s="2"/>
      <c r="AJF121" s="5"/>
      <c r="AJG121" s="2"/>
      <c r="AJH121" s="4"/>
      <c r="AJI121" s="2"/>
      <c r="AJJ121" s="3"/>
      <c r="AJK121" s="2"/>
      <c r="AJL121" s="2"/>
      <c r="AJM121" s="5"/>
      <c r="AJN121" s="2"/>
      <c r="AJO121" s="4"/>
      <c r="AJP121" s="2"/>
      <c r="AJQ121" s="3"/>
      <c r="AJR121" s="2"/>
      <c r="AJS121" s="2"/>
      <c r="AJT121" s="5"/>
      <c r="AJU121" s="2"/>
      <c r="AJV121" s="4"/>
      <c r="AJW121" s="2"/>
      <c r="AJX121" s="3"/>
      <c r="AJY121" s="2"/>
      <c r="AJZ121" s="2"/>
      <c r="AKA121" s="5"/>
      <c r="AKB121" s="2"/>
      <c r="AKC121" s="4"/>
      <c r="AKD121" s="2"/>
      <c r="AKE121" s="3"/>
      <c r="AKF121" s="2"/>
      <c r="AKG121" s="2"/>
      <c r="AKH121" s="5"/>
      <c r="AKI121" s="2"/>
      <c r="AKJ121" s="4"/>
      <c r="AKK121" s="2"/>
      <c r="AKL121" s="3"/>
      <c r="AKM121" s="2"/>
      <c r="AKN121" s="2"/>
      <c r="AKO121" s="5"/>
      <c r="AKP121" s="2"/>
      <c r="AKQ121" s="4"/>
      <c r="AKR121" s="2"/>
      <c r="AKS121" s="3"/>
      <c r="AKT121" s="2"/>
      <c r="AKU121" s="2"/>
      <c r="AKV121" s="5"/>
      <c r="AKW121" s="2"/>
      <c r="AKX121" s="4"/>
      <c r="AKY121" s="2"/>
      <c r="AKZ121" s="3"/>
      <c r="ALA121" s="2"/>
      <c r="ALB121" s="2"/>
      <c r="ALC121" s="5"/>
      <c r="ALD121" s="2"/>
      <c r="ALE121" s="4"/>
      <c r="ALF121" s="2"/>
      <c r="ALG121" s="3"/>
      <c r="ALH121" s="2"/>
      <c r="ALI121" s="2"/>
      <c r="ALJ121" s="5"/>
      <c r="ALK121" s="2"/>
      <c r="ALL121" s="4"/>
      <c r="ALM121" s="2"/>
      <c r="ALN121" s="3"/>
      <c r="ALO121" s="2"/>
      <c r="ALP121" s="2"/>
      <c r="ALQ121" s="5"/>
      <c r="ALR121" s="2"/>
      <c r="ALS121" s="4"/>
      <c r="ALT121" s="2"/>
      <c r="ALU121" s="3"/>
      <c r="ALV121" s="2"/>
      <c r="ALW121" s="2"/>
      <c r="ALX121" s="5"/>
      <c r="ALY121" s="2"/>
      <c r="ALZ121" s="4"/>
      <c r="AMA121" s="2"/>
      <c r="AMB121" s="3"/>
      <c r="AMC121" s="2"/>
      <c r="AMD121" s="2"/>
      <c r="AME121" s="5"/>
      <c r="AMF121" s="2"/>
      <c r="AMG121" s="4"/>
      <c r="AMH121" s="2"/>
      <c r="AMI121" s="3"/>
      <c r="AMJ121" s="2"/>
      <c r="AMK121" s="2"/>
      <c r="AML121" s="5"/>
      <c r="AMM121" s="2"/>
      <c r="AMN121" s="4"/>
      <c r="AMO121" s="2"/>
      <c r="AMP121" s="3"/>
      <c r="AMQ121" s="2"/>
      <c r="AMR121" s="2"/>
      <c r="AMS121" s="5"/>
      <c r="AMT121" s="2"/>
      <c r="AMU121" s="4"/>
      <c r="AMV121" s="2"/>
      <c r="AMW121" s="3"/>
      <c r="AMX121" s="2"/>
      <c r="AMY121" s="2"/>
      <c r="AMZ121" s="5"/>
      <c r="ANA121" s="2"/>
      <c r="ANB121" s="4"/>
      <c r="ANC121" s="2"/>
      <c r="AND121" s="3"/>
      <c r="ANE121" s="2"/>
      <c r="ANF121" s="2"/>
      <c r="ANG121" s="5"/>
      <c r="ANH121" s="2"/>
      <c r="ANI121" s="4"/>
      <c r="ANJ121" s="2"/>
      <c r="ANK121" s="3"/>
      <c r="ANL121" s="2"/>
      <c r="ANM121" s="2"/>
      <c r="ANN121" s="5"/>
      <c r="ANO121" s="2"/>
      <c r="ANP121" s="4"/>
      <c r="ANQ121" s="2"/>
      <c r="ANR121" s="3"/>
      <c r="ANS121" s="2"/>
      <c r="ANT121" s="2"/>
      <c r="ANU121" s="5"/>
      <c r="ANV121" s="2"/>
      <c r="ANW121" s="4"/>
      <c r="ANX121" s="2"/>
      <c r="ANY121" s="3"/>
      <c r="ANZ121" s="2"/>
      <c r="AOA121" s="2"/>
      <c r="AOB121" s="5"/>
      <c r="AOC121" s="2"/>
      <c r="AOD121" s="4"/>
      <c r="AOE121" s="2"/>
      <c r="AOF121" s="3"/>
      <c r="AOG121" s="2"/>
      <c r="AOH121" s="2"/>
      <c r="AOI121" s="5"/>
      <c r="AOJ121" s="2"/>
      <c r="AOK121" s="4"/>
      <c r="AOL121" s="2"/>
      <c r="AOM121" s="3"/>
      <c r="AON121" s="2"/>
      <c r="AOO121" s="2"/>
      <c r="AOP121" s="5"/>
      <c r="AOQ121" s="2"/>
      <c r="AOR121" s="4"/>
      <c r="AOS121" s="2"/>
      <c r="AOT121" s="3"/>
      <c r="AOU121" s="2"/>
      <c r="AOV121" s="2"/>
      <c r="AOW121" s="5"/>
      <c r="AOX121" s="2"/>
      <c r="AOY121" s="4"/>
      <c r="AOZ121" s="2"/>
      <c r="APA121" s="3"/>
      <c r="APB121" s="2"/>
      <c r="APC121" s="2"/>
      <c r="APD121" s="5"/>
      <c r="APE121" s="2"/>
      <c r="APF121" s="4"/>
      <c r="APG121" s="2"/>
      <c r="APH121" s="3"/>
      <c r="API121" s="2"/>
      <c r="APJ121" s="2"/>
      <c r="APK121" s="5"/>
      <c r="APL121" s="2"/>
      <c r="APM121" s="4"/>
      <c r="APN121" s="2"/>
      <c r="APO121" s="3"/>
      <c r="APP121" s="2"/>
      <c r="APQ121" s="2"/>
      <c r="APR121" s="5"/>
      <c r="APS121" s="2"/>
      <c r="APT121" s="4"/>
      <c r="APU121" s="2"/>
      <c r="APV121" s="3"/>
      <c r="APW121" s="2"/>
      <c r="APX121" s="2"/>
      <c r="APY121" s="5"/>
      <c r="APZ121" s="2"/>
      <c r="AQA121" s="4"/>
      <c r="AQB121" s="2"/>
      <c r="AQC121" s="3"/>
      <c r="AQD121" s="2"/>
      <c r="AQE121" s="2"/>
      <c r="AQF121" s="5"/>
      <c r="AQG121" s="2"/>
      <c r="AQH121" s="4"/>
      <c r="AQI121" s="2"/>
      <c r="AQJ121" s="3"/>
      <c r="AQK121" s="2"/>
      <c r="AQL121" s="2"/>
      <c r="AQM121" s="5"/>
      <c r="AQN121" s="2"/>
      <c r="AQO121" s="4"/>
      <c r="AQP121" s="2"/>
      <c r="AQQ121" s="3"/>
      <c r="AQR121" s="2"/>
      <c r="AQS121" s="2"/>
      <c r="AQT121" s="5"/>
      <c r="AQU121" s="2"/>
      <c r="AQV121" s="4"/>
      <c r="AQW121" s="2"/>
      <c r="AQX121" s="3"/>
      <c r="AQY121" s="2"/>
      <c r="AQZ121" s="2"/>
      <c r="ARA121" s="5"/>
      <c r="ARB121" s="2"/>
      <c r="ARC121" s="4"/>
      <c r="ARD121" s="2"/>
      <c r="ARE121" s="3"/>
      <c r="ARF121" s="2"/>
      <c r="ARG121" s="2"/>
      <c r="ARH121" s="5"/>
      <c r="ARI121" s="2"/>
      <c r="ARJ121" s="4"/>
      <c r="ARK121" s="2"/>
      <c r="ARL121" s="3"/>
      <c r="ARM121" s="2"/>
      <c r="ARN121" s="2"/>
      <c r="ARO121" s="5"/>
      <c r="ARP121" s="2"/>
      <c r="ARQ121" s="4"/>
      <c r="ARR121" s="2"/>
      <c r="ARS121" s="3"/>
      <c r="ART121" s="2"/>
      <c r="ARU121" s="2"/>
      <c r="ARV121" s="5"/>
      <c r="ARW121" s="2"/>
      <c r="ARX121" s="4"/>
      <c r="ARY121" s="2"/>
      <c r="ARZ121" s="3"/>
      <c r="ASA121" s="2"/>
      <c r="ASB121" s="2"/>
      <c r="ASC121" s="5"/>
      <c r="ASD121" s="2"/>
      <c r="ASE121" s="4"/>
      <c r="ASF121" s="2"/>
      <c r="ASG121" s="3"/>
      <c r="ASH121" s="2"/>
      <c r="ASI121" s="2"/>
      <c r="ASJ121" s="5"/>
      <c r="ASK121" s="2"/>
      <c r="ASL121" s="4"/>
      <c r="ASM121" s="2"/>
      <c r="ASN121" s="3"/>
      <c r="ASO121" s="2"/>
      <c r="ASP121" s="2"/>
      <c r="ASQ121" s="5"/>
      <c r="ASR121" s="2"/>
      <c r="ASS121" s="4"/>
      <c r="AST121" s="2"/>
      <c r="ASU121" s="3"/>
      <c r="ASV121" s="2"/>
      <c r="ASW121" s="2"/>
      <c r="ASX121" s="5"/>
      <c r="ASY121" s="2"/>
      <c r="ASZ121" s="4"/>
      <c r="ATA121" s="2"/>
      <c r="ATB121" s="3"/>
      <c r="ATC121" s="2"/>
      <c r="ATD121" s="2"/>
      <c r="ATE121" s="5"/>
      <c r="ATF121" s="2"/>
      <c r="ATG121" s="4"/>
      <c r="ATH121" s="2"/>
      <c r="ATI121" s="3"/>
      <c r="ATJ121" s="2"/>
      <c r="ATK121" s="2"/>
      <c r="ATL121" s="5"/>
      <c r="ATM121" s="2"/>
      <c r="ATN121" s="4"/>
      <c r="ATO121" s="2"/>
      <c r="ATP121" s="3"/>
      <c r="ATQ121" s="2"/>
      <c r="ATR121" s="2"/>
      <c r="ATS121" s="5"/>
      <c r="ATT121" s="2"/>
      <c r="ATU121" s="4"/>
      <c r="ATV121" s="2"/>
      <c r="ATW121" s="3"/>
      <c r="ATX121" s="2"/>
      <c r="ATY121" s="2"/>
      <c r="ATZ121" s="5"/>
      <c r="AUA121" s="2"/>
      <c r="AUB121" s="4"/>
      <c r="AUC121" s="2"/>
      <c r="AUD121" s="3"/>
      <c r="AUE121" s="2"/>
      <c r="AUF121" s="2"/>
      <c r="AUG121" s="5"/>
      <c r="AUH121" s="2"/>
      <c r="AUI121" s="4"/>
      <c r="AUJ121" s="2"/>
      <c r="AUK121" s="3"/>
      <c r="AUL121" s="2"/>
      <c r="AUM121" s="2"/>
      <c r="AUN121" s="5"/>
      <c r="AUO121" s="2"/>
      <c r="AUP121" s="4"/>
      <c r="AUQ121" s="2"/>
      <c r="AUR121" s="3"/>
      <c r="AUS121" s="2"/>
      <c r="AUT121" s="2"/>
      <c r="AUU121" s="5"/>
      <c r="AUV121" s="2"/>
      <c r="AUW121" s="4"/>
      <c r="AUX121" s="2"/>
      <c r="AUY121" s="3"/>
      <c r="AUZ121" s="2"/>
      <c r="AVA121" s="2"/>
      <c r="AVB121" s="5"/>
      <c r="AVC121" s="2"/>
      <c r="AVD121" s="4"/>
      <c r="AVE121" s="2"/>
      <c r="AVF121" s="3"/>
      <c r="AVG121" s="2"/>
      <c r="AVH121" s="2"/>
      <c r="AVI121" s="5"/>
      <c r="AVJ121" s="2"/>
      <c r="AVK121" s="4"/>
      <c r="AVL121" s="2"/>
      <c r="AVM121" s="3"/>
      <c r="AVN121" s="2"/>
      <c r="AVO121" s="2"/>
      <c r="AVP121" s="5"/>
      <c r="AVQ121" s="2"/>
      <c r="AVR121" s="4"/>
      <c r="AVS121" s="2"/>
      <c r="AVT121" s="3"/>
      <c r="AVU121" s="2"/>
      <c r="AVV121" s="2"/>
      <c r="AVW121" s="5"/>
      <c r="AVX121" s="2"/>
      <c r="AVY121" s="4"/>
      <c r="AVZ121" s="2"/>
      <c r="AWA121" s="3"/>
      <c r="AWB121" s="2"/>
      <c r="AWC121" s="2"/>
      <c r="AWD121" s="5"/>
      <c r="AWE121" s="2"/>
      <c r="AWF121" s="4"/>
      <c r="AWG121" s="2"/>
      <c r="AWH121" s="3"/>
      <c r="AWI121" s="2"/>
      <c r="AWJ121" s="2"/>
      <c r="AWK121" s="5"/>
      <c r="AWL121" s="2"/>
      <c r="AWM121" s="4"/>
      <c r="AWN121" s="2"/>
      <c r="AWO121" s="3"/>
      <c r="AWP121" s="2"/>
      <c r="AWQ121" s="2"/>
      <c r="AWR121" s="5"/>
      <c r="AWS121" s="2"/>
      <c r="AWT121" s="4"/>
      <c r="AWU121" s="2"/>
      <c r="AWV121" s="3"/>
      <c r="AWW121" s="2"/>
      <c r="AWX121" s="2"/>
      <c r="AWY121" s="5"/>
      <c r="AWZ121" s="2"/>
      <c r="AXA121" s="4"/>
      <c r="AXB121" s="2"/>
      <c r="AXC121" s="3"/>
      <c r="AXD121" s="2"/>
      <c r="AXE121" s="2"/>
      <c r="AXF121" s="5"/>
      <c r="AXG121" s="2"/>
      <c r="AXH121" s="4"/>
      <c r="AXI121" s="2"/>
      <c r="AXJ121" s="3"/>
      <c r="AXK121" s="2"/>
      <c r="AXL121" s="2"/>
      <c r="AXM121" s="5"/>
      <c r="AXN121" s="2"/>
      <c r="AXO121" s="4"/>
      <c r="AXP121" s="2"/>
      <c r="AXQ121" s="3"/>
      <c r="AXR121" s="2"/>
      <c r="AXS121" s="2"/>
      <c r="AXT121" s="5"/>
      <c r="AXU121" s="2"/>
      <c r="AXV121" s="4"/>
      <c r="AXW121" s="2"/>
      <c r="AXX121" s="3"/>
      <c r="AXY121" s="2"/>
      <c r="AXZ121" s="2"/>
      <c r="AYA121" s="5"/>
      <c r="AYB121" s="2"/>
      <c r="AYC121" s="4"/>
      <c r="AYD121" s="2"/>
      <c r="AYE121" s="3"/>
      <c r="AYF121" s="2"/>
      <c r="AYG121" s="2"/>
      <c r="AYH121" s="5"/>
      <c r="AYI121" s="2"/>
      <c r="AYJ121" s="4"/>
      <c r="AYK121" s="2"/>
      <c r="AYL121" s="3"/>
      <c r="AYM121" s="2"/>
      <c r="AYN121" s="2"/>
      <c r="AYO121" s="5"/>
      <c r="AYP121" s="2"/>
      <c r="AYQ121" s="4"/>
      <c r="AYR121" s="2"/>
      <c r="AYS121" s="3"/>
      <c r="AYT121" s="2"/>
      <c r="AYU121" s="2"/>
      <c r="AYV121" s="5"/>
      <c r="AYW121" s="2"/>
      <c r="AYX121" s="4"/>
      <c r="AYY121" s="2"/>
      <c r="AYZ121" s="3"/>
      <c r="AZA121" s="2"/>
      <c r="AZB121" s="2"/>
      <c r="AZC121" s="5"/>
      <c r="AZD121" s="2"/>
      <c r="AZE121" s="4"/>
      <c r="AZF121" s="2"/>
      <c r="AZG121" s="3"/>
      <c r="AZH121" s="2"/>
      <c r="AZI121" s="2"/>
      <c r="AZJ121" s="5"/>
      <c r="AZK121" s="2"/>
      <c r="AZL121" s="4"/>
      <c r="AZM121" s="2"/>
      <c r="AZN121" s="3"/>
      <c r="AZO121" s="2"/>
      <c r="AZP121" s="2"/>
      <c r="AZQ121" s="5"/>
      <c r="AZR121" s="2"/>
      <c r="AZS121" s="4"/>
      <c r="AZT121" s="2"/>
      <c r="AZU121" s="3"/>
      <c r="AZV121" s="2"/>
      <c r="AZW121" s="2"/>
      <c r="AZX121" s="5"/>
      <c r="AZY121" s="2"/>
      <c r="AZZ121" s="4"/>
      <c r="BAA121" s="2"/>
      <c r="BAB121" s="3"/>
      <c r="BAC121" s="2"/>
      <c r="BAD121" s="2"/>
      <c r="BAE121" s="5"/>
      <c r="BAF121" s="2"/>
      <c r="BAG121" s="4"/>
      <c r="BAH121" s="2"/>
      <c r="BAI121" s="3"/>
      <c r="BAJ121" s="2"/>
      <c r="BAK121" s="2"/>
      <c r="BAL121" s="5"/>
      <c r="BAM121" s="2"/>
      <c r="BAN121" s="4"/>
      <c r="BAO121" s="2"/>
      <c r="BAP121" s="3"/>
      <c r="BAQ121" s="2"/>
      <c r="BAR121" s="2"/>
      <c r="BAS121" s="5"/>
      <c r="BAT121" s="2"/>
      <c r="BAU121" s="4"/>
      <c r="BAV121" s="2"/>
      <c r="BAW121" s="3"/>
      <c r="BAX121" s="2"/>
      <c r="BAY121" s="2"/>
      <c r="BAZ121" s="5"/>
      <c r="BBA121" s="2"/>
      <c r="BBB121" s="4"/>
      <c r="BBC121" s="2"/>
      <c r="BBD121" s="3"/>
      <c r="BBE121" s="2"/>
      <c r="BBF121" s="2"/>
      <c r="BBG121" s="5"/>
      <c r="BBH121" s="2"/>
      <c r="BBI121" s="4"/>
      <c r="BBJ121" s="2"/>
      <c r="BBK121" s="3"/>
      <c r="BBL121" s="2"/>
      <c r="BBM121" s="2"/>
      <c r="BBN121" s="5"/>
      <c r="BBO121" s="2"/>
      <c r="BBP121" s="4"/>
      <c r="BBQ121" s="2"/>
      <c r="BBR121" s="3"/>
      <c r="BBS121" s="2"/>
      <c r="BBT121" s="2"/>
      <c r="BBU121" s="5"/>
      <c r="BBV121" s="2"/>
      <c r="BBW121" s="4"/>
      <c r="BBX121" s="2"/>
      <c r="BBY121" s="3"/>
      <c r="BBZ121" s="2"/>
      <c r="BCA121" s="2"/>
      <c r="BCB121" s="5"/>
      <c r="BCC121" s="2"/>
      <c r="BCD121" s="4"/>
      <c r="BCE121" s="2"/>
      <c r="BCF121" s="3"/>
      <c r="BCG121" s="2"/>
      <c r="BCH121" s="2"/>
      <c r="BCI121" s="5"/>
      <c r="BCJ121" s="2"/>
      <c r="BCK121" s="4"/>
      <c r="BCL121" s="2"/>
      <c r="BCM121" s="3"/>
      <c r="BCN121" s="2"/>
      <c r="BCO121" s="2"/>
      <c r="BCP121" s="5"/>
      <c r="BCQ121" s="2"/>
      <c r="BCR121" s="4"/>
      <c r="BCS121" s="2"/>
      <c r="BCT121" s="3"/>
      <c r="BCU121" s="2"/>
      <c r="BCV121" s="2"/>
      <c r="BCW121" s="5"/>
      <c r="BCX121" s="2"/>
      <c r="BCY121" s="4"/>
      <c r="BCZ121" s="2"/>
      <c r="BDA121" s="3"/>
      <c r="BDB121" s="2"/>
      <c r="BDC121" s="2"/>
      <c r="BDD121" s="5"/>
      <c r="BDE121" s="2"/>
      <c r="BDF121" s="4"/>
      <c r="BDG121" s="2"/>
      <c r="BDH121" s="3"/>
      <c r="BDI121" s="2"/>
      <c r="BDJ121" s="2"/>
      <c r="BDK121" s="5"/>
      <c r="BDL121" s="2"/>
      <c r="BDM121" s="4"/>
      <c r="BDN121" s="2"/>
      <c r="BDO121" s="3"/>
      <c r="BDP121" s="2"/>
      <c r="BDQ121" s="2"/>
      <c r="BDR121" s="5"/>
      <c r="BDS121" s="2"/>
      <c r="BDT121" s="4"/>
      <c r="BDU121" s="2"/>
      <c r="BDV121" s="3"/>
      <c r="BDW121" s="2"/>
      <c r="BDX121" s="2"/>
      <c r="BDY121" s="5"/>
      <c r="BDZ121" s="2"/>
      <c r="BEA121" s="4"/>
      <c r="BEB121" s="2"/>
      <c r="BEC121" s="3"/>
      <c r="BED121" s="2"/>
      <c r="BEE121" s="2"/>
      <c r="BEF121" s="5"/>
      <c r="BEG121" s="2"/>
      <c r="BEH121" s="4"/>
      <c r="BEI121" s="2"/>
      <c r="BEJ121" s="3"/>
      <c r="BEK121" s="2"/>
      <c r="BEL121" s="2"/>
      <c r="BEM121" s="5"/>
      <c r="BEN121" s="2"/>
      <c r="BEO121" s="4"/>
      <c r="BEP121" s="2"/>
      <c r="BEQ121" s="3"/>
      <c r="BER121" s="2"/>
      <c r="BES121" s="2"/>
      <c r="BET121" s="5"/>
      <c r="BEU121" s="2"/>
      <c r="BEV121" s="4"/>
      <c r="BEW121" s="2"/>
      <c r="BEX121" s="3"/>
      <c r="BEY121" s="2"/>
      <c r="BEZ121" s="2"/>
      <c r="BFA121" s="5"/>
      <c r="BFB121" s="2"/>
      <c r="BFC121" s="4"/>
      <c r="BFD121" s="2"/>
      <c r="BFE121" s="3"/>
      <c r="BFF121" s="2"/>
      <c r="BFG121" s="2"/>
      <c r="BFH121" s="5"/>
      <c r="BFI121" s="2"/>
      <c r="BFJ121" s="4"/>
      <c r="BFK121" s="2"/>
      <c r="BFL121" s="3"/>
      <c r="BFM121" s="2"/>
      <c r="BFN121" s="2"/>
      <c r="BFO121" s="5"/>
      <c r="BFP121" s="2"/>
      <c r="BFQ121" s="4"/>
      <c r="BFR121" s="2"/>
      <c r="BFS121" s="3"/>
      <c r="BFT121" s="2"/>
      <c r="BFU121" s="2"/>
      <c r="BFV121" s="5"/>
      <c r="BFW121" s="2"/>
      <c r="BFX121" s="4"/>
      <c r="BFY121" s="2"/>
      <c r="BFZ121" s="3"/>
      <c r="BGA121" s="2"/>
      <c r="BGB121" s="2"/>
      <c r="BGC121" s="5"/>
      <c r="BGD121" s="2"/>
      <c r="BGE121" s="4"/>
      <c r="BGF121" s="2"/>
      <c r="BGG121" s="3"/>
      <c r="BGH121" s="2"/>
      <c r="BGI121" s="2"/>
      <c r="BGJ121" s="5"/>
      <c r="BGK121" s="2"/>
      <c r="BGL121" s="4"/>
      <c r="BGM121" s="2"/>
      <c r="BGN121" s="3"/>
      <c r="BGO121" s="2"/>
      <c r="BGP121" s="2"/>
      <c r="BGQ121" s="5"/>
      <c r="BGR121" s="2"/>
      <c r="BGS121" s="4"/>
      <c r="BGT121" s="2"/>
      <c r="BGU121" s="3"/>
      <c r="BGV121" s="2"/>
      <c r="BGW121" s="2"/>
      <c r="BGX121" s="5"/>
      <c r="BGY121" s="2"/>
      <c r="BGZ121" s="4"/>
      <c r="BHA121" s="2"/>
      <c r="BHB121" s="3"/>
      <c r="BHC121" s="2"/>
      <c r="BHD121" s="2"/>
      <c r="BHE121" s="5"/>
      <c r="BHF121" s="2"/>
      <c r="BHG121" s="4"/>
      <c r="BHH121" s="2"/>
      <c r="BHI121" s="3"/>
      <c r="BHJ121" s="2"/>
      <c r="BHK121" s="2"/>
      <c r="BHL121" s="5"/>
      <c r="BHM121" s="2"/>
      <c r="BHN121" s="4"/>
      <c r="BHO121" s="2"/>
      <c r="BHP121" s="3"/>
      <c r="BHQ121" s="2"/>
      <c r="BHR121" s="2"/>
      <c r="BHS121" s="5"/>
      <c r="BHT121" s="2"/>
      <c r="BHU121" s="4"/>
      <c r="BHV121" s="2"/>
      <c r="BHW121" s="3"/>
      <c r="BHX121" s="2"/>
      <c r="BHY121" s="2"/>
      <c r="BHZ121" s="5"/>
      <c r="BIA121" s="2"/>
      <c r="BIB121" s="4"/>
      <c r="BIC121" s="2"/>
      <c r="BID121" s="3"/>
      <c r="BIE121" s="2"/>
      <c r="BIF121" s="2"/>
      <c r="BIG121" s="5"/>
      <c r="BIH121" s="2"/>
      <c r="BII121" s="4"/>
      <c r="BIJ121" s="2"/>
      <c r="BIK121" s="3"/>
      <c r="BIL121" s="2"/>
      <c r="BIM121" s="2"/>
      <c r="BIN121" s="5"/>
      <c r="BIO121" s="2"/>
      <c r="BIP121" s="4"/>
      <c r="BIQ121" s="2"/>
      <c r="BIR121" s="3"/>
      <c r="BIS121" s="2"/>
      <c r="BIT121" s="2"/>
      <c r="BIU121" s="5"/>
      <c r="BIV121" s="2"/>
      <c r="BIW121" s="4"/>
      <c r="BIX121" s="2"/>
      <c r="BIY121" s="3"/>
      <c r="BIZ121" s="2"/>
      <c r="BJA121" s="2"/>
      <c r="BJB121" s="5"/>
      <c r="BJC121" s="2"/>
      <c r="BJD121" s="4"/>
      <c r="BJE121" s="2"/>
      <c r="BJF121" s="3"/>
      <c r="BJG121" s="2"/>
      <c r="BJH121" s="2"/>
      <c r="BJI121" s="5"/>
      <c r="BJJ121" s="2"/>
      <c r="BJK121" s="4"/>
      <c r="BJL121" s="2"/>
      <c r="BJM121" s="3"/>
      <c r="BJN121" s="2"/>
      <c r="BJO121" s="2"/>
      <c r="BJP121" s="5"/>
      <c r="BJQ121" s="2"/>
      <c r="BJR121" s="4"/>
      <c r="BJS121" s="2"/>
      <c r="BJT121" s="3"/>
      <c r="BJU121" s="2"/>
      <c r="BJV121" s="2"/>
      <c r="BJW121" s="5"/>
      <c r="BJX121" s="2"/>
      <c r="BJY121" s="4"/>
      <c r="BJZ121" s="2"/>
      <c r="BKA121" s="3"/>
      <c r="BKB121" s="2"/>
      <c r="BKC121" s="2"/>
      <c r="BKD121" s="5"/>
      <c r="BKE121" s="2"/>
      <c r="BKF121" s="4"/>
      <c r="BKG121" s="2"/>
      <c r="BKH121" s="3"/>
      <c r="BKI121" s="2"/>
      <c r="BKJ121" s="2"/>
      <c r="BKK121" s="5"/>
      <c r="BKL121" s="2"/>
      <c r="BKM121" s="4"/>
      <c r="BKN121" s="2"/>
      <c r="BKO121" s="3"/>
      <c r="BKP121" s="2"/>
      <c r="BKQ121" s="2"/>
      <c r="BKR121" s="5"/>
      <c r="BKS121" s="2"/>
      <c r="BKT121" s="4"/>
      <c r="BKU121" s="2"/>
      <c r="BKV121" s="3"/>
      <c r="BKW121" s="2"/>
      <c r="BKX121" s="2"/>
      <c r="BKY121" s="5"/>
      <c r="BKZ121" s="2"/>
      <c r="BLA121" s="4"/>
      <c r="BLB121" s="2"/>
      <c r="BLC121" s="3"/>
      <c r="BLD121" s="2"/>
      <c r="BLE121" s="2"/>
      <c r="BLF121" s="5"/>
      <c r="BLG121" s="2"/>
      <c r="BLH121" s="4"/>
      <c r="BLI121" s="2"/>
      <c r="BLJ121" s="3"/>
      <c r="BLK121" s="2"/>
      <c r="BLL121" s="2"/>
      <c r="BLM121" s="5"/>
      <c r="BLN121" s="2"/>
      <c r="BLO121" s="4"/>
      <c r="BLP121" s="2"/>
      <c r="BLQ121" s="3"/>
      <c r="BLR121" s="2"/>
      <c r="BLS121" s="2"/>
      <c r="BLT121" s="5"/>
      <c r="BLU121" s="2"/>
      <c r="BLV121" s="4"/>
      <c r="BLW121" s="2"/>
      <c r="BLX121" s="3"/>
      <c r="BLY121" s="2"/>
      <c r="BLZ121" s="2"/>
      <c r="BMA121" s="5"/>
      <c r="BMB121" s="2"/>
      <c r="BMC121" s="4"/>
      <c r="BMD121" s="2"/>
      <c r="BME121" s="3"/>
      <c r="BMF121" s="2"/>
      <c r="BMG121" s="2"/>
      <c r="BMH121" s="5"/>
      <c r="BMI121" s="2"/>
      <c r="BMJ121" s="4"/>
      <c r="BMK121" s="2"/>
      <c r="BML121" s="3"/>
      <c r="BMM121" s="2"/>
      <c r="BMN121" s="2"/>
      <c r="BMO121" s="5"/>
      <c r="BMP121" s="2"/>
      <c r="BMQ121" s="4"/>
      <c r="BMR121" s="2"/>
      <c r="BMS121" s="3"/>
      <c r="BMT121" s="2"/>
      <c r="BMU121" s="2"/>
      <c r="BMV121" s="5"/>
      <c r="BMW121" s="2"/>
      <c r="BMX121" s="4"/>
      <c r="BMY121" s="2"/>
      <c r="BMZ121" s="3"/>
      <c r="BNA121" s="2"/>
      <c r="BNB121" s="2"/>
      <c r="BNC121" s="5"/>
      <c r="BND121" s="2"/>
      <c r="BNE121" s="4"/>
      <c r="BNF121" s="2"/>
      <c r="BNG121" s="3"/>
      <c r="BNH121" s="2"/>
      <c r="BNI121" s="2"/>
      <c r="BNJ121" s="5"/>
      <c r="BNK121" s="2"/>
      <c r="BNL121" s="4"/>
      <c r="BNM121" s="2"/>
      <c r="BNN121" s="3"/>
      <c r="BNO121" s="2"/>
      <c r="BNP121" s="2"/>
      <c r="BNQ121" s="5"/>
      <c r="BNR121" s="2"/>
      <c r="BNS121" s="4"/>
      <c r="BNT121" s="2"/>
      <c r="BNU121" s="3"/>
      <c r="BNV121" s="2"/>
      <c r="BNW121" s="2"/>
      <c r="BNX121" s="5"/>
      <c r="BNY121" s="2"/>
      <c r="BNZ121" s="4"/>
      <c r="BOA121" s="2"/>
      <c r="BOB121" s="3"/>
      <c r="BOC121" s="2"/>
      <c r="BOD121" s="2"/>
      <c r="BOE121" s="5"/>
      <c r="BOF121" s="2"/>
      <c r="BOG121" s="4"/>
      <c r="BOH121" s="2"/>
      <c r="BOI121" s="3"/>
      <c r="BOJ121" s="2"/>
      <c r="BOK121" s="2"/>
      <c r="BOL121" s="5"/>
      <c r="BOM121" s="2"/>
      <c r="BON121" s="4"/>
      <c r="BOO121" s="2"/>
      <c r="BOP121" s="3"/>
      <c r="BOQ121" s="2"/>
      <c r="BOR121" s="2"/>
      <c r="BOS121" s="5"/>
      <c r="BOT121" s="2"/>
      <c r="BOU121" s="4"/>
      <c r="BOV121" s="2"/>
      <c r="BOW121" s="3"/>
      <c r="BOX121" s="2"/>
      <c r="BOY121" s="2"/>
      <c r="BOZ121" s="5"/>
      <c r="BPA121" s="2"/>
      <c r="BPB121" s="4"/>
      <c r="BPC121" s="2"/>
      <c r="BPD121" s="3"/>
      <c r="BPE121" s="2"/>
      <c r="BPF121" s="2"/>
      <c r="BPG121" s="5"/>
      <c r="BPH121" s="2"/>
      <c r="BPI121" s="4"/>
      <c r="BPJ121" s="2"/>
      <c r="BPK121" s="3"/>
      <c r="BPL121" s="2"/>
      <c r="BPM121" s="2"/>
      <c r="BPN121" s="5"/>
      <c r="BPO121" s="2"/>
      <c r="BPP121" s="4"/>
      <c r="BPQ121" s="2"/>
      <c r="BPR121" s="3"/>
      <c r="BPS121" s="2"/>
      <c r="BPT121" s="2"/>
      <c r="BPU121" s="5"/>
      <c r="BPV121" s="2"/>
      <c r="BPW121" s="4"/>
      <c r="BPX121" s="2"/>
      <c r="BPY121" s="3"/>
      <c r="BPZ121" s="2"/>
      <c r="BQA121" s="2"/>
      <c r="BQB121" s="5"/>
      <c r="BQC121" s="2"/>
      <c r="BQD121" s="4"/>
      <c r="BQE121" s="2"/>
      <c r="BQF121" s="3"/>
      <c r="BQG121" s="2"/>
      <c r="BQH121" s="2"/>
      <c r="BQI121" s="5"/>
      <c r="BQJ121" s="2"/>
      <c r="BQK121" s="4"/>
      <c r="BQL121" s="2"/>
      <c r="BQM121" s="3"/>
      <c r="BQN121" s="2"/>
      <c r="BQO121" s="2"/>
      <c r="BQP121" s="5"/>
      <c r="BQQ121" s="2"/>
      <c r="BQR121" s="4"/>
      <c r="BQS121" s="2"/>
      <c r="BQT121" s="3"/>
      <c r="BQU121" s="2"/>
      <c r="BQV121" s="2"/>
      <c r="BQW121" s="5"/>
      <c r="BQX121" s="2"/>
      <c r="BQY121" s="4"/>
      <c r="BQZ121" s="2"/>
      <c r="BRA121" s="3"/>
      <c r="BRB121" s="2"/>
      <c r="BRC121" s="2"/>
      <c r="BRD121" s="5"/>
      <c r="BRE121" s="2"/>
      <c r="BRF121" s="4"/>
      <c r="BRG121" s="2"/>
      <c r="BRH121" s="3"/>
      <c r="BRI121" s="2"/>
      <c r="BRJ121" s="2"/>
      <c r="BRK121" s="5"/>
      <c r="BRL121" s="2"/>
      <c r="BRM121" s="4"/>
      <c r="BRN121" s="2"/>
      <c r="BRO121" s="3"/>
      <c r="BRP121" s="2"/>
      <c r="BRQ121" s="2"/>
      <c r="BRR121" s="5"/>
      <c r="BRS121" s="2"/>
      <c r="BRT121" s="4"/>
      <c r="BRU121" s="2"/>
      <c r="BRV121" s="3"/>
      <c r="BRW121" s="2"/>
      <c r="BRX121" s="2"/>
      <c r="BRY121" s="5"/>
      <c r="BRZ121" s="2"/>
      <c r="BSA121" s="4"/>
      <c r="BSB121" s="2"/>
      <c r="BSC121" s="3"/>
      <c r="BSD121" s="2"/>
      <c r="BSE121" s="2"/>
      <c r="BSF121" s="5"/>
      <c r="BSG121" s="2"/>
      <c r="BSH121" s="4"/>
      <c r="BSI121" s="2"/>
      <c r="BSJ121" s="3"/>
      <c r="BSK121" s="2"/>
      <c r="BSL121" s="2"/>
      <c r="BSM121" s="5"/>
      <c r="BSN121" s="2"/>
      <c r="BSO121" s="4"/>
      <c r="BSP121" s="2"/>
      <c r="BSQ121" s="3"/>
      <c r="BSR121" s="2"/>
      <c r="BSS121" s="2"/>
      <c r="BST121" s="5"/>
      <c r="BSU121" s="2"/>
      <c r="BSV121" s="4"/>
      <c r="BSW121" s="2"/>
      <c r="BSX121" s="3"/>
      <c r="BSY121" s="2"/>
      <c r="BSZ121" s="2"/>
      <c r="BTA121" s="5"/>
      <c r="BTB121" s="2"/>
      <c r="BTC121" s="4"/>
      <c r="BTD121" s="2"/>
      <c r="BTE121" s="3"/>
      <c r="BTF121" s="2"/>
      <c r="BTG121" s="2"/>
      <c r="BTH121" s="5"/>
      <c r="BTI121" s="2"/>
      <c r="BTJ121" s="4"/>
      <c r="BTK121" s="2"/>
      <c r="BTL121" s="3"/>
      <c r="BTM121" s="2"/>
      <c r="BTN121" s="2"/>
      <c r="BTO121" s="5"/>
      <c r="BTP121" s="2"/>
      <c r="BTQ121" s="4"/>
      <c r="BTR121" s="2"/>
      <c r="BTS121" s="3"/>
      <c r="BTT121" s="2"/>
      <c r="BTU121" s="2"/>
      <c r="BTV121" s="5"/>
      <c r="BTW121" s="2"/>
      <c r="BTX121" s="4"/>
      <c r="BTY121" s="2"/>
      <c r="BTZ121" s="3"/>
      <c r="BUA121" s="2"/>
      <c r="BUB121" s="2"/>
      <c r="BUC121" s="5"/>
      <c r="BUD121" s="2"/>
      <c r="BUE121" s="4"/>
      <c r="BUF121" s="2"/>
      <c r="BUG121" s="3"/>
      <c r="BUH121" s="2"/>
      <c r="BUI121" s="2"/>
      <c r="BUJ121" s="5"/>
      <c r="BUK121" s="2"/>
      <c r="BUL121" s="4"/>
      <c r="BUM121" s="2"/>
      <c r="BUN121" s="3"/>
      <c r="BUO121" s="2"/>
      <c r="BUP121" s="2"/>
      <c r="BUQ121" s="5"/>
      <c r="BUR121" s="2"/>
      <c r="BUS121" s="4"/>
      <c r="BUT121" s="2"/>
      <c r="BUU121" s="3"/>
      <c r="BUV121" s="2"/>
      <c r="BUW121" s="2"/>
      <c r="BUX121" s="5"/>
      <c r="BUY121" s="2"/>
      <c r="BUZ121" s="4"/>
      <c r="BVA121" s="2"/>
      <c r="BVB121" s="3"/>
      <c r="BVC121" s="2"/>
      <c r="BVD121" s="2"/>
      <c r="BVE121" s="5"/>
      <c r="BVF121" s="2"/>
      <c r="BVG121" s="4"/>
      <c r="BVH121" s="2"/>
      <c r="BVI121" s="3"/>
      <c r="BVJ121" s="2"/>
      <c r="BVK121" s="2"/>
      <c r="BVL121" s="5"/>
      <c r="BVM121" s="2"/>
      <c r="BVN121" s="4"/>
      <c r="BVO121" s="2"/>
      <c r="BVP121" s="3"/>
      <c r="BVQ121" s="2"/>
      <c r="BVR121" s="2"/>
      <c r="BVS121" s="5"/>
      <c r="BVT121" s="2"/>
      <c r="BVU121" s="4"/>
      <c r="BVV121" s="2"/>
      <c r="BVW121" s="3"/>
      <c r="BVX121" s="2"/>
      <c r="BVY121" s="2"/>
      <c r="BVZ121" s="5"/>
      <c r="BWA121" s="2"/>
      <c r="BWB121" s="4"/>
      <c r="BWC121" s="2"/>
      <c r="BWD121" s="3"/>
      <c r="BWE121" s="2"/>
      <c r="BWF121" s="2"/>
      <c r="BWG121" s="5"/>
      <c r="BWH121" s="2"/>
      <c r="BWI121" s="4"/>
      <c r="BWJ121" s="2"/>
      <c r="BWK121" s="3"/>
      <c r="BWL121" s="2"/>
      <c r="BWM121" s="2"/>
      <c r="BWN121" s="5"/>
      <c r="BWO121" s="2"/>
      <c r="BWP121" s="4"/>
      <c r="BWQ121" s="2"/>
      <c r="BWR121" s="3"/>
      <c r="BWS121" s="2"/>
      <c r="BWT121" s="2"/>
      <c r="BWU121" s="5"/>
      <c r="BWV121" s="2"/>
      <c r="BWW121" s="4"/>
      <c r="BWX121" s="2"/>
      <c r="BWY121" s="3"/>
      <c r="BWZ121" s="2"/>
      <c r="BXA121" s="2"/>
      <c r="BXB121" s="5"/>
      <c r="BXC121" s="2"/>
      <c r="BXD121" s="4"/>
      <c r="BXE121" s="2"/>
      <c r="BXF121" s="3"/>
      <c r="BXG121" s="2"/>
      <c r="BXH121" s="2"/>
      <c r="BXI121" s="5"/>
      <c r="BXJ121" s="2"/>
      <c r="BXK121" s="4"/>
      <c r="BXL121" s="2"/>
      <c r="BXM121" s="3"/>
      <c r="BXN121" s="2"/>
      <c r="BXO121" s="2"/>
      <c r="BXP121" s="5"/>
      <c r="BXQ121" s="2"/>
      <c r="BXR121" s="4"/>
      <c r="BXS121" s="2"/>
      <c r="BXT121" s="3"/>
      <c r="BXU121" s="2"/>
      <c r="BXV121" s="2"/>
      <c r="BXW121" s="5"/>
      <c r="BXX121" s="2"/>
      <c r="BXY121" s="4"/>
      <c r="BXZ121" s="2"/>
      <c r="BYA121" s="3"/>
      <c r="BYB121" s="2"/>
      <c r="BYC121" s="2"/>
      <c r="BYD121" s="5"/>
      <c r="BYE121" s="2"/>
      <c r="BYF121" s="4"/>
      <c r="BYG121" s="2"/>
      <c r="BYH121" s="3"/>
      <c r="BYI121" s="2"/>
      <c r="BYJ121" s="2"/>
      <c r="BYK121" s="5"/>
      <c r="BYL121" s="2"/>
      <c r="BYM121" s="4"/>
      <c r="BYN121" s="2"/>
      <c r="BYO121" s="3"/>
      <c r="BYP121" s="2"/>
      <c r="BYQ121" s="2"/>
      <c r="BYR121" s="5"/>
      <c r="BYS121" s="2"/>
      <c r="BYT121" s="4"/>
      <c r="BYU121" s="2"/>
      <c r="BYV121" s="3"/>
      <c r="BYW121" s="2"/>
      <c r="BYX121" s="2"/>
      <c r="BYY121" s="5"/>
      <c r="BYZ121" s="2"/>
      <c r="BZA121" s="4"/>
      <c r="BZB121" s="2"/>
      <c r="BZC121" s="3"/>
      <c r="BZD121" s="2"/>
      <c r="BZE121" s="2"/>
      <c r="BZF121" s="5"/>
      <c r="BZG121" s="2"/>
      <c r="BZH121" s="4"/>
      <c r="BZI121" s="2"/>
      <c r="BZJ121" s="3"/>
      <c r="BZK121" s="2"/>
      <c r="BZL121" s="2"/>
      <c r="BZM121" s="5"/>
      <c r="BZN121" s="2"/>
      <c r="BZO121" s="4"/>
      <c r="BZP121" s="2"/>
      <c r="BZQ121" s="3"/>
      <c r="BZR121" s="2"/>
      <c r="BZS121" s="2"/>
      <c r="BZT121" s="5"/>
      <c r="BZU121" s="2"/>
      <c r="BZV121" s="4"/>
      <c r="BZW121" s="2"/>
      <c r="BZX121" s="3"/>
      <c r="BZY121" s="2"/>
      <c r="BZZ121" s="2"/>
      <c r="CAA121" s="5"/>
      <c r="CAB121" s="2"/>
      <c r="CAC121" s="4"/>
      <c r="CAD121" s="2"/>
      <c r="CAE121" s="3"/>
      <c r="CAF121" s="2"/>
      <c r="CAG121" s="2"/>
      <c r="CAH121" s="5"/>
      <c r="CAI121" s="2"/>
      <c r="CAJ121" s="4"/>
      <c r="CAK121" s="2"/>
      <c r="CAL121" s="3"/>
      <c r="CAM121" s="2"/>
      <c r="CAN121" s="2"/>
      <c r="CAO121" s="5"/>
      <c r="CAP121" s="2"/>
      <c r="CAQ121" s="4"/>
      <c r="CAR121" s="2"/>
      <c r="CAS121" s="3"/>
      <c r="CAT121" s="2"/>
      <c r="CAU121" s="2"/>
      <c r="CAV121" s="5"/>
      <c r="CAW121" s="2"/>
      <c r="CAX121" s="4"/>
      <c r="CAY121" s="2"/>
      <c r="CAZ121" s="3"/>
      <c r="CBA121" s="2"/>
      <c r="CBB121" s="2"/>
      <c r="CBC121" s="5"/>
      <c r="CBD121" s="2"/>
      <c r="CBE121" s="4"/>
      <c r="CBF121" s="2"/>
      <c r="CBG121" s="3"/>
      <c r="CBH121" s="2"/>
      <c r="CBI121" s="2"/>
      <c r="CBJ121" s="5"/>
      <c r="CBK121" s="2"/>
      <c r="CBL121" s="4"/>
      <c r="CBM121" s="2"/>
      <c r="CBN121" s="3"/>
      <c r="CBO121" s="2"/>
      <c r="CBP121" s="2"/>
      <c r="CBQ121" s="5"/>
      <c r="CBR121" s="2"/>
      <c r="CBS121" s="4"/>
      <c r="CBT121" s="2"/>
      <c r="CBU121" s="3"/>
      <c r="CBV121" s="2"/>
      <c r="CBW121" s="2"/>
      <c r="CBX121" s="5"/>
      <c r="CBY121" s="2"/>
      <c r="CBZ121" s="4"/>
      <c r="CCA121" s="2"/>
      <c r="CCB121" s="3"/>
      <c r="CCC121" s="2"/>
      <c r="CCD121" s="2"/>
      <c r="CCE121" s="5"/>
      <c r="CCF121" s="2"/>
      <c r="CCG121" s="4"/>
      <c r="CCH121" s="2"/>
      <c r="CCI121" s="3"/>
      <c r="CCJ121" s="2"/>
      <c r="CCK121" s="2"/>
      <c r="CCL121" s="5"/>
      <c r="CCM121" s="2"/>
      <c r="CCN121" s="4"/>
      <c r="CCO121" s="2"/>
      <c r="CCP121" s="3"/>
      <c r="CCQ121" s="2"/>
      <c r="CCR121" s="2"/>
      <c r="CCS121" s="5"/>
      <c r="CCT121" s="2"/>
      <c r="CCU121" s="4"/>
      <c r="CCV121" s="2"/>
      <c r="CCW121" s="3"/>
      <c r="CCX121" s="2"/>
      <c r="CCY121" s="2"/>
      <c r="CCZ121" s="5"/>
      <c r="CDA121" s="2"/>
      <c r="CDB121" s="4"/>
      <c r="CDC121" s="2"/>
      <c r="CDD121" s="3"/>
      <c r="CDE121" s="2"/>
      <c r="CDF121" s="2"/>
      <c r="CDG121" s="5"/>
      <c r="CDH121" s="2"/>
      <c r="CDI121" s="4"/>
      <c r="CDJ121" s="2"/>
      <c r="CDK121" s="3"/>
      <c r="CDL121" s="2"/>
      <c r="CDM121" s="2"/>
      <c r="CDN121" s="5"/>
      <c r="CDO121" s="2"/>
      <c r="CDP121" s="4"/>
      <c r="CDQ121" s="2"/>
      <c r="CDR121" s="3"/>
      <c r="CDS121" s="2"/>
      <c r="CDT121" s="2"/>
      <c r="CDU121" s="5"/>
      <c r="CDV121" s="2"/>
      <c r="CDW121" s="4"/>
      <c r="CDX121" s="2"/>
      <c r="CDY121" s="3"/>
      <c r="CDZ121" s="2"/>
      <c r="CEA121" s="2"/>
      <c r="CEB121" s="5"/>
      <c r="CEC121" s="2"/>
      <c r="CED121" s="4"/>
      <c r="CEE121" s="2"/>
      <c r="CEF121" s="3"/>
      <c r="CEG121" s="2"/>
      <c r="CEH121" s="2"/>
      <c r="CEI121" s="5"/>
      <c r="CEJ121" s="2"/>
      <c r="CEK121" s="4"/>
      <c r="CEL121" s="2"/>
      <c r="CEM121" s="3"/>
      <c r="CEN121" s="2"/>
      <c r="CEO121" s="2"/>
      <c r="CEP121" s="5"/>
      <c r="CEQ121" s="2"/>
      <c r="CER121" s="4"/>
      <c r="CES121" s="2"/>
      <c r="CET121" s="3"/>
      <c r="CEU121" s="2"/>
      <c r="CEV121" s="2"/>
      <c r="CEW121" s="5"/>
      <c r="CEX121" s="2"/>
      <c r="CEY121" s="4"/>
      <c r="CEZ121" s="2"/>
      <c r="CFA121" s="3"/>
      <c r="CFB121" s="2"/>
      <c r="CFC121" s="2"/>
      <c r="CFD121" s="5"/>
      <c r="CFE121" s="2"/>
      <c r="CFF121" s="4"/>
      <c r="CFG121" s="2"/>
      <c r="CFH121" s="3"/>
      <c r="CFI121" s="2"/>
      <c r="CFJ121" s="2"/>
      <c r="CFK121" s="5"/>
      <c r="CFL121" s="2"/>
      <c r="CFM121" s="4"/>
      <c r="CFN121" s="2"/>
      <c r="CFO121" s="3"/>
      <c r="CFP121" s="2"/>
      <c r="CFQ121" s="2"/>
      <c r="CFR121" s="5"/>
      <c r="CFS121" s="2"/>
      <c r="CFT121" s="4"/>
      <c r="CFU121" s="2"/>
      <c r="CFV121" s="3"/>
      <c r="CFW121" s="2"/>
      <c r="CFX121" s="2"/>
      <c r="CFY121" s="5"/>
      <c r="CFZ121" s="2"/>
      <c r="CGA121" s="4"/>
      <c r="CGB121" s="2"/>
      <c r="CGC121" s="3"/>
      <c r="CGD121" s="2"/>
      <c r="CGE121" s="2"/>
      <c r="CGF121" s="5"/>
      <c r="CGG121" s="2"/>
      <c r="CGH121" s="4"/>
      <c r="CGI121" s="2"/>
      <c r="CGJ121" s="3"/>
      <c r="CGK121" s="2"/>
      <c r="CGL121" s="2"/>
      <c r="CGM121" s="5"/>
      <c r="CGN121" s="2"/>
      <c r="CGO121" s="4"/>
      <c r="CGP121" s="2"/>
      <c r="CGQ121" s="3"/>
      <c r="CGR121" s="2"/>
      <c r="CGS121" s="2"/>
      <c r="CGT121" s="5"/>
      <c r="CGU121" s="2"/>
      <c r="CGV121" s="4"/>
      <c r="CGW121" s="2"/>
      <c r="CGX121" s="3"/>
      <c r="CGY121" s="2"/>
      <c r="CGZ121" s="2"/>
      <c r="CHA121" s="5"/>
      <c r="CHB121" s="2"/>
      <c r="CHC121" s="4"/>
      <c r="CHD121" s="2"/>
      <c r="CHE121" s="3"/>
      <c r="CHF121" s="2"/>
      <c r="CHG121" s="2"/>
      <c r="CHH121" s="5"/>
      <c r="CHI121" s="2"/>
      <c r="CHJ121" s="4"/>
      <c r="CHK121" s="2"/>
      <c r="CHL121" s="3"/>
      <c r="CHM121" s="2"/>
      <c r="CHN121" s="2"/>
      <c r="CHO121" s="5"/>
      <c r="CHP121" s="2"/>
      <c r="CHQ121" s="4"/>
      <c r="CHR121" s="2"/>
      <c r="CHS121" s="3"/>
      <c r="CHT121" s="2"/>
      <c r="CHU121" s="2"/>
      <c r="CHV121" s="5"/>
      <c r="CHW121" s="2"/>
      <c r="CHX121" s="4"/>
      <c r="CHY121" s="2"/>
      <c r="CHZ121" s="3"/>
      <c r="CIA121" s="2"/>
      <c r="CIB121" s="2"/>
      <c r="CIC121" s="5"/>
      <c r="CID121" s="2"/>
      <c r="CIE121" s="4"/>
      <c r="CIF121" s="2"/>
      <c r="CIG121" s="3"/>
      <c r="CIH121" s="2"/>
      <c r="CII121" s="2"/>
      <c r="CIJ121" s="5"/>
      <c r="CIK121" s="2"/>
      <c r="CIL121" s="4"/>
      <c r="CIM121" s="2"/>
      <c r="CIN121" s="3"/>
      <c r="CIO121" s="2"/>
      <c r="CIP121" s="2"/>
      <c r="CIQ121" s="5"/>
      <c r="CIR121" s="2"/>
      <c r="CIS121" s="4"/>
      <c r="CIT121" s="2"/>
      <c r="CIU121" s="3"/>
      <c r="CIV121" s="2"/>
      <c r="CIW121" s="2"/>
      <c r="CIX121" s="5"/>
      <c r="CIY121" s="2"/>
      <c r="CIZ121" s="4"/>
      <c r="CJA121" s="2"/>
      <c r="CJB121" s="3"/>
      <c r="CJC121" s="2"/>
      <c r="CJD121" s="2"/>
      <c r="CJE121" s="5"/>
      <c r="CJF121" s="2"/>
      <c r="CJG121" s="4"/>
      <c r="CJH121" s="2"/>
      <c r="CJI121" s="3"/>
      <c r="CJJ121" s="2"/>
      <c r="CJK121" s="2"/>
      <c r="CJL121" s="5"/>
      <c r="CJM121" s="2"/>
      <c r="CJN121" s="4"/>
      <c r="CJO121" s="2"/>
      <c r="CJP121" s="3"/>
      <c r="CJQ121" s="2"/>
      <c r="CJR121" s="2"/>
      <c r="CJS121" s="5"/>
      <c r="CJT121" s="2"/>
      <c r="CJU121" s="4"/>
      <c r="CJV121" s="2"/>
      <c r="CJW121" s="3"/>
      <c r="CJX121" s="2"/>
      <c r="CJY121" s="2"/>
      <c r="CJZ121" s="5"/>
      <c r="CKA121" s="2"/>
      <c r="CKB121" s="4"/>
      <c r="CKC121" s="2"/>
      <c r="CKD121" s="3"/>
      <c r="CKE121" s="2"/>
      <c r="CKF121" s="2"/>
      <c r="CKG121" s="5"/>
      <c r="CKH121" s="2"/>
      <c r="CKI121" s="4"/>
      <c r="CKJ121" s="2"/>
      <c r="CKK121" s="3"/>
      <c r="CKL121" s="2"/>
      <c r="CKM121" s="2"/>
      <c r="CKN121" s="5"/>
      <c r="CKO121" s="2"/>
      <c r="CKP121" s="4"/>
      <c r="CKQ121" s="2"/>
      <c r="CKR121" s="3"/>
      <c r="CKS121" s="2"/>
      <c r="CKT121" s="2"/>
      <c r="CKU121" s="5"/>
      <c r="CKV121" s="2"/>
      <c r="CKW121" s="4"/>
      <c r="CKX121" s="2"/>
      <c r="CKY121" s="3"/>
      <c r="CKZ121" s="2"/>
      <c r="CLA121" s="2"/>
      <c r="CLB121" s="5"/>
      <c r="CLC121" s="2"/>
      <c r="CLD121" s="4"/>
      <c r="CLE121" s="2"/>
      <c r="CLF121" s="3"/>
      <c r="CLG121" s="2"/>
      <c r="CLH121" s="2"/>
      <c r="CLI121" s="5"/>
      <c r="CLJ121" s="2"/>
      <c r="CLK121" s="4"/>
      <c r="CLL121" s="2"/>
      <c r="CLM121" s="3"/>
      <c r="CLN121" s="2"/>
      <c r="CLO121" s="2"/>
      <c r="CLP121" s="5"/>
      <c r="CLQ121" s="2"/>
      <c r="CLR121" s="4"/>
      <c r="CLS121" s="2"/>
      <c r="CLT121" s="3"/>
      <c r="CLU121" s="2"/>
      <c r="CLV121" s="2"/>
      <c r="CLW121" s="5"/>
      <c r="CLX121" s="2"/>
      <c r="CLY121" s="4"/>
      <c r="CLZ121" s="2"/>
      <c r="CMA121" s="3"/>
      <c r="CMB121" s="2"/>
      <c r="CMC121" s="2"/>
      <c r="CMD121" s="5"/>
      <c r="CME121" s="2"/>
      <c r="CMF121" s="4"/>
      <c r="CMG121" s="2"/>
      <c r="CMH121" s="3"/>
      <c r="CMI121" s="2"/>
      <c r="CMJ121" s="2"/>
      <c r="CMK121" s="5"/>
      <c r="CML121" s="2"/>
      <c r="CMM121" s="4"/>
      <c r="CMN121" s="2"/>
      <c r="CMO121" s="3"/>
      <c r="CMP121" s="2"/>
      <c r="CMQ121" s="2"/>
      <c r="CMR121" s="5"/>
      <c r="CMS121" s="2"/>
      <c r="CMT121" s="4"/>
      <c r="CMU121" s="2"/>
      <c r="CMV121" s="3"/>
      <c r="CMW121" s="2"/>
      <c r="CMX121" s="2"/>
      <c r="CMY121" s="5"/>
      <c r="CMZ121" s="2"/>
      <c r="CNA121" s="4"/>
      <c r="CNB121" s="2"/>
      <c r="CNC121" s="3"/>
      <c r="CND121" s="2"/>
      <c r="CNE121" s="2"/>
      <c r="CNF121" s="5"/>
      <c r="CNG121" s="2"/>
      <c r="CNH121" s="4"/>
      <c r="CNI121" s="2"/>
      <c r="CNJ121" s="3"/>
      <c r="CNK121" s="2"/>
      <c r="CNL121" s="2"/>
      <c r="CNM121" s="5"/>
      <c r="CNN121" s="2"/>
      <c r="CNO121" s="4"/>
      <c r="CNP121" s="2"/>
      <c r="CNQ121" s="3"/>
      <c r="CNR121" s="2"/>
      <c r="CNS121" s="2"/>
      <c r="CNT121" s="5"/>
      <c r="CNU121" s="2"/>
      <c r="CNV121" s="4"/>
      <c r="CNW121" s="2"/>
      <c r="CNX121" s="3"/>
      <c r="CNY121" s="2"/>
      <c r="CNZ121" s="2"/>
      <c r="COA121" s="5"/>
      <c r="COB121" s="2"/>
      <c r="COC121" s="4"/>
      <c r="COD121" s="2"/>
      <c r="COE121" s="3"/>
      <c r="COF121" s="2"/>
      <c r="COG121" s="2"/>
      <c r="COH121" s="5"/>
      <c r="COI121" s="2"/>
      <c r="COJ121" s="4"/>
      <c r="COK121" s="2"/>
      <c r="COL121" s="3"/>
      <c r="COM121" s="2"/>
      <c r="CON121" s="2"/>
      <c r="COO121" s="5"/>
      <c r="COP121" s="2"/>
      <c r="COQ121" s="4"/>
      <c r="COR121" s="2"/>
      <c r="COS121" s="3"/>
      <c r="COT121" s="2"/>
      <c r="COU121" s="2"/>
      <c r="COV121" s="5"/>
      <c r="COW121" s="2"/>
      <c r="COX121" s="4"/>
      <c r="COY121" s="2"/>
      <c r="COZ121" s="3"/>
      <c r="CPA121" s="2"/>
      <c r="CPB121" s="2"/>
      <c r="CPC121" s="5"/>
      <c r="CPD121" s="2"/>
      <c r="CPE121" s="4"/>
      <c r="CPF121" s="2"/>
      <c r="CPG121" s="3"/>
      <c r="CPH121" s="2"/>
      <c r="CPI121" s="2"/>
      <c r="CPJ121" s="5"/>
      <c r="CPK121" s="2"/>
      <c r="CPL121" s="4"/>
      <c r="CPM121" s="2"/>
      <c r="CPN121" s="3"/>
      <c r="CPO121" s="2"/>
      <c r="CPP121" s="2"/>
      <c r="CPQ121" s="5"/>
      <c r="CPR121" s="2"/>
      <c r="CPS121" s="4"/>
      <c r="CPT121" s="2"/>
      <c r="CPU121" s="3"/>
      <c r="CPV121" s="2"/>
      <c r="CPW121" s="2"/>
      <c r="CPX121" s="5"/>
      <c r="CPY121" s="2"/>
      <c r="CPZ121" s="4"/>
      <c r="CQA121" s="2"/>
      <c r="CQB121" s="3"/>
      <c r="CQC121" s="2"/>
      <c r="CQD121" s="2"/>
      <c r="CQE121" s="5"/>
      <c r="CQF121" s="2"/>
      <c r="CQG121" s="4"/>
      <c r="CQH121" s="2"/>
      <c r="CQI121" s="3"/>
      <c r="CQJ121" s="2"/>
      <c r="CQK121" s="2"/>
      <c r="CQL121" s="5"/>
      <c r="CQM121" s="2"/>
      <c r="CQN121" s="4"/>
      <c r="CQO121" s="2"/>
      <c r="CQP121" s="3"/>
      <c r="CQQ121" s="2"/>
      <c r="CQR121" s="2"/>
      <c r="CQS121" s="5"/>
      <c r="CQT121" s="2"/>
      <c r="CQU121" s="4"/>
      <c r="CQV121" s="2"/>
      <c r="CQW121" s="3"/>
      <c r="CQX121" s="2"/>
      <c r="CQY121" s="2"/>
      <c r="CQZ121" s="5"/>
      <c r="CRA121" s="2"/>
      <c r="CRB121" s="4"/>
      <c r="CRC121" s="2"/>
      <c r="CRD121" s="3"/>
      <c r="CRE121" s="2"/>
      <c r="CRF121" s="2"/>
      <c r="CRG121" s="5"/>
      <c r="CRH121" s="2"/>
      <c r="CRI121" s="4"/>
      <c r="CRJ121" s="2"/>
      <c r="CRK121" s="3"/>
      <c r="CRL121" s="2"/>
      <c r="CRM121" s="2"/>
      <c r="CRN121" s="5"/>
      <c r="CRO121" s="2"/>
      <c r="CRP121" s="4"/>
      <c r="CRQ121" s="2"/>
      <c r="CRR121" s="3"/>
      <c r="CRS121" s="2"/>
      <c r="CRT121" s="2"/>
      <c r="CRU121" s="5"/>
      <c r="CRV121" s="2"/>
      <c r="CRW121" s="4"/>
      <c r="CRX121" s="2"/>
      <c r="CRY121" s="3"/>
      <c r="CRZ121" s="2"/>
      <c r="CSA121" s="2"/>
      <c r="CSB121" s="5"/>
      <c r="CSC121" s="2"/>
      <c r="CSD121" s="4"/>
      <c r="CSE121" s="2"/>
      <c r="CSF121" s="3"/>
      <c r="CSG121" s="2"/>
      <c r="CSH121" s="2"/>
      <c r="CSI121" s="5"/>
      <c r="CSJ121" s="2"/>
      <c r="CSK121" s="4"/>
      <c r="CSL121" s="2"/>
      <c r="CSM121" s="3"/>
      <c r="CSN121" s="2"/>
      <c r="CSO121" s="2"/>
      <c r="CSP121" s="5"/>
      <c r="CSQ121" s="2"/>
      <c r="CSR121" s="4"/>
      <c r="CSS121" s="2"/>
      <c r="CST121" s="3"/>
      <c r="CSU121" s="2"/>
      <c r="CSV121" s="2"/>
      <c r="CSW121" s="5"/>
      <c r="CSX121" s="2"/>
      <c r="CSY121" s="4"/>
      <c r="CSZ121" s="2"/>
      <c r="CTA121" s="3"/>
      <c r="CTB121" s="2"/>
      <c r="CTC121" s="2"/>
      <c r="CTD121" s="5"/>
      <c r="CTE121" s="2"/>
      <c r="CTF121" s="4"/>
      <c r="CTG121" s="2"/>
      <c r="CTH121" s="3"/>
      <c r="CTI121" s="2"/>
      <c r="CTJ121" s="2"/>
      <c r="CTK121" s="5"/>
      <c r="CTL121" s="2"/>
      <c r="CTM121" s="4"/>
      <c r="CTN121" s="2"/>
      <c r="CTO121" s="3"/>
      <c r="CTP121" s="2"/>
      <c r="CTQ121" s="2"/>
      <c r="CTR121" s="5"/>
      <c r="CTS121" s="2"/>
      <c r="CTT121" s="4"/>
      <c r="CTU121" s="2"/>
      <c r="CTV121" s="3"/>
      <c r="CTW121" s="2"/>
      <c r="CTX121" s="2"/>
      <c r="CTY121" s="5"/>
      <c r="CTZ121" s="2"/>
      <c r="CUA121" s="4"/>
      <c r="CUB121" s="2"/>
      <c r="CUC121" s="3"/>
      <c r="CUD121" s="2"/>
      <c r="CUE121" s="2"/>
      <c r="CUF121" s="5"/>
      <c r="CUG121" s="2"/>
      <c r="CUH121" s="4"/>
      <c r="CUI121" s="2"/>
      <c r="CUJ121" s="3"/>
      <c r="CUK121" s="2"/>
      <c r="CUL121" s="2"/>
      <c r="CUM121" s="5"/>
      <c r="CUN121" s="2"/>
      <c r="CUO121" s="4"/>
      <c r="CUP121" s="2"/>
      <c r="CUQ121" s="3"/>
      <c r="CUR121" s="2"/>
      <c r="CUS121" s="2"/>
      <c r="CUT121" s="5"/>
      <c r="CUU121" s="2"/>
      <c r="CUV121" s="4"/>
      <c r="CUW121" s="2"/>
      <c r="CUX121" s="3"/>
      <c r="CUY121" s="2"/>
      <c r="CUZ121" s="2"/>
      <c r="CVA121" s="5"/>
      <c r="CVB121" s="2"/>
      <c r="CVC121" s="4"/>
      <c r="CVD121" s="2"/>
      <c r="CVE121" s="3"/>
      <c r="CVF121" s="2"/>
      <c r="CVG121" s="2"/>
      <c r="CVH121" s="5"/>
      <c r="CVI121" s="2"/>
      <c r="CVJ121" s="4"/>
      <c r="CVK121" s="2"/>
      <c r="CVL121" s="3"/>
      <c r="CVM121" s="2"/>
      <c r="CVN121" s="2"/>
      <c r="CVO121" s="5"/>
      <c r="CVP121" s="2"/>
      <c r="CVQ121" s="4"/>
      <c r="CVR121" s="2"/>
      <c r="CVS121" s="3"/>
      <c r="CVT121" s="2"/>
      <c r="CVU121" s="2"/>
      <c r="CVV121" s="5"/>
      <c r="CVW121" s="2"/>
      <c r="CVX121" s="4"/>
      <c r="CVY121" s="2"/>
      <c r="CVZ121" s="3"/>
      <c r="CWA121" s="2"/>
      <c r="CWB121" s="2"/>
      <c r="CWC121" s="5"/>
      <c r="CWD121" s="2"/>
      <c r="CWE121" s="4"/>
      <c r="CWF121" s="2"/>
      <c r="CWG121" s="3"/>
      <c r="CWH121" s="2"/>
      <c r="CWI121" s="2"/>
      <c r="CWJ121" s="5"/>
      <c r="CWK121" s="2"/>
      <c r="CWL121" s="4"/>
      <c r="CWM121" s="2"/>
      <c r="CWN121" s="3"/>
      <c r="CWO121" s="2"/>
      <c r="CWP121" s="2"/>
      <c r="CWQ121" s="5"/>
      <c r="CWR121" s="2"/>
      <c r="CWS121" s="4"/>
      <c r="CWT121" s="2"/>
      <c r="CWU121" s="3"/>
      <c r="CWV121" s="2"/>
      <c r="CWW121" s="2"/>
      <c r="CWX121" s="5"/>
      <c r="CWY121" s="2"/>
      <c r="CWZ121" s="4"/>
      <c r="CXA121" s="2"/>
      <c r="CXB121" s="3"/>
      <c r="CXC121" s="2"/>
      <c r="CXD121" s="2"/>
      <c r="CXE121" s="5"/>
      <c r="CXF121" s="2"/>
      <c r="CXG121" s="4"/>
      <c r="CXH121" s="2"/>
      <c r="CXI121" s="3"/>
      <c r="CXJ121" s="2"/>
      <c r="CXK121" s="2"/>
      <c r="CXL121" s="5"/>
      <c r="CXM121" s="2"/>
      <c r="CXN121" s="4"/>
      <c r="CXO121" s="2"/>
      <c r="CXP121" s="3"/>
      <c r="CXQ121" s="2"/>
      <c r="CXR121" s="2"/>
      <c r="CXS121" s="5"/>
      <c r="CXT121" s="2"/>
      <c r="CXU121" s="4"/>
      <c r="CXV121" s="2"/>
      <c r="CXW121" s="3"/>
      <c r="CXX121" s="2"/>
      <c r="CXY121" s="2"/>
      <c r="CXZ121" s="5"/>
      <c r="CYA121" s="2"/>
      <c r="CYB121" s="4"/>
      <c r="CYC121" s="2"/>
      <c r="CYD121" s="3"/>
      <c r="CYE121" s="2"/>
      <c r="CYF121" s="2"/>
      <c r="CYG121" s="5"/>
      <c r="CYH121" s="2"/>
      <c r="CYI121" s="4"/>
      <c r="CYJ121" s="2"/>
      <c r="CYK121" s="3"/>
      <c r="CYL121" s="2"/>
      <c r="CYM121" s="2"/>
      <c r="CYN121" s="5"/>
      <c r="CYO121" s="2"/>
      <c r="CYP121" s="4"/>
      <c r="CYQ121" s="2"/>
      <c r="CYR121" s="3"/>
      <c r="CYS121" s="2"/>
      <c r="CYT121" s="2"/>
      <c r="CYU121" s="5"/>
      <c r="CYV121" s="2"/>
      <c r="CYW121" s="4"/>
      <c r="CYX121" s="2"/>
      <c r="CYY121" s="3"/>
      <c r="CYZ121" s="2"/>
      <c r="CZA121" s="2"/>
      <c r="CZB121" s="5"/>
      <c r="CZC121" s="2"/>
      <c r="CZD121" s="4"/>
      <c r="CZE121" s="2"/>
      <c r="CZF121" s="3"/>
      <c r="CZG121" s="2"/>
      <c r="CZH121" s="2"/>
      <c r="CZI121" s="5"/>
      <c r="CZJ121" s="2"/>
      <c r="CZK121" s="4"/>
      <c r="CZL121" s="2"/>
      <c r="CZM121" s="3"/>
      <c r="CZN121" s="2"/>
      <c r="CZO121" s="2"/>
      <c r="CZP121" s="5"/>
      <c r="CZQ121" s="2"/>
      <c r="CZR121" s="4"/>
      <c r="CZS121" s="2"/>
      <c r="CZT121" s="3"/>
      <c r="CZU121" s="2"/>
      <c r="CZV121" s="2"/>
      <c r="CZW121" s="5"/>
      <c r="CZX121" s="2"/>
      <c r="CZY121" s="4"/>
      <c r="CZZ121" s="2"/>
      <c r="DAA121" s="3"/>
      <c r="DAB121" s="2"/>
      <c r="DAC121" s="2"/>
      <c r="DAD121" s="5"/>
      <c r="DAE121" s="2"/>
      <c r="DAF121" s="4"/>
      <c r="DAG121" s="2"/>
      <c r="DAH121" s="3"/>
      <c r="DAI121" s="2"/>
      <c r="DAJ121" s="2"/>
      <c r="DAK121" s="5"/>
      <c r="DAL121" s="2"/>
      <c r="DAM121" s="4"/>
      <c r="DAN121" s="2"/>
      <c r="DAO121" s="3"/>
      <c r="DAP121" s="2"/>
      <c r="DAQ121" s="2"/>
      <c r="DAR121" s="5"/>
      <c r="DAS121" s="2"/>
      <c r="DAT121" s="4"/>
      <c r="DAU121" s="2"/>
      <c r="DAV121" s="3"/>
      <c r="DAW121" s="2"/>
      <c r="DAX121" s="2"/>
      <c r="DAY121" s="5"/>
      <c r="DAZ121" s="2"/>
      <c r="DBA121" s="4"/>
      <c r="DBB121" s="2"/>
      <c r="DBC121" s="3"/>
      <c r="DBD121" s="2"/>
      <c r="DBE121" s="2"/>
      <c r="DBF121" s="5"/>
      <c r="DBG121" s="2"/>
      <c r="DBH121" s="4"/>
      <c r="DBI121" s="2"/>
      <c r="DBJ121" s="3"/>
      <c r="DBK121" s="2"/>
      <c r="DBL121" s="2"/>
      <c r="DBM121" s="5"/>
      <c r="DBN121" s="2"/>
      <c r="DBO121" s="4"/>
      <c r="DBP121" s="2"/>
      <c r="DBQ121" s="3"/>
      <c r="DBR121" s="2"/>
      <c r="DBS121" s="2"/>
      <c r="DBT121" s="5"/>
      <c r="DBU121" s="2"/>
      <c r="DBV121" s="4"/>
      <c r="DBW121" s="2"/>
      <c r="DBX121" s="3"/>
      <c r="DBY121" s="2"/>
      <c r="DBZ121" s="2"/>
      <c r="DCA121" s="5"/>
      <c r="DCB121" s="2"/>
      <c r="DCC121" s="4"/>
      <c r="DCD121" s="2"/>
      <c r="DCE121" s="3"/>
      <c r="DCF121" s="2"/>
      <c r="DCG121" s="2"/>
      <c r="DCH121" s="5"/>
      <c r="DCI121" s="2"/>
      <c r="DCJ121" s="4"/>
      <c r="DCK121" s="2"/>
      <c r="DCL121" s="3"/>
      <c r="DCM121" s="2"/>
      <c r="DCN121" s="2"/>
      <c r="DCO121" s="5"/>
      <c r="DCP121" s="2"/>
      <c r="DCQ121" s="4"/>
      <c r="DCR121" s="2"/>
      <c r="DCS121" s="3"/>
      <c r="DCT121" s="2"/>
      <c r="DCU121" s="2"/>
      <c r="DCV121" s="5"/>
      <c r="DCW121" s="2"/>
      <c r="DCX121" s="4"/>
      <c r="DCY121" s="2"/>
      <c r="DCZ121" s="3"/>
      <c r="DDA121" s="2"/>
      <c r="DDB121" s="2"/>
      <c r="DDC121" s="5"/>
      <c r="DDD121" s="2"/>
      <c r="DDE121" s="4"/>
      <c r="DDF121" s="2"/>
      <c r="DDG121" s="3"/>
      <c r="DDH121" s="2"/>
      <c r="DDI121" s="2"/>
      <c r="DDJ121" s="5"/>
      <c r="DDK121" s="2"/>
      <c r="DDL121" s="4"/>
      <c r="DDM121" s="2"/>
      <c r="DDN121" s="3"/>
      <c r="DDO121" s="2"/>
      <c r="DDP121" s="2"/>
      <c r="DDQ121" s="5"/>
      <c r="DDR121" s="2"/>
      <c r="DDS121" s="4"/>
      <c r="DDT121" s="2"/>
      <c r="DDU121" s="3"/>
      <c r="DDV121" s="2"/>
      <c r="DDW121" s="2"/>
      <c r="DDX121" s="5"/>
      <c r="DDY121" s="2"/>
      <c r="DDZ121" s="4"/>
      <c r="DEA121" s="2"/>
      <c r="DEB121" s="3"/>
      <c r="DEC121" s="2"/>
      <c r="DED121" s="2"/>
      <c r="DEE121" s="5"/>
      <c r="DEF121" s="2"/>
      <c r="DEG121" s="4"/>
      <c r="DEH121" s="2"/>
      <c r="DEI121" s="3"/>
      <c r="DEJ121" s="2"/>
      <c r="DEK121" s="2"/>
      <c r="DEL121" s="5"/>
      <c r="DEM121" s="2"/>
      <c r="DEN121" s="4"/>
      <c r="DEO121" s="2"/>
      <c r="DEP121" s="3"/>
      <c r="DEQ121" s="2"/>
      <c r="DER121" s="2"/>
      <c r="DES121" s="5"/>
      <c r="DET121" s="2"/>
      <c r="DEU121" s="4"/>
      <c r="DEV121" s="2"/>
      <c r="DEW121" s="3"/>
      <c r="DEX121" s="2"/>
      <c r="DEY121" s="2"/>
      <c r="DEZ121" s="5"/>
      <c r="DFA121" s="2"/>
      <c r="DFB121" s="4"/>
      <c r="DFC121" s="2"/>
      <c r="DFD121" s="3"/>
      <c r="DFE121" s="2"/>
      <c r="DFF121" s="2"/>
      <c r="DFG121" s="5"/>
      <c r="DFH121" s="2"/>
      <c r="DFI121" s="4"/>
      <c r="DFJ121" s="2"/>
      <c r="DFK121" s="3"/>
      <c r="DFL121" s="2"/>
      <c r="DFM121" s="2"/>
      <c r="DFN121" s="5"/>
      <c r="DFO121" s="2"/>
      <c r="DFP121" s="4"/>
      <c r="DFQ121" s="2"/>
      <c r="DFR121" s="3"/>
      <c r="DFS121" s="2"/>
      <c r="DFT121" s="2"/>
      <c r="DFU121" s="5"/>
      <c r="DFV121" s="2"/>
      <c r="DFW121" s="4"/>
      <c r="DFX121" s="2"/>
      <c r="DFY121" s="3"/>
      <c r="DFZ121" s="2"/>
      <c r="DGA121" s="2"/>
      <c r="DGB121" s="5"/>
      <c r="DGC121" s="2"/>
      <c r="DGD121" s="4"/>
      <c r="DGE121" s="2"/>
      <c r="DGF121" s="3"/>
      <c r="DGG121" s="2"/>
      <c r="DGH121" s="2"/>
      <c r="DGI121" s="5"/>
      <c r="DGJ121" s="2"/>
      <c r="DGK121" s="4"/>
      <c r="DGL121" s="2"/>
      <c r="DGM121" s="3"/>
      <c r="DGN121" s="2"/>
      <c r="DGO121" s="2"/>
      <c r="DGP121" s="5"/>
      <c r="DGQ121" s="2"/>
      <c r="DGR121" s="4"/>
      <c r="DGS121" s="2"/>
      <c r="DGT121" s="3"/>
      <c r="DGU121" s="2"/>
      <c r="DGV121" s="2"/>
      <c r="DGW121" s="5"/>
      <c r="DGX121" s="2"/>
      <c r="DGY121" s="4"/>
      <c r="DGZ121" s="2"/>
      <c r="DHA121" s="3"/>
      <c r="DHB121" s="2"/>
      <c r="DHC121" s="2"/>
      <c r="DHD121" s="5"/>
      <c r="DHE121" s="2"/>
      <c r="DHF121" s="4"/>
      <c r="DHG121" s="2"/>
      <c r="DHH121" s="3"/>
      <c r="DHI121" s="2"/>
      <c r="DHJ121" s="2"/>
      <c r="DHK121" s="5"/>
      <c r="DHL121" s="2"/>
      <c r="DHM121" s="4"/>
      <c r="DHN121" s="2"/>
      <c r="DHO121" s="3"/>
      <c r="DHP121" s="2"/>
      <c r="DHQ121" s="2"/>
      <c r="DHR121" s="5"/>
      <c r="DHS121" s="2"/>
      <c r="DHT121" s="4"/>
      <c r="DHU121" s="2"/>
      <c r="DHV121" s="3"/>
      <c r="DHW121" s="2"/>
      <c r="DHX121" s="2"/>
      <c r="DHY121" s="5"/>
      <c r="DHZ121" s="2"/>
      <c r="DIA121" s="4"/>
      <c r="DIB121" s="2"/>
      <c r="DIC121" s="3"/>
      <c r="DID121" s="2"/>
      <c r="DIE121" s="2"/>
      <c r="DIF121" s="5"/>
      <c r="DIG121" s="2"/>
      <c r="DIH121" s="4"/>
      <c r="DII121" s="2"/>
      <c r="DIJ121" s="3"/>
      <c r="DIK121" s="2"/>
      <c r="DIL121" s="2"/>
      <c r="DIM121" s="5"/>
      <c r="DIN121" s="2"/>
      <c r="DIO121" s="4"/>
      <c r="DIP121" s="2"/>
      <c r="DIQ121" s="3"/>
      <c r="DIR121" s="2"/>
      <c r="DIS121" s="2"/>
      <c r="DIT121" s="5"/>
      <c r="DIU121" s="2"/>
      <c r="DIV121" s="4"/>
      <c r="DIW121" s="2"/>
      <c r="DIX121" s="3"/>
      <c r="DIY121" s="2"/>
      <c r="DIZ121" s="2"/>
      <c r="DJA121" s="5"/>
      <c r="DJB121" s="2"/>
      <c r="DJC121" s="4"/>
      <c r="DJD121" s="2"/>
      <c r="DJE121" s="3"/>
      <c r="DJF121" s="2"/>
      <c r="DJG121" s="2"/>
      <c r="DJH121" s="5"/>
      <c r="DJI121" s="2"/>
      <c r="DJJ121" s="4"/>
      <c r="DJK121" s="2"/>
      <c r="DJL121" s="3"/>
      <c r="DJM121" s="2"/>
      <c r="DJN121" s="2"/>
      <c r="DJO121" s="5"/>
      <c r="DJP121" s="2"/>
      <c r="DJQ121" s="4"/>
      <c r="DJR121" s="2"/>
      <c r="DJS121" s="3"/>
      <c r="DJT121" s="2"/>
      <c r="DJU121" s="2"/>
      <c r="DJV121" s="5"/>
      <c r="DJW121" s="2"/>
      <c r="DJX121" s="4"/>
      <c r="DJY121" s="2"/>
      <c r="DJZ121" s="3"/>
      <c r="DKA121" s="2"/>
      <c r="DKB121" s="2"/>
      <c r="DKC121" s="5"/>
      <c r="DKD121" s="2"/>
      <c r="DKE121" s="4"/>
      <c r="DKF121" s="2"/>
      <c r="DKG121" s="3"/>
      <c r="DKH121" s="2"/>
      <c r="DKI121" s="2"/>
      <c r="DKJ121" s="5"/>
      <c r="DKK121" s="2"/>
      <c r="DKL121" s="4"/>
      <c r="DKM121" s="2"/>
      <c r="DKN121" s="3"/>
      <c r="DKO121" s="2"/>
      <c r="DKP121" s="2"/>
      <c r="DKQ121" s="5"/>
      <c r="DKR121" s="2"/>
      <c r="DKS121" s="4"/>
      <c r="DKT121" s="2"/>
      <c r="DKU121" s="3"/>
      <c r="DKV121" s="2"/>
      <c r="DKW121" s="2"/>
      <c r="DKX121" s="5"/>
      <c r="DKY121" s="2"/>
      <c r="DKZ121" s="4"/>
      <c r="DLA121" s="2"/>
      <c r="DLB121" s="3"/>
      <c r="DLC121" s="2"/>
      <c r="DLD121" s="2"/>
      <c r="DLE121" s="5"/>
      <c r="DLF121" s="2"/>
      <c r="DLG121" s="4"/>
      <c r="DLH121" s="2"/>
      <c r="DLI121" s="3"/>
      <c r="DLJ121" s="2"/>
      <c r="DLK121" s="2"/>
      <c r="DLL121" s="5"/>
      <c r="DLM121" s="2"/>
      <c r="DLN121" s="4"/>
      <c r="DLO121" s="2"/>
      <c r="DLP121" s="3"/>
      <c r="DLQ121" s="2"/>
      <c r="DLR121" s="2"/>
      <c r="DLS121" s="5"/>
      <c r="DLT121" s="2"/>
      <c r="DLU121" s="4"/>
      <c r="DLV121" s="2"/>
      <c r="DLW121" s="3"/>
      <c r="DLX121" s="2"/>
      <c r="DLY121" s="2"/>
      <c r="DLZ121" s="5"/>
      <c r="DMA121" s="2"/>
      <c r="DMB121" s="4"/>
      <c r="DMC121" s="2"/>
      <c r="DMD121" s="3"/>
      <c r="DME121" s="2"/>
      <c r="DMF121" s="2"/>
      <c r="DMG121" s="5"/>
      <c r="DMH121" s="2"/>
      <c r="DMI121" s="4"/>
      <c r="DMJ121" s="2"/>
      <c r="DMK121" s="3"/>
      <c r="DML121" s="2"/>
      <c r="DMM121" s="2"/>
      <c r="DMN121" s="5"/>
      <c r="DMO121" s="2"/>
      <c r="DMP121" s="4"/>
      <c r="DMQ121" s="2"/>
      <c r="DMR121" s="3"/>
      <c r="DMS121" s="2"/>
      <c r="DMT121" s="2"/>
      <c r="DMU121" s="5"/>
      <c r="DMV121" s="2"/>
      <c r="DMW121" s="4"/>
      <c r="DMX121" s="2"/>
      <c r="DMY121" s="3"/>
      <c r="DMZ121" s="2"/>
      <c r="DNA121" s="2"/>
      <c r="DNB121" s="5"/>
      <c r="DNC121" s="2"/>
      <c r="DND121" s="4"/>
      <c r="DNE121" s="2"/>
      <c r="DNF121" s="3"/>
      <c r="DNG121" s="2"/>
      <c r="DNH121" s="2"/>
      <c r="DNI121" s="5"/>
      <c r="DNJ121" s="2"/>
      <c r="DNK121" s="4"/>
      <c r="DNL121" s="2"/>
      <c r="DNM121" s="3"/>
      <c r="DNN121" s="2"/>
      <c r="DNO121" s="2"/>
      <c r="DNP121" s="5"/>
      <c r="DNQ121" s="2"/>
      <c r="DNR121" s="4"/>
      <c r="DNS121" s="2"/>
      <c r="DNT121" s="3"/>
      <c r="DNU121" s="2"/>
      <c r="DNV121" s="2"/>
      <c r="DNW121" s="5"/>
      <c r="DNX121" s="2"/>
      <c r="DNY121" s="4"/>
      <c r="DNZ121" s="2"/>
      <c r="DOA121" s="3"/>
      <c r="DOB121" s="2"/>
      <c r="DOC121" s="2"/>
      <c r="DOD121" s="5"/>
      <c r="DOE121" s="2"/>
      <c r="DOF121" s="4"/>
      <c r="DOG121" s="2"/>
      <c r="DOH121" s="3"/>
      <c r="DOI121" s="2"/>
      <c r="DOJ121" s="2"/>
      <c r="DOK121" s="5"/>
      <c r="DOL121" s="2"/>
      <c r="DOM121" s="4"/>
      <c r="DON121" s="2"/>
      <c r="DOO121" s="3"/>
      <c r="DOP121" s="2"/>
      <c r="DOQ121" s="2"/>
      <c r="DOR121" s="5"/>
      <c r="DOS121" s="2"/>
      <c r="DOT121" s="4"/>
      <c r="DOU121" s="2"/>
      <c r="DOV121" s="3"/>
      <c r="DOW121" s="2"/>
      <c r="DOX121" s="2"/>
      <c r="DOY121" s="5"/>
      <c r="DOZ121" s="2"/>
      <c r="DPA121" s="4"/>
      <c r="DPB121" s="2"/>
      <c r="DPC121" s="3"/>
      <c r="DPD121" s="2"/>
      <c r="DPE121" s="2"/>
      <c r="DPF121" s="5"/>
      <c r="DPG121" s="2"/>
      <c r="DPH121" s="4"/>
      <c r="DPI121" s="2"/>
      <c r="DPJ121" s="3"/>
      <c r="DPK121" s="2"/>
      <c r="DPL121" s="2"/>
      <c r="DPM121" s="5"/>
      <c r="DPN121" s="2"/>
      <c r="DPO121" s="4"/>
      <c r="DPP121" s="2"/>
      <c r="DPQ121" s="3"/>
      <c r="DPR121" s="2"/>
      <c r="DPS121" s="2"/>
      <c r="DPT121" s="5"/>
      <c r="DPU121" s="2"/>
      <c r="DPV121" s="4"/>
      <c r="DPW121" s="2"/>
      <c r="DPX121" s="3"/>
      <c r="DPY121" s="2"/>
      <c r="DPZ121" s="2"/>
      <c r="DQA121" s="5"/>
      <c r="DQB121" s="2"/>
      <c r="DQC121" s="4"/>
      <c r="DQD121" s="2"/>
      <c r="DQE121" s="3"/>
      <c r="DQF121" s="2"/>
      <c r="DQG121" s="2"/>
      <c r="DQH121" s="5"/>
      <c r="DQI121" s="2"/>
      <c r="DQJ121" s="4"/>
      <c r="DQK121" s="2"/>
      <c r="DQL121" s="3"/>
      <c r="DQM121" s="2"/>
      <c r="DQN121" s="2"/>
      <c r="DQO121" s="5"/>
      <c r="DQP121" s="2"/>
      <c r="DQQ121" s="4"/>
      <c r="DQR121" s="2"/>
      <c r="DQS121" s="3"/>
      <c r="DQT121" s="2"/>
      <c r="DQU121" s="2"/>
      <c r="DQV121" s="5"/>
      <c r="DQW121" s="2"/>
      <c r="DQX121" s="4"/>
      <c r="DQY121" s="2"/>
      <c r="DQZ121" s="3"/>
      <c r="DRA121" s="2"/>
      <c r="DRB121" s="2"/>
      <c r="DRC121" s="5"/>
      <c r="DRD121" s="2"/>
      <c r="DRE121" s="4"/>
      <c r="DRF121" s="2"/>
      <c r="DRG121" s="3"/>
      <c r="DRH121" s="2"/>
      <c r="DRI121" s="2"/>
      <c r="DRJ121" s="5"/>
      <c r="DRK121" s="2"/>
      <c r="DRL121" s="4"/>
      <c r="DRM121" s="2"/>
      <c r="DRN121" s="3"/>
      <c r="DRO121" s="2"/>
      <c r="DRP121" s="2"/>
      <c r="DRQ121" s="5"/>
      <c r="DRR121" s="2"/>
      <c r="DRS121" s="4"/>
      <c r="DRT121" s="2"/>
      <c r="DRU121" s="3"/>
      <c r="DRV121" s="2"/>
      <c r="DRW121" s="2"/>
      <c r="DRX121" s="5"/>
      <c r="DRY121" s="2"/>
      <c r="DRZ121" s="4"/>
      <c r="DSA121" s="2"/>
      <c r="DSB121" s="3"/>
      <c r="DSC121" s="2"/>
      <c r="DSD121" s="2"/>
      <c r="DSE121" s="5"/>
      <c r="DSF121" s="2"/>
      <c r="DSG121" s="4"/>
      <c r="DSH121" s="2"/>
      <c r="DSI121" s="3"/>
      <c r="DSJ121" s="2"/>
      <c r="DSK121" s="2"/>
      <c r="DSL121" s="5"/>
      <c r="DSM121" s="2"/>
      <c r="DSN121" s="4"/>
      <c r="DSO121" s="2"/>
      <c r="DSP121" s="3"/>
      <c r="DSQ121" s="2"/>
      <c r="DSR121" s="2"/>
      <c r="DSS121" s="5"/>
      <c r="DST121" s="2"/>
      <c r="DSU121" s="4"/>
      <c r="DSV121" s="2"/>
      <c r="DSW121" s="3"/>
      <c r="DSX121" s="2"/>
      <c r="DSY121" s="2"/>
      <c r="DSZ121" s="5"/>
      <c r="DTA121" s="2"/>
      <c r="DTB121" s="4"/>
      <c r="DTC121" s="2"/>
      <c r="DTD121" s="3"/>
      <c r="DTE121" s="2"/>
      <c r="DTF121" s="2"/>
      <c r="DTG121" s="5"/>
      <c r="DTH121" s="2"/>
      <c r="DTI121" s="4"/>
      <c r="DTJ121" s="2"/>
      <c r="DTK121" s="3"/>
      <c r="DTL121" s="2"/>
      <c r="DTM121" s="2"/>
      <c r="DTN121" s="5"/>
      <c r="DTO121" s="2"/>
      <c r="DTP121" s="4"/>
      <c r="DTQ121" s="2"/>
      <c r="DTR121" s="3"/>
      <c r="DTS121" s="2"/>
      <c r="DTT121" s="2"/>
      <c r="DTU121" s="5"/>
      <c r="DTV121" s="2"/>
      <c r="DTW121" s="4"/>
      <c r="DTX121" s="2"/>
      <c r="DTY121" s="3"/>
      <c r="DTZ121" s="2"/>
      <c r="DUA121" s="2"/>
      <c r="DUB121" s="5"/>
      <c r="DUC121" s="2"/>
      <c r="DUD121" s="4"/>
      <c r="DUE121" s="2"/>
      <c r="DUF121" s="3"/>
      <c r="DUG121" s="2"/>
      <c r="DUH121" s="2"/>
      <c r="DUI121" s="5"/>
      <c r="DUJ121" s="2"/>
      <c r="DUK121" s="4"/>
      <c r="DUL121" s="2"/>
      <c r="DUM121" s="3"/>
      <c r="DUN121" s="2"/>
      <c r="DUO121" s="2"/>
      <c r="DUP121" s="5"/>
      <c r="DUQ121" s="2"/>
      <c r="DUR121" s="4"/>
      <c r="DUS121" s="2"/>
      <c r="DUT121" s="3"/>
      <c r="DUU121" s="2"/>
      <c r="DUV121" s="2"/>
      <c r="DUW121" s="5"/>
      <c r="DUX121" s="2"/>
      <c r="DUY121" s="4"/>
      <c r="DUZ121" s="2"/>
      <c r="DVA121" s="3"/>
      <c r="DVB121" s="2"/>
      <c r="DVC121" s="2"/>
      <c r="DVD121" s="5"/>
      <c r="DVE121" s="2"/>
      <c r="DVF121" s="4"/>
      <c r="DVG121" s="2"/>
      <c r="DVH121" s="3"/>
      <c r="DVI121" s="2"/>
      <c r="DVJ121" s="2"/>
      <c r="DVK121" s="5"/>
      <c r="DVL121" s="2"/>
      <c r="DVM121" s="4"/>
      <c r="DVN121" s="2"/>
      <c r="DVO121" s="3"/>
      <c r="DVP121" s="2"/>
      <c r="DVQ121" s="2"/>
      <c r="DVR121" s="5"/>
      <c r="DVS121" s="2"/>
      <c r="DVT121" s="4"/>
      <c r="DVU121" s="2"/>
      <c r="DVV121" s="3"/>
      <c r="DVW121" s="2"/>
      <c r="DVX121" s="2"/>
      <c r="DVY121" s="5"/>
      <c r="DVZ121" s="2"/>
      <c r="DWA121" s="4"/>
      <c r="DWB121" s="2"/>
      <c r="DWC121" s="3"/>
      <c r="DWD121" s="2"/>
      <c r="DWE121" s="2"/>
      <c r="DWF121" s="5"/>
      <c r="DWG121" s="2"/>
      <c r="DWH121" s="4"/>
      <c r="DWI121" s="2"/>
      <c r="DWJ121" s="3"/>
      <c r="DWK121" s="2"/>
      <c r="DWL121" s="2"/>
      <c r="DWM121" s="5"/>
      <c r="DWN121" s="2"/>
      <c r="DWO121" s="4"/>
      <c r="DWP121" s="2"/>
      <c r="DWQ121" s="3"/>
      <c r="DWR121" s="2"/>
      <c r="DWS121" s="2"/>
      <c r="DWT121" s="5"/>
      <c r="DWU121" s="2"/>
      <c r="DWV121" s="4"/>
      <c r="DWW121" s="2"/>
      <c r="DWX121" s="3"/>
      <c r="DWY121" s="2"/>
      <c r="DWZ121" s="2"/>
      <c r="DXA121" s="5"/>
      <c r="DXB121" s="2"/>
      <c r="DXC121" s="4"/>
      <c r="DXD121" s="2"/>
      <c r="DXE121" s="3"/>
      <c r="DXF121" s="2"/>
      <c r="DXG121" s="2"/>
      <c r="DXH121" s="5"/>
      <c r="DXI121" s="2"/>
      <c r="DXJ121" s="4"/>
      <c r="DXK121" s="2"/>
      <c r="DXL121" s="3"/>
      <c r="DXM121" s="2"/>
      <c r="DXN121" s="2"/>
      <c r="DXO121" s="5"/>
      <c r="DXP121" s="2"/>
      <c r="DXQ121" s="4"/>
      <c r="DXR121" s="2"/>
      <c r="DXS121" s="3"/>
      <c r="DXT121" s="2"/>
      <c r="DXU121" s="2"/>
      <c r="DXV121" s="5"/>
      <c r="DXW121" s="2"/>
      <c r="DXX121" s="4"/>
      <c r="DXY121" s="2"/>
      <c r="DXZ121" s="3"/>
      <c r="DYA121" s="2"/>
      <c r="DYB121" s="2"/>
      <c r="DYC121" s="5"/>
      <c r="DYD121" s="2"/>
      <c r="DYE121" s="4"/>
      <c r="DYF121" s="2"/>
      <c r="DYG121" s="3"/>
      <c r="DYH121" s="2"/>
      <c r="DYI121" s="2"/>
      <c r="DYJ121" s="5"/>
      <c r="DYK121" s="2"/>
      <c r="DYL121" s="4"/>
      <c r="DYM121" s="2"/>
      <c r="DYN121" s="3"/>
      <c r="DYO121" s="2"/>
      <c r="DYP121" s="2"/>
      <c r="DYQ121" s="5"/>
      <c r="DYR121" s="2"/>
      <c r="DYS121" s="4"/>
      <c r="DYT121" s="2"/>
      <c r="DYU121" s="3"/>
      <c r="DYV121" s="2"/>
      <c r="DYW121" s="2"/>
      <c r="DYX121" s="5"/>
      <c r="DYY121" s="2"/>
      <c r="DYZ121" s="4"/>
      <c r="DZA121" s="2"/>
      <c r="DZB121" s="3"/>
      <c r="DZC121" s="2"/>
      <c r="DZD121" s="2"/>
      <c r="DZE121" s="5"/>
      <c r="DZF121" s="2"/>
      <c r="DZG121" s="4"/>
      <c r="DZH121" s="2"/>
      <c r="DZI121" s="3"/>
      <c r="DZJ121" s="2"/>
      <c r="DZK121" s="2"/>
      <c r="DZL121" s="5"/>
      <c r="DZM121" s="2"/>
      <c r="DZN121" s="4"/>
      <c r="DZO121" s="2"/>
      <c r="DZP121" s="3"/>
      <c r="DZQ121" s="2"/>
      <c r="DZR121" s="2"/>
      <c r="DZS121" s="5"/>
      <c r="DZT121" s="2"/>
      <c r="DZU121" s="4"/>
      <c r="DZV121" s="2"/>
      <c r="DZW121" s="3"/>
      <c r="DZX121" s="2"/>
      <c r="DZY121" s="2"/>
      <c r="DZZ121" s="5"/>
      <c r="EAA121" s="2"/>
      <c r="EAB121" s="4"/>
      <c r="EAC121" s="2"/>
      <c r="EAD121" s="3"/>
      <c r="EAE121" s="2"/>
      <c r="EAF121" s="2"/>
      <c r="EAG121" s="5"/>
      <c r="EAH121" s="2"/>
      <c r="EAI121" s="4"/>
      <c r="EAJ121" s="2"/>
      <c r="EAK121" s="3"/>
      <c r="EAL121" s="2"/>
      <c r="EAM121" s="2"/>
      <c r="EAN121" s="5"/>
      <c r="EAO121" s="2"/>
      <c r="EAP121" s="4"/>
      <c r="EAQ121" s="2"/>
      <c r="EAR121" s="3"/>
      <c r="EAS121" s="2"/>
      <c r="EAT121" s="2"/>
      <c r="EAU121" s="5"/>
      <c r="EAV121" s="2"/>
      <c r="EAW121" s="4"/>
      <c r="EAX121" s="2"/>
      <c r="EAY121" s="3"/>
      <c r="EAZ121" s="2"/>
      <c r="EBA121" s="2"/>
      <c r="EBB121" s="5"/>
      <c r="EBC121" s="2"/>
      <c r="EBD121" s="4"/>
      <c r="EBE121" s="2"/>
      <c r="EBF121" s="3"/>
      <c r="EBG121" s="2"/>
      <c r="EBH121" s="2"/>
      <c r="EBI121" s="5"/>
      <c r="EBJ121" s="2"/>
      <c r="EBK121" s="4"/>
      <c r="EBL121" s="2"/>
      <c r="EBM121" s="3"/>
      <c r="EBN121" s="2"/>
      <c r="EBO121" s="2"/>
      <c r="EBP121" s="5"/>
      <c r="EBQ121" s="2"/>
      <c r="EBR121" s="4"/>
      <c r="EBS121" s="2"/>
      <c r="EBT121" s="3"/>
      <c r="EBU121" s="2"/>
      <c r="EBV121" s="2"/>
      <c r="EBW121" s="5"/>
      <c r="EBX121" s="2"/>
      <c r="EBY121" s="4"/>
      <c r="EBZ121" s="2"/>
      <c r="ECA121" s="3"/>
      <c r="ECB121" s="2"/>
      <c r="ECC121" s="2"/>
      <c r="ECD121" s="5"/>
      <c r="ECE121" s="2"/>
      <c r="ECF121" s="4"/>
      <c r="ECG121" s="2"/>
      <c r="ECH121" s="3"/>
      <c r="ECI121" s="2"/>
      <c r="ECJ121" s="2"/>
      <c r="ECK121" s="5"/>
      <c r="ECL121" s="2"/>
      <c r="ECM121" s="4"/>
      <c r="ECN121" s="2"/>
      <c r="ECO121" s="3"/>
      <c r="ECP121" s="2"/>
      <c r="ECQ121" s="2"/>
      <c r="ECR121" s="5"/>
      <c r="ECS121" s="2"/>
      <c r="ECT121" s="4"/>
      <c r="ECU121" s="2"/>
      <c r="ECV121" s="3"/>
      <c r="ECW121" s="2"/>
      <c r="ECX121" s="2"/>
      <c r="ECY121" s="5"/>
      <c r="ECZ121" s="2"/>
      <c r="EDA121" s="4"/>
      <c r="EDB121" s="2"/>
      <c r="EDC121" s="3"/>
      <c r="EDD121" s="2"/>
      <c r="EDE121" s="2"/>
      <c r="EDF121" s="5"/>
      <c r="EDG121" s="2"/>
      <c r="EDH121" s="4"/>
      <c r="EDI121" s="2"/>
      <c r="EDJ121" s="3"/>
      <c r="EDK121" s="2"/>
      <c r="EDL121" s="2"/>
      <c r="EDM121" s="5"/>
      <c r="EDN121" s="2"/>
      <c r="EDO121" s="4"/>
      <c r="EDP121" s="2"/>
      <c r="EDQ121" s="3"/>
      <c r="EDR121" s="2"/>
      <c r="EDS121" s="2"/>
      <c r="EDT121" s="5"/>
      <c r="EDU121" s="2"/>
      <c r="EDV121" s="4"/>
      <c r="EDW121" s="2"/>
      <c r="EDX121" s="3"/>
      <c r="EDY121" s="2"/>
      <c r="EDZ121" s="2"/>
      <c r="EEA121" s="5"/>
      <c r="EEB121" s="2"/>
      <c r="EEC121" s="4"/>
      <c r="EED121" s="2"/>
      <c r="EEE121" s="3"/>
      <c r="EEF121" s="2"/>
      <c r="EEG121" s="2"/>
      <c r="EEH121" s="5"/>
      <c r="EEI121" s="2"/>
      <c r="EEJ121" s="4"/>
      <c r="EEK121" s="2"/>
      <c r="EEL121" s="3"/>
      <c r="EEM121" s="2"/>
      <c r="EEN121" s="2"/>
      <c r="EEO121" s="5"/>
      <c r="EEP121" s="2"/>
      <c r="EEQ121" s="4"/>
      <c r="EER121" s="2"/>
      <c r="EES121" s="3"/>
      <c r="EET121" s="2"/>
      <c r="EEU121" s="2"/>
      <c r="EEV121" s="5"/>
      <c r="EEW121" s="2"/>
      <c r="EEX121" s="4"/>
      <c r="EEY121" s="2"/>
      <c r="EEZ121" s="3"/>
      <c r="EFA121" s="2"/>
      <c r="EFB121" s="2"/>
      <c r="EFC121" s="5"/>
      <c r="EFD121" s="2"/>
      <c r="EFE121" s="4"/>
      <c r="EFF121" s="2"/>
      <c r="EFG121" s="3"/>
      <c r="EFH121" s="2"/>
      <c r="EFI121" s="2"/>
      <c r="EFJ121" s="5"/>
      <c r="EFK121" s="2"/>
      <c r="EFL121" s="4"/>
      <c r="EFM121" s="2"/>
      <c r="EFN121" s="3"/>
      <c r="EFO121" s="2"/>
      <c r="EFP121" s="2"/>
      <c r="EFQ121" s="5"/>
      <c r="EFR121" s="2"/>
      <c r="EFS121" s="4"/>
      <c r="EFT121" s="2"/>
      <c r="EFU121" s="3"/>
      <c r="EFV121" s="2"/>
      <c r="EFW121" s="2"/>
      <c r="EFX121" s="5"/>
      <c r="EFY121" s="2"/>
      <c r="EFZ121" s="4"/>
      <c r="EGA121" s="2"/>
      <c r="EGB121" s="3"/>
      <c r="EGC121" s="2"/>
      <c r="EGD121" s="2"/>
      <c r="EGE121" s="5"/>
      <c r="EGF121" s="2"/>
      <c r="EGG121" s="4"/>
      <c r="EGH121" s="2"/>
      <c r="EGI121" s="3"/>
      <c r="EGJ121" s="2"/>
      <c r="EGK121" s="2"/>
      <c r="EGL121" s="5"/>
      <c r="EGM121" s="2"/>
      <c r="EGN121" s="4"/>
      <c r="EGO121" s="2"/>
      <c r="EGP121" s="3"/>
      <c r="EGQ121" s="2"/>
      <c r="EGR121" s="2"/>
      <c r="EGS121" s="5"/>
      <c r="EGT121" s="2"/>
      <c r="EGU121" s="4"/>
      <c r="EGV121" s="2"/>
      <c r="EGW121" s="3"/>
      <c r="EGX121" s="2"/>
      <c r="EGY121" s="2"/>
      <c r="EGZ121" s="5"/>
      <c r="EHA121" s="2"/>
      <c r="EHB121" s="4"/>
      <c r="EHC121" s="2"/>
      <c r="EHD121" s="3"/>
      <c r="EHE121" s="2"/>
      <c r="EHF121" s="2"/>
      <c r="EHG121" s="5"/>
      <c r="EHH121" s="2"/>
      <c r="EHI121" s="4"/>
      <c r="EHJ121" s="2"/>
      <c r="EHK121" s="3"/>
      <c r="EHL121" s="2"/>
      <c r="EHM121" s="2"/>
      <c r="EHN121" s="5"/>
      <c r="EHO121" s="2"/>
      <c r="EHP121" s="4"/>
      <c r="EHQ121" s="2"/>
      <c r="EHR121" s="3"/>
      <c r="EHS121" s="2"/>
      <c r="EHT121" s="2"/>
      <c r="EHU121" s="5"/>
      <c r="EHV121" s="2"/>
      <c r="EHW121" s="4"/>
      <c r="EHX121" s="2"/>
      <c r="EHY121" s="3"/>
      <c r="EHZ121" s="2"/>
      <c r="EIA121" s="2"/>
      <c r="EIB121" s="5"/>
      <c r="EIC121" s="2"/>
      <c r="EID121" s="4"/>
      <c r="EIE121" s="2"/>
      <c r="EIF121" s="3"/>
      <c r="EIG121" s="2"/>
      <c r="EIH121" s="2"/>
      <c r="EII121" s="5"/>
      <c r="EIJ121" s="2"/>
      <c r="EIK121" s="4"/>
      <c r="EIL121" s="2"/>
      <c r="EIM121" s="3"/>
      <c r="EIN121" s="2"/>
      <c r="EIO121" s="2"/>
      <c r="EIP121" s="5"/>
      <c r="EIQ121" s="2"/>
      <c r="EIR121" s="4"/>
      <c r="EIS121" s="2"/>
      <c r="EIT121" s="3"/>
      <c r="EIU121" s="2"/>
      <c r="EIV121" s="2"/>
      <c r="EIW121" s="5"/>
      <c r="EIX121" s="2"/>
      <c r="EIY121" s="4"/>
      <c r="EIZ121" s="2"/>
      <c r="EJA121" s="3"/>
      <c r="EJB121" s="2"/>
      <c r="EJC121" s="2"/>
      <c r="EJD121" s="5"/>
      <c r="EJE121" s="2"/>
      <c r="EJF121" s="4"/>
      <c r="EJG121" s="2"/>
      <c r="EJH121" s="3"/>
      <c r="EJI121" s="2"/>
      <c r="EJJ121" s="2"/>
      <c r="EJK121" s="5"/>
      <c r="EJL121" s="2"/>
      <c r="EJM121" s="4"/>
      <c r="EJN121" s="2"/>
      <c r="EJO121" s="3"/>
      <c r="EJP121" s="2"/>
      <c r="EJQ121" s="2"/>
      <c r="EJR121" s="5"/>
      <c r="EJS121" s="2"/>
      <c r="EJT121" s="4"/>
      <c r="EJU121" s="2"/>
      <c r="EJV121" s="3"/>
      <c r="EJW121" s="2"/>
      <c r="EJX121" s="2"/>
      <c r="EJY121" s="5"/>
      <c r="EJZ121" s="2"/>
      <c r="EKA121" s="4"/>
      <c r="EKB121" s="2"/>
      <c r="EKC121" s="3"/>
      <c r="EKD121" s="2"/>
      <c r="EKE121" s="2"/>
      <c r="EKF121" s="5"/>
      <c r="EKG121" s="2"/>
      <c r="EKH121" s="4"/>
      <c r="EKI121" s="2"/>
      <c r="EKJ121" s="3"/>
      <c r="EKK121" s="2"/>
      <c r="EKL121" s="2"/>
      <c r="EKM121" s="5"/>
      <c r="EKN121" s="2"/>
      <c r="EKO121" s="4"/>
      <c r="EKP121" s="2"/>
      <c r="EKQ121" s="3"/>
      <c r="EKR121" s="2"/>
      <c r="EKS121" s="2"/>
      <c r="EKT121" s="5"/>
      <c r="EKU121" s="2"/>
      <c r="EKV121" s="4"/>
      <c r="EKW121" s="2"/>
      <c r="EKX121" s="3"/>
      <c r="EKY121" s="2"/>
      <c r="EKZ121" s="2"/>
      <c r="ELA121" s="5"/>
      <c r="ELB121" s="2"/>
      <c r="ELC121" s="4"/>
      <c r="ELD121" s="2"/>
      <c r="ELE121" s="3"/>
      <c r="ELF121" s="2"/>
      <c r="ELG121" s="2"/>
      <c r="ELH121" s="5"/>
      <c r="ELI121" s="2"/>
      <c r="ELJ121" s="4"/>
      <c r="ELK121" s="2"/>
      <c r="ELL121" s="3"/>
      <c r="ELM121" s="2"/>
      <c r="ELN121" s="2"/>
      <c r="ELO121" s="5"/>
      <c r="ELP121" s="2"/>
      <c r="ELQ121" s="4"/>
      <c r="ELR121" s="2"/>
      <c r="ELS121" s="3"/>
      <c r="ELT121" s="2"/>
      <c r="ELU121" s="2"/>
      <c r="ELV121" s="5"/>
      <c r="ELW121" s="2"/>
      <c r="ELX121" s="4"/>
      <c r="ELY121" s="2"/>
      <c r="ELZ121" s="3"/>
      <c r="EMA121" s="2"/>
      <c r="EMB121" s="2"/>
      <c r="EMC121" s="5"/>
      <c r="EMD121" s="2"/>
      <c r="EME121" s="4"/>
      <c r="EMF121" s="2"/>
      <c r="EMG121" s="3"/>
      <c r="EMH121" s="2"/>
      <c r="EMI121" s="2"/>
      <c r="EMJ121" s="5"/>
      <c r="EMK121" s="2"/>
      <c r="EML121" s="4"/>
      <c r="EMM121" s="2"/>
      <c r="EMN121" s="3"/>
      <c r="EMO121" s="2"/>
      <c r="EMP121" s="2"/>
      <c r="EMQ121" s="5"/>
      <c r="EMR121" s="2"/>
      <c r="EMS121" s="4"/>
      <c r="EMT121" s="2"/>
      <c r="EMU121" s="3"/>
      <c r="EMV121" s="2"/>
      <c r="EMW121" s="2"/>
      <c r="EMX121" s="5"/>
      <c r="EMY121" s="2"/>
      <c r="EMZ121" s="4"/>
      <c r="ENA121" s="2"/>
      <c r="ENB121" s="3"/>
      <c r="ENC121" s="2"/>
      <c r="END121" s="2"/>
      <c r="ENE121" s="5"/>
      <c r="ENF121" s="2"/>
      <c r="ENG121" s="4"/>
      <c r="ENH121" s="2"/>
      <c r="ENI121" s="3"/>
      <c r="ENJ121" s="2"/>
      <c r="ENK121" s="2"/>
      <c r="ENL121" s="5"/>
      <c r="ENM121" s="2"/>
      <c r="ENN121" s="4"/>
      <c r="ENO121" s="2"/>
      <c r="ENP121" s="3"/>
      <c r="ENQ121" s="2"/>
      <c r="ENR121" s="2"/>
      <c r="ENS121" s="5"/>
      <c r="ENT121" s="2"/>
      <c r="ENU121" s="4"/>
      <c r="ENV121" s="2"/>
      <c r="ENW121" s="3"/>
      <c r="ENX121" s="2"/>
      <c r="ENY121" s="2"/>
      <c r="ENZ121" s="5"/>
      <c r="EOA121" s="2"/>
      <c r="EOB121" s="4"/>
      <c r="EOC121" s="2"/>
      <c r="EOD121" s="3"/>
      <c r="EOE121" s="2"/>
      <c r="EOF121" s="2"/>
      <c r="EOG121" s="5"/>
      <c r="EOH121" s="2"/>
      <c r="EOI121" s="4"/>
      <c r="EOJ121" s="2"/>
      <c r="EOK121" s="3"/>
      <c r="EOL121" s="2"/>
      <c r="EOM121" s="2"/>
      <c r="EON121" s="5"/>
      <c r="EOO121" s="2"/>
      <c r="EOP121" s="4"/>
      <c r="EOQ121" s="2"/>
      <c r="EOR121" s="3"/>
      <c r="EOS121" s="2"/>
      <c r="EOT121" s="2"/>
      <c r="EOU121" s="5"/>
      <c r="EOV121" s="2"/>
      <c r="EOW121" s="4"/>
      <c r="EOX121" s="2"/>
      <c r="EOY121" s="3"/>
      <c r="EOZ121" s="2"/>
      <c r="EPA121" s="2"/>
      <c r="EPB121" s="5"/>
      <c r="EPC121" s="2"/>
      <c r="EPD121" s="4"/>
      <c r="EPE121" s="2"/>
      <c r="EPF121" s="3"/>
      <c r="EPG121" s="2"/>
      <c r="EPH121" s="2"/>
      <c r="EPI121" s="5"/>
      <c r="EPJ121" s="2"/>
      <c r="EPK121" s="4"/>
      <c r="EPL121" s="2"/>
      <c r="EPM121" s="3"/>
      <c r="EPN121" s="2"/>
      <c r="EPO121" s="2"/>
      <c r="EPP121" s="5"/>
      <c r="EPQ121" s="2"/>
      <c r="EPR121" s="4"/>
      <c r="EPS121" s="2"/>
      <c r="EPT121" s="3"/>
      <c r="EPU121" s="2"/>
      <c r="EPV121" s="2"/>
      <c r="EPW121" s="5"/>
      <c r="EPX121" s="2"/>
      <c r="EPY121" s="4"/>
      <c r="EPZ121" s="2"/>
      <c r="EQA121" s="3"/>
      <c r="EQB121" s="2"/>
      <c r="EQC121" s="2"/>
      <c r="EQD121" s="5"/>
      <c r="EQE121" s="2"/>
      <c r="EQF121" s="4"/>
      <c r="EQG121" s="2"/>
      <c r="EQH121" s="3"/>
      <c r="EQI121" s="2"/>
      <c r="EQJ121" s="2"/>
      <c r="EQK121" s="5"/>
      <c r="EQL121" s="2"/>
      <c r="EQM121" s="4"/>
      <c r="EQN121" s="2"/>
      <c r="EQO121" s="3"/>
      <c r="EQP121" s="2"/>
      <c r="EQQ121" s="2"/>
      <c r="EQR121" s="5"/>
      <c r="EQS121" s="2"/>
      <c r="EQT121" s="4"/>
      <c r="EQU121" s="2"/>
      <c r="EQV121" s="3"/>
      <c r="EQW121" s="2"/>
      <c r="EQX121" s="2"/>
      <c r="EQY121" s="5"/>
      <c r="EQZ121" s="2"/>
      <c r="ERA121" s="4"/>
      <c r="ERB121" s="2"/>
      <c r="ERC121" s="3"/>
      <c r="ERD121" s="2"/>
      <c r="ERE121" s="2"/>
      <c r="ERF121" s="5"/>
      <c r="ERG121" s="2"/>
      <c r="ERH121" s="4"/>
      <c r="ERI121" s="2"/>
      <c r="ERJ121" s="3"/>
      <c r="ERK121" s="2"/>
      <c r="ERL121" s="2"/>
      <c r="ERM121" s="5"/>
      <c r="ERN121" s="2"/>
      <c r="ERO121" s="4"/>
      <c r="ERP121" s="2"/>
      <c r="ERQ121" s="3"/>
      <c r="ERR121" s="2"/>
      <c r="ERS121" s="2"/>
      <c r="ERT121" s="5"/>
      <c r="ERU121" s="2"/>
      <c r="ERV121" s="4"/>
      <c r="ERW121" s="2"/>
      <c r="ERX121" s="3"/>
      <c r="ERY121" s="2"/>
      <c r="ERZ121" s="2"/>
      <c r="ESA121" s="5"/>
      <c r="ESB121" s="2"/>
      <c r="ESC121" s="4"/>
      <c r="ESD121" s="2"/>
      <c r="ESE121" s="3"/>
      <c r="ESF121" s="2"/>
      <c r="ESG121" s="2"/>
      <c r="ESH121" s="5"/>
      <c r="ESI121" s="2"/>
      <c r="ESJ121" s="4"/>
      <c r="ESK121" s="2"/>
      <c r="ESL121" s="3"/>
      <c r="ESM121" s="2"/>
      <c r="ESN121" s="2"/>
      <c r="ESO121" s="5"/>
      <c r="ESP121" s="2"/>
      <c r="ESQ121" s="4"/>
      <c r="ESR121" s="2"/>
      <c r="ESS121" s="3"/>
      <c r="EST121" s="2"/>
      <c r="ESU121" s="2"/>
      <c r="ESV121" s="5"/>
      <c r="ESW121" s="2"/>
      <c r="ESX121" s="4"/>
      <c r="ESY121" s="2"/>
      <c r="ESZ121" s="3"/>
      <c r="ETA121" s="2"/>
      <c r="ETB121" s="2"/>
      <c r="ETC121" s="5"/>
      <c r="ETD121" s="2"/>
      <c r="ETE121" s="4"/>
      <c r="ETF121" s="2"/>
      <c r="ETG121" s="3"/>
      <c r="ETH121" s="2"/>
      <c r="ETI121" s="2"/>
      <c r="ETJ121" s="5"/>
      <c r="ETK121" s="2"/>
      <c r="ETL121" s="4"/>
      <c r="ETM121" s="2"/>
      <c r="ETN121" s="3"/>
      <c r="ETO121" s="2"/>
      <c r="ETP121" s="2"/>
      <c r="ETQ121" s="5"/>
      <c r="ETR121" s="2"/>
      <c r="ETS121" s="4"/>
      <c r="ETT121" s="2"/>
      <c r="ETU121" s="3"/>
      <c r="ETV121" s="2"/>
      <c r="ETW121" s="2"/>
      <c r="ETX121" s="5"/>
      <c r="ETY121" s="2"/>
      <c r="ETZ121" s="4"/>
      <c r="EUA121" s="2"/>
      <c r="EUB121" s="3"/>
      <c r="EUC121" s="2"/>
      <c r="EUD121" s="2"/>
      <c r="EUE121" s="5"/>
      <c r="EUF121" s="2"/>
      <c r="EUG121" s="4"/>
      <c r="EUH121" s="2"/>
      <c r="EUI121" s="3"/>
      <c r="EUJ121" s="2"/>
      <c r="EUK121" s="2"/>
      <c r="EUL121" s="5"/>
      <c r="EUM121" s="2"/>
      <c r="EUN121" s="4"/>
      <c r="EUO121" s="2"/>
      <c r="EUP121" s="3"/>
      <c r="EUQ121" s="2"/>
      <c r="EUR121" s="2"/>
      <c r="EUS121" s="5"/>
      <c r="EUT121" s="2"/>
      <c r="EUU121" s="4"/>
      <c r="EUV121" s="2"/>
      <c r="EUW121" s="3"/>
      <c r="EUX121" s="2"/>
      <c r="EUY121" s="2"/>
      <c r="EUZ121" s="5"/>
      <c r="EVA121" s="2"/>
      <c r="EVB121" s="4"/>
      <c r="EVC121" s="2"/>
      <c r="EVD121" s="3"/>
      <c r="EVE121" s="2"/>
      <c r="EVF121" s="2"/>
      <c r="EVG121" s="5"/>
      <c r="EVH121" s="2"/>
      <c r="EVI121" s="4"/>
      <c r="EVJ121" s="2"/>
      <c r="EVK121" s="3"/>
      <c r="EVL121" s="2"/>
      <c r="EVM121" s="2"/>
      <c r="EVN121" s="5"/>
      <c r="EVO121" s="2"/>
      <c r="EVP121" s="4"/>
      <c r="EVQ121" s="2"/>
      <c r="EVR121" s="3"/>
      <c r="EVS121" s="2"/>
      <c r="EVT121" s="2"/>
      <c r="EVU121" s="5"/>
      <c r="EVV121" s="2"/>
      <c r="EVW121" s="4"/>
      <c r="EVX121" s="2"/>
      <c r="EVY121" s="3"/>
      <c r="EVZ121" s="2"/>
      <c r="EWA121" s="2"/>
      <c r="EWB121" s="5"/>
      <c r="EWC121" s="2"/>
      <c r="EWD121" s="4"/>
      <c r="EWE121" s="2"/>
      <c r="EWF121" s="3"/>
      <c r="EWG121" s="2"/>
      <c r="EWH121" s="2"/>
      <c r="EWI121" s="5"/>
      <c r="EWJ121" s="2"/>
      <c r="EWK121" s="4"/>
      <c r="EWL121" s="2"/>
      <c r="EWM121" s="3"/>
      <c r="EWN121" s="2"/>
      <c r="EWO121" s="2"/>
      <c r="EWP121" s="5"/>
      <c r="EWQ121" s="2"/>
      <c r="EWR121" s="4"/>
      <c r="EWS121" s="2"/>
      <c r="EWT121" s="3"/>
      <c r="EWU121" s="2"/>
      <c r="EWV121" s="2"/>
      <c r="EWW121" s="5"/>
      <c r="EWX121" s="2"/>
      <c r="EWY121" s="4"/>
      <c r="EWZ121" s="2"/>
      <c r="EXA121" s="3"/>
      <c r="EXB121" s="2"/>
      <c r="EXC121" s="2"/>
      <c r="EXD121" s="5"/>
      <c r="EXE121" s="2"/>
      <c r="EXF121" s="4"/>
      <c r="EXG121" s="2"/>
      <c r="EXH121" s="3"/>
      <c r="EXI121" s="2"/>
      <c r="EXJ121" s="2"/>
      <c r="EXK121" s="5"/>
      <c r="EXL121" s="2"/>
      <c r="EXM121" s="4"/>
      <c r="EXN121" s="2"/>
      <c r="EXO121" s="3"/>
      <c r="EXP121" s="2"/>
      <c r="EXQ121" s="2"/>
      <c r="EXR121" s="5"/>
      <c r="EXS121" s="2"/>
      <c r="EXT121" s="4"/>
      <c r="EXU121" s="2"/>
      <c r="EXV121" s="3"/>
      <c r="EXW121" s="2"/>
      <c r="EXX121" s="2"/>
      <c r="EXY121" s="5"/>
      <c r="EXZ121" s="2"/>
      <c r="EYA121" s="4"/>
      <c r="EYB121" s="2"/>
      <c r="EYC121" s="3"/>
      <c r="EYD121" s="2"/>
      <c r="EYE121" s="2"/>
      <c r="EYF121" s="5"/>
      <c r="EYG121" s="2"/>
      <c r="EYH121" s="4"/>
      <c r="EYI121" s="2"/>
      <c r="EYJ121" s="3"/>
      <c r="EYK121" s="2"/>
      <c r="EYL121" s="2"/>
      <c r="EYM121" s="5"/>
      <c r="EYN121" s="2"/>
      <c r="EYO121" s="4"/>
      <c r="EYP121" s="2"/>
      <c r="EYQ121" s="3"/>
      <c r="EYR121" s="2"/>
      <c r="EYS121" s="2"/>
      <c r="EYT121" s="5"/>
      <c r="EYU121" s="2"/>
      <c r="EYV121" s="4"/>
      <c r="EYW121" s="2"/>
      <c r="EYX121" s="3"/>
      <c r="EYY121" s="2"/>
      <c r="EYZ121" s="2"/>
      <c r="EZA121" s="5"/>
      <c r="EZB121" s="2"/>
      <c r="EZC121" s="4"/>
      <c r="EZD121" s="2"/>
      <c r="EZE121" s="3"/>
      <c r="EZF121" s="2"/>
      <c r="EZG121" s="2"/>
      <c r="EZH121" s="5"/>
      <c r="EZI121" s="2"/>
      <c r="EZJ121" s="4"/>
      <c r="EZK121" s="2"/>
      <c r="EZL121" s="3"/>
      <c r="EZM121" s="2"/>
      <c r="EZN121" s="2"/>
      <c r="EZO121" s="5"/>
      <c r="EZP121" s="2"/>
      <c r="EZQ121" s="4"/>
      <c r="EZR121" s="2"/>
      <c r="EZS121" s="3"/>
      <c r="EZT121" s="2"/>
      <c r="EZU121" s="2"/>
      <c r="EZV121" s="5"/>
      <c r="EZW121" s="2"/>
      <c r="EZX121" s="4"/>
      <c r="EZY121" s="2"/>
      <c r="EZZ121" s="3"/>
      <c r="FAA121" s="2"/>
      <c r="FAB121" s="2"/>
      <c r="FAC121" s="5"/>
      <c r="FAD121" s="2"/>
      <c r="FAE121" s="4"/>
      <c r="FAF121" s="2"/>
      <c r="FAG121" s="3"/>
      <c r="FAH121" s="2"/>
      <c r="FAI121" s="2"/>
      <c r="FAJ121" s="5"/>
      <c r="FAK121" s="2"/>
      <c r="FAL121" s="4"/>
      <c r="FAM121" s="2"/>
      <c r="FAN121" s="3"/>
      <c r="FAO121" s="2"/>
      <c r="FAP121" s="2"/>
      <c r="FAQ121" s="5"/>
      <c r="FAR121" s="2"/>
      <c r="FAS121" s="4"/>
      <c r="FAT121" s="2"/>
      <c r="FAU121" s="3"/>
      <c r="FAV121" s="2"/>
      <c r="FAW121" s="2"/>
      <c r="FAX121" s="5"/>
      <c r="FAY121" s="2"/>
      <c r="FAZ121" s="4"/>
      <c r="FBA121" s="2"/>
      <c r="FBB121" s="3"/>
      <c r="FBC121" s="2"/>
      <c r="FBD121" s="2"/>
      <c r="FBE121" s="5"/>
      <c r="FBF121" s="2"/>
      <c r="FBG121" s="4"/>
      <c r="FBH121" s="2"/>
      <c r="FBI121" s="3"/>
      <c r="FBJ121" s="2"/>
      <c r="FBK121" s="2"/>
      <c r="FBL121" s="5"/>
      <c r="FBM121" s="2"/>
      <c r="FBN121" s="4"/>
      <c r="FBO121" s="2"/>
      <c r="FBP121" s="3"/>
      <c r="FBQ121" s="2"/>
      <c r="FBR121" s="2"/>
      <c r="FBS121" s="5"/>
      <c r="FBT121" s="2"/>
      <c r="FBU121" s="4"/>
      <c r="FBV121" s="2"/>
      <c r="FBW121" s="3"/>
      <c r="FBX121" s="2"/>
      <c r="FBY121" s="2"/>
      <c r="FBZ121" s="5"/>
      <c r="FCA121" s="2"/>
      <c r="FCB121" s="4"/>
      <c r="FCC121" s="2"/>
      <c r="FCD121" s="3"/>
      <c r="FCE121" s="2"/>
      <c r="FCF121" s="2"/>
      <c r="FCG121" s="5"/>
      <c r="FCH121" s="2"/>
      <c r="FCI121" s="4"/>
      <c r="FCJ121" s="2"/>
      <c r="FCK121" s="3"/>
      <c r="FCL121" s="2"/>
      <c r="FCM121" s="2"/>
      <c r="FCN121" s="5"/>
      <c r="FCO121" s="2"/>
      <c r="FCP121" s="4"/>
      <c r="FCQ121" s="2"/>
      <c r="FCR121" s="3"/>
      <c r="FCS121" s="2"/>
      <c r="FCT121" s="2"/>
      <c r="FCU121" s="5"/>
      <c r="FCV121" s="2"/>
      <c r="FCW121" s="4"/>
      <c r="FCX121" s="2"/>
      <c r="FCY121" s="3"/>
      <c r="FCZ121" s="2"/>
      <c r="FDA121" s="2"/>
      <c r="FDB121" s="5"/>
      <c r="FDC121" s="2"/>
      <c r="FDD121" s="4"/>
      <c r="FDE121" s="2"/>
      <c r="FDF121" s="3"/>
      <c r="FDG121" s="2"/>
      <c r="FDH121" s="2"/>
      <c r="FDI121" s="5"/>
      <c r="FDJ121" s="2"/>
      <c r="FDK121" s="4"/>
      <c r="FDL121" s="2"/>
      <c r="FDM121" s="3"/>
      <c r="FDN121" s="2"/>
      <c r="FDO121" s="2"/>
      <c r="FDP121" s="5"/>
      <c r="FDQ121" s="2"/>
      <c r="FDR121" s="4"/>
      <c r="FDS121" s="2"/>
      <c r="FDT121" s="3"/>
      <c r="FDU121" s="2"/>
      <c r="FDV121" s="2"/>
      <c r="FDW121" s="5"/>
      <c r="FDX121" s="2"/>
      <c r="FDY121" s="4"/>
      <c r="FDZ121" s="2"/>
      <c r="FEA121" s="3"/>
      <c r="FEB121" s="2"/>
      <c r="FEC121" s="2"/>
      <c r="FED121" s="5"/>
      <c r="FEE121" s="2"/>
      <c r="FEF121" s="4"/>
      <c r="FEG121" s="2"/>
      <c r="FEH121" s="3"/>
      <c r="FEI121" s="2"/>
      <c r="FEJ121" s="2"/>
      <c r="FEK121" s="5"/>
      <c r="FEL121" s="2"/>
      <c r="FEM121" s="4"/>
      <c r="FEN121" s="2"/>
      <c r="FEO121" s="3"/>
      <c r="FEP121" s="2"/>
      <c r="FEQ121" s="2"/>
      <c r="FER121" s="5"/>
      <c r="FES121" s="2"/>
      <c r="FET121" s="4"/>
      <c r="FEU121" s="2"/>
      <c r="FEV121" s="3"/>
      <c r="FEW121" s="2"/>
      <c r="FEX121" s="2"/>
      <c r="FEY121" s="5"/>
      <c r="FEZ121" s="2"/>
      <c r="FFA121" s="4"/>
      <c r="FFB121" s="2"/>
      <c r="FFC121" s="3"/>
      <c r="FFD121" s="2"/>
      <c r="FFE121" s="2"/>
      <c r="FFF121" s="5"/>
      <c r="FFG121" s="2"/>
      <c r="FFH121" s="4"/>
      <c r="FFI121" s="2"/>
      <c r="FFJ121" s="3"/>
      <c r="FFK121" s="2"/>
      <c r="FFL121" s="2"/>
      <c r="FFM121" s="5"/>
      <c r="FFN121" s="2"/>
      <c r="FFO121" s="4"/>
      <c r="FFP121" s="2"/>
      <c r="FFQ121" s="3"/>
      <c r="FFR121" s="2"/>
      <c r="FFS121" s="2"/>
      <c r="FFT121" s="5"/>
      <c r="FFU121" s="2"/>
      <c r="FFV121" s="4"/>
      <c r="FFW121" s="2"/>
      <c r="FFX121" s="3"/>
      <c r="FFY121" s="2"/>
      <c r="FFZ121" s="2"/>
      <c r="FGA121" s="5"/>
      <c r="FGB121" s="2"/>
      <c r="FGC121" s="4"/>
      <c r="FGD121" s="2"/>
      <c r="FGE121" s="3"/>
      <c r="FGF121" s="2"/>
      <c r="FGG121" s="2"/>
      <c r="FGH121" s="5"/>
      <c r="FGI121" s="2"/>
      <c r="FGJ121" s="4"/>
      <c r="FGK121" s="2"/>
      <c r="FGL121" s="3"/>
      <c r="FGM121" s="2"/>
      <c r="FGN121" s="2"/>
      <c r="FGO121" s="5"/>
      <c r="FGP121" s="2"/>
      <c r="FGQ121" s="4"/>
      <c r="FGR121" s="2"/>
      <c r="FGS121" s="3"/>
      <c r="FGT121" s="2"/>
      <c r="FGU121" s="2"/>
      <c r="FGV121" s="5"/>
      <c r="FGW121" s="2"/>
      <c r="FGX121" s="4"/>
      <c r="FGY121" s="2"/>
      <c r="FGZ121" s="3"/>
      <c r="FHA121" s="2"/>
      <c r="FHB121" s="2"/>
      <c r="FHC121" s="5"/>
      <c r="FHD121" s="2"/>
      <c r="FHE121" s="4"/>
      <c r="FHF121" s="2"/>
      <c r="FHG121" s="3"/>
      <c r="FHH121" s="2"/>
      <c r="FHI121" s="2"/>
      <c r="FHJ121" s="5"/>
      <c r="FHK121" s="2"/>
      <c r="FHL121" s="4"/>
      <c r="FHM121" s="2"/>
      <c r="FHN121" s="3"/>
      <c r="FHO121" s="2"/>
      <c r="FHP121" s="2"/>
      <c r="FHQ121" s="5"/>
      <c r="FHR121" s="2"/>
      <c r="FHS121" s="4"/>
      <c r="FHT121" s="2"/>
      <c r="FHU121" s="3"/>
      <c r="FHV121" s="2"/>
      <c r="FHW121" s="2"/>
      <c r="FHX121" s="5"/>
      <c r="FHY121" s="2"/>
      <c r="FHZ121" s="4"/>
      <c r="FIA121" s="2"/>
      <c r="FIB121" s="3"/>
      <c r="FIC121" s="2"/>
      <c r="FID121" s="2"/>
      <c r="FIE121" s="5"/>
      <c r="FIF121" s="2"/>
      <c r="FIG121" s="4"/>
      <c r="FIH121" s="2"/>
      <c r="FII121" s="3"/>
      <c r="FIJ121" s="2"/>
      <c r="FIK121" s="2"/>
      <c r="FIL121" s="5"/>
      <c r="FIM121" s="2"/>
      <c r="FIN121" s="4"/>
      <c r="FIO121" s="2"/>
      <c r="FIP121" s="3"/>
      <c r="FIQ121" s="2"/>
      <c r="FIR121" s="2"/>
      <c r="FIS121" s="5"/>
      <c r="FIT121" s="2"/>
      <c r="FIU121" s="4"/>
      <c r="FIV121" s="2"/>
      <c r="FIW121" s="3"/>
      <c r="FIX121" s="2"/>
      <c r="FIY121" s="2"/>
      <c r="FIZ121" s="5"/>
      <c r="FJA121" s="2"/>
      <c r="FJB121" s="4"/>
      <c r="FJC121" s="2"/>
      <c r="FJD121" s="3"/>
      <c r="FJE121" s="2"/>
      <c r="FJF121" s="2"/>
      <c r="FJG121" s="5"/>
      <c r="FJH121" s="2"/>
      <c r="FJI121" s="4"/>
      <c r="FJJ121" s="2"/>
      <c r="FJK121" s="3"/>
      <c r="FJL121" s="2"/>
      <c r="FJM121" s="2"/>
      <c r="FJN121" s="5"/>
      <c r="FJO121" s="2"/>
      <c r="FJP121" s="4"/>
      <c r="FJQ121" s="2"/>
      <c r="FJR121" s="3"/>
      <c r="FJS121" s="2"/>
      <c r="FJT121" s="2"/>
      <c r="FJU121" s="5"/>
      <c r="FJV121" s="2"/>
      <c r="FJW121" s="4"/>
      <c r="FJX121" s="2"/>
      <c r="FJY121" s="3"/>
      <c r="FJZ121" s="2"/>
      <c r="FKA121" s="2"/>
      <c r="FKB121" s="5"/>
      <c r="FKC121" s="2"/>
      <c r="FKD121" s="4"/>
      <c r="FKE121" s="2"/>
      <c r="FKF121" s="3"/>
      <c r="FKG121" s="2"/>
      <c r="FKH121" s="2"/>
      <c r="FKI121" s="5"/>
      <c r="FKJ121" s="2"/>
      <c r="FKK121" s="4"/>
      <c r="FKL121" s="2"/>
      <c r="FKM121" s="3"/>
      <c r="FKN121" s="2"/>
      <c r="FKO121" s="2"/>
      <c r="FKP121" s="5"/>
      <c r="FKQ121" s="2"/>
      <c r="FKR121" s="4"/>
      <c r="FKS121" s="2"/>
      <c r="FKT121" s="3"/>
      <c r="FKU121" s="2"/>
      <c r="FKV121" s="2"/>
      <c r="FKW121" s="5"/>
      <c r="FKX121" s="2"/>
      <c r="FKY121" s="4"/>
      <c r="FKZ121" s="2"/>
      <c r="FLA121" s="3"/>
      <c r="FLB121" s="2"/>
      <c r="FLC121" s="2"/>
      <c r="FLD121" s="5"/>
      <c r="FLE121" s="2"/>
      <c r="FLF121" s="4"/>
      <c r="FLG121" s="2"/>
      <c r="FLH121" s="3"/>
      <c r="FLI121" s="2"/>
      <c r="FLJ121" s="2"/>
      <c r="FLK121" s="5"/>
      <c r="FLL121" s="2"/>
      <c r="FLM121" s="4"/>
      <c r="FLN121" s="2"/>
      <c r="FLO121" s="3"/>
      <c r="FLP121" s="2"/>
      <c r="FLQ121" s="2"/>
      <c r="FLR121" s="5"/>
      <c r="FLS121" s="2"/>
      <c r="FLT121" s="4"/>
      <c r="FLU121" s="2"/>
      <c r="FLV121" s="3"/>
      <c r="FLW121" s="2"/>
      <c r="FLX121" s="2"/>
      <c r="FLY121" s="5"/>
      <c r="FLZ121" s="2"/>
      <c r="FMA121" s="4"/>
      <c r="FMB121" s="2"/>
      <c r="FMC121" s="3"/>
      <c r="FMD121" s="2"/>
      <c r="FME121" s="2"/>
      <c r="FMF121" s="5"/>
      <c r="FMG121" s="2"/>
      <c r="FMH121" s="4"/>
      <c r="FMI121" s="2"/>
      <c r="FMJ121" s="3"/>
      <c r="FMK121" s="2"/>
      <c r="FML121" s="2"/>
      <c r="FMM121" s="5"/>
      <c r="FMN121" s="2"/>
      <c r="FMO121" s="4"/>
      <c r="FMP121" s="2"/>
      <c r="FMQ121" s="3"/>
      <c r="FMR121" s="2"/>
      <c r="FMS121" s="2"/>
      <c r="FMT121" s="5"/>
      <c r="FMU121" s="2"/>
      <c r="FMV121" s="4"/>
      <c r="FMW121" s="2"/>
      <c r="FMX121" s="3"/>
      <c r="FMY121" s="2"/>
      <c r="FMZ121" s="2"/>
      <c r="FNA121" s="5"/>
      <c r="FNB121" s="2"/>
      <c r="FNC121" s="4"/>
      <c r="FND121" s="2"/>
      <c r="FNE121" s="3"/>
      <c r="FNF121" s="2"/>
      <c r="FNG121" s="2"/>
      <c r="FNH121" s="5"/>
      <c r="FNI121" s="2"/>
      <c r="FNJ121" s="4"/>
      <c r="FNK121" s="2"/>
      <c r="FNL121" s="3"/>
      <c r="FNM121" s="2"/>
      <c r="FNN121" s="2"/>
      <c r="FNO121" s="5"/>
      <c r="FNP121" s="2"/>
      <c r="FNQ121" s="4"/>
      <c r="FNR121" s="2"/>
      <c r="FNS121" s="3"/>
      <c r="FNT121" s="2"/>
      <c r="FNU121" s="2"/>
      <c r="FNV121" s="5"/>
      <c r="FNW121" s="2"/>
      <c r="FNX121" s="4"/>
      <c r="FNY121" s="2"/>
      <c r="FNZ121" s="3"/>
      <c r="FOA121" s="2"/>
      <c r="FOB121" s="2"/>
      <c r="FOC121" s="5"/>
      <c r="FOD121" s="2"/>
      <c r="FOE121" s="4"/>
      <c r="FOF121" s="2"/>
      <c r="FOG121" s="3"/>
      <c r="FOH121" s="2"/>
      <c r="FOI121" s="2"/>
      <c r="FOJ121" s="5"/>
      <c r="FOK121" s="2"/>
      <c r="FOL121" s="4"/>
      <c r="FOM121" s="2"/>
      <c r="FON121" s="3"/>
      <c r="FOO121" s="2"/>
      <c r="FOP121" s="2"/>
      <c r="FOQ121" s="5"/>
      <c r="FOR121" s="2"/>
      <c r="FOS121" s="4"/>
      <c r="FOT121" s="2"/>
      <c r="FOU121" s="3"/>
      <c r="FOV121" s="2"/>
      <c r="FOW121" s="2"/>
      <c r="FOX121" s="5"/>
      <c r="FOY121" s="2"/>
      <c r="FOZ121" s="4"/>
      <c r="FPA121" s="2"/>
      <c r="FPB121" s="3"/>
      <c r="FPC121" s="2"/>
      <c r="FPD121" s="2"/>
      <c r="FPE121" s="5"/>
      <c r="FPF121" s="2"/>
      <c r="FPG121" s="4"/>
      <c r="FPH121" s="2"/>
      <c r="FPI121" s="3"/>
      <c r="FPJ121" s="2"/>
      <c r="FPK121" s="2"/>
      <c r="FPL121" s="5"/>
      <c r="FPM121" s="2"/>
      <c r="FPN121" s="4"/>
      <c r="FPO121" s="2"/>
      <c r="FPP121" s="3"/>
      <c r="FPQ121" s="2"/>
      <c r="FPR121" s="2"/>
      <c r="FPS121" s="5"/>
      <c r="FPT121" s="2"/>
      <c r="FPU121" s="4"/>
      <c r="FPV121" s="2"/>
      <c r="FPW121" s="3"/>
      <c r="FPX121" s="2"/>
      <c r="FPY121" s="2"/>
      <c r="FPZ121" s="5"/>
      <c r="FQA121" s="2"/>
      <c r="FQB121" s="4"/>
      <c r="FQC121" s="2"/>
      <c r="FQD121" s="3"/>
      <c r="FQE121" s="2"/>
      <c r="FQF121" s="2"/>
      <c r="FQG121" s="5"/>
      <c r="FQH121" s="2"/>
      <c r="FQI121" s="4"/>
      <c r="FQJ121" s="2"/>
      <c r="FQK121" s="3"/>
      <c r="FQL121" s="2"/>
      <c r="FQM121" s="2"/>
      <c r="FQN121" s="5"/>
      <c r="FQO121" s="2"/>
      <c r="FQP121" s="4"/>
      <c r="FQQ121" s="2"/>
      <c r="FQR121" s="3"/>
      <c r="FQS121" s="2"/>
      <c r="FQT121" s="2"/>
      <c r="FQU121" s="5"/>
      <c r="FQV121" s="2"/>
      <c r="FQW121" s="4"/>
      <c r="FQX121" s="2"/>
      <c r="FQY121" s="3"/>
      <c r="FQZ121" s="2"/>
      <c r="FRA121" s="2"/>
      <c r="FRB121" s="5"/>
      <c r="FRC121" s="2"/>
      <c r="FRD121" s="4"/>
      <c r="FRE121" s="2"/>
      <c r="FRF121" s="3"/>
      <c r="FRG121" s="2"/>
      <c r="FRH121" s="2"/>
      <c r="FRI121" s="5"/>
      <c r="FRJ121" s="2"/>
      <c r="FRK121" s="4"/>
      <c r="FRL121" s="2"/>
      <c r="FRM121" s="3"/>
      <c r="FRN121" s="2"/>
      <c r="FRO121" s="2"/>
      <c r="FRP121" s="5"/>
      <c r="FRQ121" s="2"/>
      <c r="FRR121" s="4"/>
      <c r="FRS121" s="2"/>
      <c r="FRT121" s="3"/>
      <c r="FRU121" s="2"/>
      <c r="FRV121" s="2"/>
      <c r="FRW121" s="5"/>
      <c r="FRX121" s="2"/>
      <c r="FRY121" s="4"/>
      <c r="FRZ121" s="2"/>
      <c r="FSA121" s="3"/>
      <c r="FSB121" s="2"/>
      <c r="FSC121" s="2"/>
      <c r="FSD121" s="5"/>
      <c r="FSE121" s="2"/>
      <c r="FSF121" s="4"/>
      <c r="FSG121" s="2"/>
      <c r="FSH121" s="3"/>
      <c r="FSI121" s="2"/>
      <c r="FSJ121" s="2"/>
      <c r="FSK121" s="5"/>
      <c r="FSL121" s="2"/>
      <c r="FSM121" s="4"/>
      <c r="FSN121" s="2"/>
      <c r="FSO121" s="3"/>
      <c r="FSP121" s="2"/>
      <c r="FSQ121" s="2"/>
      <c r="FSR121" s="5"/>
      <c r="FSS121" s="2"/>
      <c r="FST121" s="4"/>
      <c r="FSU121" s="2"/>
      <c r="FSV121" s="3"/>
      <c r="FSW121" s="2"/>
      <c r="FSX121" s="2"/>
      <c r="FSY121" s="5"/>
      <c r="FSZ121" s="2"/>
      <c r="FTA121" s="4"/>
      <c r="FTB121" s="2"/>
      <c r="FTC121" s="3"/>
      <c r="FTD121" s="2"/>
      <c r="FTE121" s="2"/>
      <c r="FTF121" s="5"/>
      <c r="FTG121" s="2"/>
      <c r="FTH121" s="4"/>
      <c r="FTI121" s="2"/>
      <c r="FTJ121" s="3"/>
      <c r="FTK121" s="2"/>
      <c r="FTL121" s="2"/>
      <c r="FTM121" s="5"/>
      <c r="FTN121" s="2"/>
      <c r="FTO121" s="4"/>
      <c r="FTP121" s="2"/>
      <c r="FTQ121" s="3"/>
      <c r="FTR121" s="2"/>
      <c r="FTS121" s="2"/>
      <c r="FTT121" s="5"/>
      <c r="FTU121" s="2"/>
      <c r="FTV121" s="4"/>
      <c r="FTW121" s="2"/>
      <c r="FTX121" s="3"/>
      <c r="FTY121" s="2"/>
      <c r="FTZ121" s="2"/>
      <c r="FUA121" s="5"/>
      <c r="FUB121" s="2"/>
      <c r="FUC121" s="4"/>
      <c r="FUD121" s="2"/>
      <c r="FUE121" s="3"/>
      <c r="FUF121" s="2"/>
      <c r="FUG121" s="2"/>
      <c r="FUH121" s="5"/>
      <c r="FUI121" s="2"/>
      <c r="FUJ121" s="4"/>
      <c r="FUK121" s="2"/>
      <c r="FUL121" s="3"/>
      <c r="FUM121" s="2"/>
      <c r="FUN121" s="2"/>
      <c r="FUO121" s="5"/>
      <c r="FUP121" s="2"/>
      <c r="FUQ121" s="4"/>
      <c r="FUR121" s="2"/>
      <c r="FUS121" s="3"/>
      <c r="FUT121" s="2"/>
      <c r="FUU121" s="2"/>
      <c r="FUV121" s="5"/>
      <c r="FUW121" s="2"/>
      <c r="FUX121" s="4"/>
      <c r="FUY121" s="2"/>
      <c r="FUZ121" s="3"/>
      <c r="FVA121" s="2"/>
      <c r="FVB121" s="2"/>
      <c r="FVC121" s="5"/>
      <c r="FVD121" s="2"/>
      <c r="FVE121" s="4"/>
      <c r="FVF121" s="2"/>
      <c r="FVG121" s="3"/>
      <c r="FVH121" s="2"/>
      <c r="FVI121" s="2"/>
      <c r="FVJ121" s="5"/>
      <c r="FVK121" s="2"/>
      <c r="FVL121" s="4"/>
      <c r="FVM121" s="2"/>
      <c r="FVN121" s="3"/>
      <c r="FVO121" s="2"/>
      <c r="FVP121" s="2"/>
      <c r="FVQ121" s="5"/>
      <c r="FVR121" s="2"/>
      <c r="FVS121" s="4"/>
      <c r="FVT121" s="2"/>
      <c r="FVU121" s="3"/>
      <c r="FVV121" s="2"/>
      <c r="FVW121" s="2"/>
      <c r="FVX121" s="5"/>
      <c r="FVY121" s="2"/>
      <c r="FVZ121" s="4"/>
      <c r="FWA121" s="2"/>
      <c r="FWB121" s="3"/>
      <c r="FWC121" s="2"/>
      <c r="FWD121" s="2"/>
      <c r="FWE121" s="5"/>
      <c r="FWF121" s="2"/>
      <c r="FWG121" s="4"/>
      <c r="FWH121" s="2"/>
      <c r="FWI121" s="3"/>
      <c r="FWJ121" s="2"/>
      <c r="FWK121" s="2"/>
      <c r="FWL121" s="5"/>
      <c r="FWM121" s="2"/>
      <c r="FWN121" s="4"/>
      <c r="FWO121" s="2"/>
      <c r="FWP121" s="3"/>
      <c r="FWQ121" s="2"/>
      <c r="FWR121" s="2"/>
      <c r="FWS121" s="5"/>
      <c r="FWT121" s="2"/>
      <c r="FWU121" s="4"/>
      <c r="FWV121" s="2"/>
      <c r="FWW121" s="3"/>
      <c r="FWX121" s="2"/>
      <c r="FWY121" s="2"/>
      <c r="FWZ121" s="5"/>
      <c r="FXA121" s="2"/>
      <c r="FXB121" s="4"/>
      <c r="FXC121" s="2"/>
      <c r="FXD121" s="3"/>
      <c r="FXE121" s="2"/>
      <c r="FXF121" s="2"/>
      <c r="FXG121" s="5"/>
      <c r="FXH121" s="2"/>
      <c r="FXI121" s="4"/>
      <c r="FXJ121" s="2"/>
      <c r="FXK121" s="3"/>
      <c r="FXL121" s="2"/>
      <c r="FXM121" s="2"/>
      <c r="FXN121" s="5"/>
      <c r="FXO121" s="2"/>
      <c r="FXP121" s="4"/>
      <c r="FXQ121" s="2"/>
      <c r="FXR121" s="3"/>
      <c r="FXS121" s="2"/>
      <c r="FXT121" s="2"/>
      <c r="FXU121" s="5"/>
      <c r="FXV121" s="2"/>
      <c r="FXW121" s="4"/>
      <c r="FXX121" s="2"/>
      <c r="FXY121" s="3"/>
      <c r="FXZ121" s="2"/>
      <c r="FYA121" s="2"/>
      <c r="FYB121" s="5"/>
      <c r="FYC121" s="2"/>
      <c r="FYD121" s="4"/>
      <c r="FYE121" s="2"/>
      <c r="FYF121" s="3"/>
      <c r="FYG121" s="2"/>
      <c r="FYH121" s="2"/>
      <c r="FYI121" s="5"/>
      <c r="FYJ121" s="2"/>
      <c r="FYK121" s="4"/>
      <c r="FYL121" s="2"/>
      <c r="FYM121" s="3"/>
      <c r="FYN121" s="2"/>
      <c r="FYO121" s="2"/>
      <c r="FYP121" s="5"/>
      <c r="FYQ121" s="2"/>
      <c r="FYR121" s="4"/>
      <c r="FYS121" s="2"/>
      <c r="FYT121" s="3"/>
      <c r="FYU121" s="2"/>
      <c r="FYV121" s="2"/>
      <c r="FYW121" s="5"/>
      <c r="FYX121" s="2"/>
      <c r="FYY121" s="4"/>
      <c r="FYZ121" s="2"/>
      <c r="FZA121" s="3"/>
      <c r="FZB121" s="2"/>
      <c r="FZC121" s="2"/>
      <c r="FZD121" s="5"/>
      <c r="FZE121" s="2"/>
      <c r="FZF121" s="4"/>
      <c r="FZG121" s="2"/>
      <c r="FZH121" s="3"/>
      <c r="FZI121" s="2"/>
      <c r="FZJ121" s="2"/>
      <c r="FZK121" s="5"/>
      <c r="FZL121" s="2"/>
      <c r="FZM121" s="4"/>
      <c r="FZN121" s="2"/>
      <c r="FZO121" s="3"/>
      <c r="FZP121" s="2"/>
      <c r="FZQ121" s="2"/>
      <c r="FZR121" s="5"/>
      <c r="FZS121" s="2"/>
      <c r="FZT121" s="4"/>
      <c r="FZU121" s="2"/>
      <c r="FZV121" s="3"/>
      <c r="FZW121" s="2"/>
      <c r="FZX121" s="2"/>
      <c r="FZY121" s="5"/>
      <c r="FZZ121" s="2"/>
      <c r="GAA121" s="4"/>
      <c r="GAB121" s="2"/>
      <c r="GAC121" s="3"/>
      <c r="GAD121" s="2"/>
      <c r="GAE121" s="2"/>
      <c r="GAF121" s="5"/>
      <c r="GAG121" s="2"/>
      <c r="GAH121" s="4"/>
      <c r="GAI121" s="2"/>
      <c r="GAJ121" s="3"/>
      <c r="GAK121" s="2"/>
      <c r="GAL121" s="2"/>
      <c r="GAM121" s="5"/>
      <c r="GAN121" s="2"/>
      <c r="GAO121" s="4"/>
      <c r="GAP121" s="2"/>
      <c r="GAQ121" s="3"/>
      <c r="GAR121" s="2"/>
      <c r="GAS121" s="2"/>
      <c r="GAT121" s="5"/>
      <c r="GAU121" s="2"/>
      <c r="GAV121" s="4"/>
      <c r="GAW121" s="2"/>
      <c r="GAX121" s="3"/>
      <c r="GAY121" s="2"/>
      <c r="GAZ121" s="2"/>
      <c r="GBA121" s="5"/>
      <c r="GBB121" s="2"/>
      <c r="GBC121" s="4"/>
      <c r="GBD121" s="2"/>
      <c r="GBE121" s="3"/>
      <c r="GBF121" s="2"/>
      <c r="GBG121" s="2"/>
      <c r="GBH121" s="5"/>
      <c r="GBI121" s="2"/>
      <c r="GBJ121" s="4"/>
      <c r="GBK121" s="2"/>
      <c r="GBL121" s="3"/>
      <c r="GBM121" s="2"/>
      <c r="GBN121" s="2"/>
      <c r="GBO121" s="5"/>
      <c r="GBP121" s="2"/>
      <c r="GBQ121" s="4"/>
      <c r="GBR121" s="2"/>
      <c r="GBS121" s="3"/>
      <c r="GBT121" s="2"/>
      <c r="GBU121" s="2"/>
      <c r="GBV121" s="5"/>
      <c r="GBW121" s="2"/>
      <c r="GBX121" s="4"/>
      <c r="GBY121" s="2"/>
      <c r="GBZ121" s="3"/>
      <c r="GCA121" s="2"/>
      <c r="GCB121" s="2"/>
      <c r="GCC121" s="5"/>
      <c r="GCD121" s="2"/>
      <c r="GCE121" s="4"/>
      <c r="GCF121" s="2"/>
      <c r="GCG121" s="3"/>
      <c r="GCH121" s="2"/>
      <c r="GCI121" s="2"/>
      <c r="GCJ121" s="5"/>
      <c r="GCK121" s="2"/>
      <c r="GCL121" s="4"/>
      <c r="GCM121" s="2"/>
      <c r="GCN121" s="3"/>
      <c r="GCO121" s="2"/>
      <c r="GCP121" s="2"/>
      <c r="GCQ121" s="5"/>
      <c r="GCR121" s="2"/>
      <c r="GCS121" s="4"/>
      <c r="GCT121" s="2"/>
      <c r="GCU121" s="3"/>
      <c r="GCV121" s="2"/>
      <c r="GCW121" s="2"/>
      <c r="GCX121" s="5"/>
      <c r="GCY121" s="2"/>
      <c r="GCZ121" s="4"/>
      <c r="GDA121" s="2"/>
      <c r="GDB121" s="3"/>
      <c r="GDC121" s="2"/>
      <c r="GDD121" s="2"/>
      <c r="GDE121" s="5"/>
      <c r="GDF121" s="2"/>
      <c r="GDG121" s="4"/>
      <c r="GDH121" s="2"/>
      <c r="GDI121" s="3"/>
      <c r="GDJ121" s="2"/>
      <c r="GDK121" s="2"/>
      <c r="GDL121" s="5"/>
      <c r="GDM121" s="2"/>
      <c r="GDN121" s="4"/>
      <c r="GDO121" s="2"/>
      <c r="GDP121" s="3"/>
      <c r="GDQ121" s="2"/>
      <c r="GDR121" s="2"/>
      <c r="GDS121" s="5"/>
      <c r="GDT121" s="2"/>
      <c r="GDU121" s="4"/>
      <c r="GDV121" s="2"/>
      <c r="GDW121" s="3"/>
      <c r="GDX121" s="2"/>
      <c r="GDY121" s="2"/>
      <c r="GDZ121" s="5"/>
      <c r="GEA121" s="2"/>
      <c r="GEB121" s="4"/>
      <c r="GEC121" s="2"/>
      <c r="GED121" s="3"/>
      <c r="GEE121" s="2"/>
      <c r="GEF121" s="2"/>
      <c r="GEG121" s="5"/>
      <c r="GEH121" s="2"/>
      <c r="GEI121" s="4"/>
      <c r="GEJ121" s="2"/>
      <c r="GEK121" s="3"/>
      <c r="GEL121" s="2"/>
      <c r="GEM121" s="2"/>
      <c r="GEN121" s="5"/>
      <c r="GEO121" s="2"/>
      <c r="GEP121" s="4"/>
      <c r="GEQ121" s="2"/>
      <c r="GER121" s="3"/>
      <c r="GES121" s="2"/>
      <c r="GET121" s="2"/>
      <c r="GEU121" s="5"/>
      <c r="GEV121" s="2"/>
      <c r="GEW121" s="4"/>
      <c r="GEX121" s="2"/>
      <c r="GEY121" s="3"/>
      <c r="GEZ121" s="2"/>
      <c r="GFA121" s="2"/>
      <c r="GFB121" s="5"/>
      <c r="GFC121" s="2"/>
      <c r="GFD121" s="4"/>
      <c r="GFE121" s="2"/>
      <c r="GFF121" s="3"/>
      <c r="GFG121" s="2"/>
      <c r="GFH121" s="2"/>
      <c r="GFI121" s="5"/>
      <c r="GFJ121" s="2"/>
      <c r="GFK121" s="4"/>
      <c r="GFL121" s="2"/>
      <c r="GFM121" s="3"/>
      <c r="GFN121" s="2"/>
      <c r="GFO121" s="2"/>
      <c r="GFP121" s="5"/>
      <c r="GFQ121" s="2"/>
      <c r="GFR121" s="4"/>
      <c r="GFS121" s="2"/>
      <c r="GFT121" s="3"/>
      <c r="GFU121" s="2"/>
      <c r="GFV121" s="2"/>
      <c r="GFW121" s="5"/>
      <c r="GFX121" s="2"/>
      <c r="GFY121" s="4"/>
      <c r="GFZ121" s="2"/>
      <c r="GGA121" s="3"/>
      <c r="GGB121" s="2"/>
      <c r="GGC121" s="2"/>
      <c r="GGD121" s="5"/>
      <c r="GGE121" s="2"/>
      <c r="GGF121" s="4"/>
      <c r="GGG121" s="2"/>
      <c r="GGH121" s="3"/>
      <c r="GGI121" s="2"/>
      <c r="GGJ121" s="2"/>
      <c r="GGK121" s="5"/>
      <c r="GGL121" s="2"/>
      <c r="GGM121" s="4"/>
      <c r="GGN121" s="2"/>
      <c r="GGO121" s="3"/>
      <c r="GGP121" s="2"/>
      <c r="GGQ121" s="2"/>
      <c r="GGR121" s="5"/>
      <c r="GGS121" s="2"/>
      <c r="GGT121" s="4"/>
      <c r="GGU121" s="2"/>
      <c r="GGV121" s="3"/>
      <c r="GGW121" s="2"/>
      <c r="GGX121" s="2"/>
      <c r="GGY121" s="5"/>
      <c r="GGZ121" s="2"/>
      <c r="GHA121" s="4"/>
      <c r="GHB121" s="2"/>
      <c r="GHC121" s="3"/>
      <c r="GHD121" s="2"/>
      <c r="GHE121" s="2"/>
      <c r="GHF121" s="5"/>
      <c r="GHG121" s="2"/>
      <c r="GHH121" s="4"/>
      <c r="GHI121" s="2"/>
      <c r="GHJ121" s="3"/>
      <c r="GHK121" s="2"/>
      <c r="GHL121" s="2"/>
      <c r="GHM121" s="5"/>
      <c r="GHN121" s="2"/>
      <c r="GHO121" s="4"/>
      <c r="GHP121" s="2"/>
      <c r="GHQ121" s="3"/>
      <c r="GHR121" s="2"/>
      <c r="GHS121" s="2"/>
      <c r="GHT121" s="5"/>
      <c r="GHU121" s="2"/>
      <c r="GHV121" s="4"/>
      <c r="GHW121" s="2"/>
      <c r="GHX121" s="3"/>
      <c r="GHY121" s="2"/>
      <c r="GHZ121" s="2"/>
      <c r="GIA121" s="5"/>
      <c r="GIB121" s="2"/>
      <c r="GIC121" s="4"/>
      <c r="GID121" s="2"/>
      <c r="GIE121" s="3"/>
      <c r="GIF121" s="2"/>
      <c r="GIG121" s="2"/>
      <c r="GIH121" s="5"/>
      <c r="GII121" s="2"/>
      <c r="GIJ121" s="4"/>
      <c r="GIK121" s="2"/>
      <c r="GIL121" s="3"/>
      <c r="GIM121" s="2"/>
      <c r="GIN121" s="2"/>
      <c r="GIO121" s="5"/>
      <c r="GIP121" s="2"/>
      <c r="GIQ121" s="4"/>
      <c r="GIR121" s="2"/>
      <c r="GIS121" s="3"/>
      <c r="GIT121" s="2"/>
      <c r="GIU121" s="2"/>
      <c r="GIV121" s="5"/>
      <c r="GIW121" s="2"/>
      <c r="GIX121" s="4"/>
      <c r="GIY121" s="2"/>
      <c r="GIZ121" s="3"/>
      <c r="GJA121" s="2"/>
      <c r="GJB121" s="2"/>
      <c r="GJC121" s="5"/>
      <c r="GJD121" s="2"/>
      <c r="GJE121" s="4"/>
      <c r="GJF121" s="2"/>
      <c r="GJG121" s="3"/>
      <c r="GJH121" s="2"/>
      <c r="GJI121" s="2"/>
      <c r="GJJ121" s="5"/>
      <c r="GJK121" s="2"/>
      <c r="GJL121" s="4"/>
      <c r="GJM121" s="2"/>
      <c r="GJN121" s="3"/>
      <c r="GJO121" s="2"/>
      <c r="GJP121" s="2"/>
      <c r="GJQ121" s="5"/>
      <c r="GJR121" s="2"/>
      <c r="GJS121" s="4"/>
      <c r="GJT121" s="2"/>
      <c r="GJU121" s="3"/>
      <c r="GJV121" s="2"/>
      <c r="GJW121" s="2"/>
      <c r="GJX121" s="5"/>
      <c r="GJY121" s="2"/>
      <c r="GJZ121" s="4"/>
      <c r="GKA121" s="2"/>
      <c r="GKB121" s="3"/>
      <c r="GKC121" s="2"/>
      <c r="GKD121" s="2"/>
      <c r="GKE121" s="5"/>
      <c r="GKF121" s="2"/>
      <c r="GKG121" s="4"/>
      <c r="GKH121" s="2"/>
      <c r="GKI121" s="3"/>
      <c r="GKJ121" s="2"/>
      <c r="GKK121" s="2"/>
      <c r="GKL121" s="5"/>
      <c r="GKM121" s="2"/>
      <c r="GKN121" s="4"/>
      <c r="GKO121" s="2"/>
      <c r="GKP121" s="3"/>
      <c r="GKQ121" s="2"/>
      <c r="GKR121" s="2"/>
      <c r="GKS121" s="5"/>
      <c r="GKT121" s="2"/>
      <c r="GKU121" s="4"/>
      <c r="GKV121" s="2"/>
      <c r="GKW121" s="3"/>
      <c r="GKX121" s="2"/>
      <c r="GKY121" s="2"/>
      <c r="GKZ121" s="5"/>
      <c r="GLA121" s="2"/>
      <c r="GLB121" s="4"/>
      <c r="GLC121" s="2"/>
      <c r="GLD121" s="3"/>
      <c r="GLE121" s="2"/>
      <c r="GLF121" s="2"/>
      <c r="GLG121" s="5"/>
      <c r="GLH121" s="2"/>
      <c r="GLI121" s="4"/>
      <c r="GLJ121" s="2"/>
      <c r="GLK121" s="3"/>
      <c r="GLL121" s="2"/>
      <c r="GLM121" s="2"/>
      <c r="GLN121" s="5"/>
      <c r="GLO121" s="2"/>
      <c r="GLP121" s="4"/>
      <c r="GLQ121" s="2"/>
      <c r="GLR121" s="3"/>
      <c r="GLS121" s="2"/>
      <c r="GLT121" s="2"/>
      <c r="GLU121" s="5"/>
      <c r="GLV121" s="2"/>
      <c r="GLW121" s="4"/>
      <c r="GLX121" s="2"/>
      <c r="GLY121" s="3"/>
      <c r="GLZ121" s="2"/>
      <c r="GMA121" s="2"/>
      <c r="GMB121" s="5"/>
      <c r="GMC121" s="2"/>
      <c r="GMD121" s="4"/>
      <c r="GME121" s="2"/>
      <c r="GMF121" s="3"/>
      <c r="GMG121" s="2"/>
      <c r="GMH121" s="2"/>
      <c r="GMI121" s="5"/>
      <c r="GMJ121" s="2"/>
      <c r="GMK121" s="4"/>
      <c r="GML121" s="2"/>
      <c r="GMM121" s="3"/>
      <c r="GMN121" s="2"/>
      <c r="GMO121" s="2"/>
      <c r="GMP121" s="5"/>
      <c r="GMQ121" s="2"/>
      <c r="GMR121" s="4"/>
      <c r="GMS121" s="2"/>
      <c r="GMT121" s="3"/>
      <c r="GMU121" s="2"/>
      <c r="GMV121" s="2"/>
      <c r="GMW121" s="5"/>
      <c r="GMX121" s="2"/>
      <c r="GMY121" s="4"/>
      <c r="GMZ121" s="2"/>
      <c r="GNA121" s="3"/>
      <c r="GNB121" s="2"/>
      <c r="GNC121" s="2"/>
      <c r="GND121" s="5"/>
      <c r="GNE121" s="2"/>
      <c r="GNF121" s="4"/>
      <c r="GNG121" s="2"/>
      <c r="GNH121" s="3"/>
      <c r="GNI121" s="2"/>
      <c r="GNJ121" s="2"/>
      <c r="GNK121" s="5"/>
      <c r="GNL121" s="2"/>
      <c r="GNM121" s="4"/>
      <c r="GNN121" s="2"/>
      <c r="GNO121" s="3"/>
      <c r="GNP121" s="2"/>
      <c r="GNQ121" s="2"/>
      <c r="GNR121" s="5"/>
      <c r="GNS121" s="2"/>
      <c r="GNT121" s="4"/>
      <c r="GNU121" s="2"/>
      <c r="GNV121" s="3"/>
      <c r="GNW121" s="2"/>
      <c r="GNX121" s="2"/>
      <c r="GNY121" s="5"/>
      <c r="GNZ121" s="2"/>
      <c r="GOA121" s="4"/>
      <c r="GOB121" s="2"/>
      <c r="GOC121" s="3"/>
      <c r="GOD121" s="2"/>
      <c r="GOE121" s="2"/>
      <c r="GOF121" s="5"/>
      <c r="GOG121" s="2"/>
      <c r="GOH121" s="4"/>
      <c r="GOI121" s="2"/>
      <c r="GOJ121" s="3"/>
      <c r="GOK121" s="2"/>
      <c r="GOL121" s="2"/>
      <c r="GOM121" s="5"/>
      <c r="GON121" s="2"/>
      <c r="GOO121" s="4"/>
      <c r="GOP121" s="2"/>
      <c r="GOQ121" s="3"/>
      <c r="GOR121" s="2"/>
      <c r="GOS121" s="2"/>
      <c r="GOT121" s="5"/>
      <c r="GOU121" s="2"/>
      <c r="GOV121" s="4"/>
      <c r="GOW121" s="2"/>
      <c r="GOX121" s="3"/>
      <c r="GOY121" s="2"/>
      <c r="GOZ121" s="2"/>
      <c r="GPA121" s="5"/>
      <c r="GPB121" s="2"/>
      <c r="GPC121" s="4"/>
      <c r="GPD121" s="2"/>
      <c r="GPE121" s="3"/>
      <c r="GPF121" s="2"/>
      <c r="GPG121" s="2"/>
      <c r="GPH121" s="5"/>
      <c r="GPI121" s="2"/>
      <c r="GPJ121" s="4"/>
      <c r="GPK121" s="2"/>
      <c r="GPL121" s="3"/>
      <c r="GPM121" s="2"/>
      <c r="GPN121" s="2"/>
      <c r="GPO121" s="5"/>
      <c r="GPP121" s="2"/>
      <c r="GPQ121" s="4"/>
      <c r="GPR121" s="2"/>
      <c r="GPS121" s="3"/>
      <c r="GPT121" s="2"/>
      <c r="GPU121" s="2"/>
      <c r="GPV121" s="5"/>
      <c r="GPW121" s="2"/>
      <c r="GPX121" s="4"/>
      <c r="GPY121" s="2"/>
      <c r="GPZ121" s="3"/>
      <c r="GQA121" s="2"/>
      <c r="GQB121" s="2"/>
      <c r="GQC121" s="5"/>
      <c r="GQD121" s="2"/>
      <c r="GQE121" s="4"/>
      <c r="GQF121" s="2"/>
      <c r="GQG121" s="3"/>
      <c r="GQH121" s="2"/>
      <c r="GQI121" s="2"/>
      <c r="GQJ121" s="5"/>
      <c r="GQK121" s="2"/>
      <c r="GQL121" s="4"/>
      <c r="GQM121" s="2"/>
      <c r="GQN121" s="3"/>
      <c r="GQO121" s="2"/>
      <c r="GQP121" s="2"/>
      <c r="GQQ121" s="5"/>
      <c r="GQR121" s="2"/>
      <c r="GQS121" s="4"/>
      <c r="GQT121" s="2"/>
      <c r="GQU121" s="3"/>
      <c r="GQV121" s="2"/>
      <c r="GQW121" s="2"/>
      <c r="GQX121" s="5"/>
      <c r="GQY121" s="2"/>
      <c r="GQZ121" s="4"/>
      <c r="GRA121" s="2"/>
      <c r="GRB121" s="3"/>
      <c r="GRC121" s="2"/>
      <c r="GRD121" s="2"/>
      <c r="GRE121" s="5"/>
      <c r="GRF121" s="2"/>
      <c r="GRG121" s="4"/>
      <c r="GRH121" s="2"/>
      <c r="GRI121" s="3"/>
      <c r="GRJ121" s="2"/>
      <c r="GRK121" s="2"/>
      <c r="GRL121" s="5"/>
      <c r="GRM121" s="2"/>
      <c r="GRN121" s="4"/>
      <c r="GRO121" s="2"/>
      <c r="GRP121" s="3"/>
      <c r="GRQ121" s="2"/>
      <c r="GRR121" s="2"/>
      <c r="GRS121" s="5"/>
      <c r="GRT121" s="2"/>
      <c r="GRU121" s="4"/>
      <c r="GRV121" s="2"/>
      <c r="GRW121" s="3"/>
      <c r="GRX121" s="2"/>
      <c r="GRY121" s="2"/>
      <c r="GRZ121" s="5"/>
      <c r="GSA121" s="2"/>
      <c r="GSB121" s="4"/>
      <c r="GSC121" s="2"/>
      <c r="GSD121" s="3"/>
      <c r="GSE121" s="2"/>
      <c r="GSF121" s="2"/>
      <c r="GSG121" s="5"/>
      <c r="GSH121" s="2"/>
      <c r="GSI121" s="4"/>
      <c r="GSJ121" s="2"/>
      <c r="GSK121" s="3"/>
      <c r="GSL121" s="2"/>
      <c r="GSM121" s="2"/>
      <c r="GSN121" s="5"/>
      <c r="GSO121" s="2"/>
      <c r="GSP121" s="4"/>
      <c r="GSQ121" s="2"/>
      <c r="GSR121" s="3"/>
      <c r="GSS121" s="2"/>
      <c r="GST121" s="2"/>
      <c r="GSU121" s="5"/>
      <c r="GSV121" s="2"/>
      <c r="GSW121" s="4"/>
      <c r="GSX121" s="2"/>
      <c r="GSY121" s="3"/>
      <c r="GSZ121" s="2"/>
      <c r="GTA121" s="2"/>
      <c r="GTB121" s="5"/>
      <c r="GTC121" s="2"/>
      <c r="GTD121" s="4"/>
      <c r="GTE121" s="2"/>
      <c r="GTF121" s="3"/>
      <c r="GTG121" s="2"/>
      <c r="GTH121" s="2"/>
      <c r="GTI121" s="5"/>
      <c r="GTJ121" s="2"/>
      <c r="GTK121" s="4"/>
      <c r="GTL121" s="2"/>
      <c r="GTM121" s="3"/>
      <c r="GTN121" s="2"/>
      <c r="GTO121" s="2"/>
      <c r="GTP121" s="5"/>
      <c r="GTQ121" s="2"/>
      <c r="GTR121" s="4"/>
      <c r="GTS121" s="2"/>
      <c r="GTT121" s="3"/>
      <c r="GTU121" s="2"/>
      <c r="GTV121" s="2"/>
      <c r="GTW121" s="5"/>
      <c r="GTX121" s="2"/>
      <c r="GTY121" s="4"/>
      <c r="GTZ121" s="2"/>
      <c r="GUA121" s="3"/>
      <c r="GUB121" s="2"/>
      <c r="GUC121" s="2"/>
      <c r="GUD121" s="5"/>
      <c r="GUE121" s="2"/>
      <c r="GUF121" s="4"/>
      <c r="GUG121" s="2"/>
      <c r="GUH121" s="3"/>
      <c r="GUI121" s="2"/>
      <c r="GUJ121" s="2"/>
      <c r="GUK121" s="5"/>
      <c r="GUL121" s="2"/>
      <c r="GUM121" s="4"/>
      <c r="GUN121" s="2"/>
      <c r="GUO121" s="3"/>
      <c r="GUP121" s="2"/>
      <c r="GUQ121" s="2"/>
      <c r="GUR121" s="5"/>
      <c r="GUS121" s="2"/>
      <c r="GUT121" s="4"/>
      <c r="GUU121" s="2"/>
      <c r="GUV121" s="3"/>
      <c r="GUW121" s="2"/>
      <c r="GUX121" s="2"/>
      <c r="GUY121" s="5"/>
      <c r="GUZ121" s="2"/>
      <c r="GVA121" s="4"/>
      <c r="GVB121" s="2"/>
      <c r="GVC121" s="3"/>
      <c r="GVD121" s="2"/>
      <c r="GVE121" s="2"/>
      <c r="GVF121" s="5"/>
      <c r="GVG121" s="2"/>
      <c r="GVH121" s="4"/>
      <c r="GVI121" s="2"/>
      <c r="GVJ121" s="3"/>
      <c r="GVK121" s="2"/>
      <c r="GVL121" s="2"/>
      <c r="GVM121" s="5"/>
      <c r="GVN121" s="2"/>
      <c r="GVO121" s="4"/>
      <c r="GVP121" s="2"/>
      <c r="GVQ121" s="3"/>
      <c r="GVR121" s="2"/>
      <c r="GVS121" s="2"/>
      <c r="GVT121" s="5"/>
      <c r="GVU121" s="2"/>
      <c r="GVV121" s="4"/>
      <c r="GVW121" s="2"/>
      <c r="GVX121" s="3"/>
      <c r="GVY121" s="2"/>
      <c r="GVZ121" s="2"/>
      <c r="GWA121" s="5"/>
      <c r="GWB121" s="2"/>
      <c r="GWC121" s="4"/>
      <c r="GWD121" s="2"/>
      <c r="GWE121" s="3"/>
      <c r="GWF121" s="2"/>
      <c r="GWG121" s="2"/>
      <c r="GWH121" s="5"/>
      <c r="GWI121" s="2"/>
      <c r="GWJ121" s="4"/>
      <c r="GWK121" s="2"/>
      <c r="GWL121" s="3"/>
      <c r="GWM121" s="2"/>
      <c r="GWN121" s="2"/>
      <c r="GWO121" s="5"/>
      <c r="GWP121" s="2"/>
      <c r="GWQ121" s="4"/>
      <c r="GWR121" s="2"/>
      <c r="GWS121" s="3"/>
      <c r="GWT121" s="2"/>
      <c r="GWU121" s="2"/>
      <c r="GWV121" s="5"/>
      <c r="GWW121" s="2"/>
      <c r="GWX121" s="4"/>
      <c r="GWY121" s="2"/>
      <c r="GWZ121" s="3"/>
      <c r="GXA121" s="2"/>
      <c r="GXB121" s="2"/>
      <c r="GXC121" s="5"/>
      <c r="GXD121" s="2"/>
      <c r="GXE121" s="4"/>
      <c r="GXF121" s="2"/>
      <c r="GXG121" s="3"/>
      <c r="GXH121" s="2"/>
      <c r="GXI121" s="2"/>
      <c r="GXJ121" s="5"/>
      <c r="GXK121" s="2"/>
      <c r="GXL121" s="4"/>
      <c r="GXM121" s="2"/>
      <c r="GXN121" s="3"/>
      <c r="GXO121" s="2"/>
      <c r="GXP121" s="2"/>
      <c r="GXQ121" s="5"/>
      <c r="GXR121" s="2"/>
      <c r="GXS121" s="4"/>
      <c r="GXT121" s="2"/>
      <c r="GXU121" s="3"/>
      <c r="GXV121" s="2"/>
      <c r="GXW121" s="2"/>
      <c r="GXX121" s="5"/>
      <c r="GXY121" s="2"/>
      <c r="GXZ121" s="4"/>
      <c r="GYA121" s="2"/>
      <c r="GYB121" s="3"/>
      <c r="GYC121" s="2"/>
      <c r="GYD121" s="2"/>
      <c r="GYE121" s="5"/>
      <c r="GYF121" s="2"/>
      <c r="GYG121" s="4"/>
      <c r="GYH121" s="2"/>
      <c r="GYI121" s="3"/>
      <c r="GYJ121" s="2"/>
      <c r="GYK121" s="2"/>
      <c r="GYL121" s="5"/>
      <c r="GYM121" s="2"/>
      <c r="GYN121" s="4"/>
      <c r="GYO121" s="2"/>
      <c r="GYP121" s="3"/>
      <c r="GYQ121" s="2"/>
      <c r="GYR121" s="2"/>
      <c r="GYS121" s="5"/>
      <c r="GYT121" s="2"/>
      <c r="GYU121" s="4"/>
      <c r="GYV121" s="2"/>
      <c r="GYW121" s="3"/>
      <c r="GYX121" s="2"/>
      <c r="GYY121" s="2"/>
      <c r="GYZ121" s="5"/>
      <c r="GZA121" s="2"/>
      <c r="GZB121" s="4"/>
      <c r="GZC121" s="2"/>
      <c r="GZD121" s="3"/>
      <c r="GZE121" s="2"/>
      <c r="GZF121" s="2"/>
      <c r="GZG121" s="5"/>
      <c r="GZH121" s="2"/>
      <c r="GZI121" s="4"/>
      <c r="GZJ121" s="2"/>
      <c r="GZK121" s="3"/>
      <c r="GZL121" s="2"/>
      <c r="GZM121" s="2"/>
      <c r="GZN121" s="5"/>
      <c r="GZO121" s="2"/>
      <c r="GZP121" s="4"/>
      <c r="GZQ121" s="2"/>
      <c r="GZR121" s="3"/>
      <c r="GZS121" s="2"/>
      <c r="GZT121" s="2"/>
      <c r="GZU121" s="5"/>
      <c r="GZV121" s="2"/>
      <c r="GZW121" s="4"/>
      <c r="GZX121" s="2"/>
      <c r="GZY121" s="3"/>
      <c r="GZZ121" s="2"/>
      <c r="HAA121" s="2"/>
      <c r="HAB121" s="5"/>
      <c r="HAC121" s="2"/>
      <c r="HAD121" s="4"/>
      <c r="HAE121" s="2"/>
      <c r="HAF121" s="3"/>
      <c r="HAG121" s="2"/>
      <c r="HAH121" s="2"/>
      <c r="HAI121" s="5"/>
      <c r="HAJ121" s="2"/>
      <c r="HAK121" s="4"/>
      <c r="HAL121" s="2"/>
      <c r="HAM121" s="3"/>
      <c r="HAN121" s="2"/>
      <c r="HAO121" s="2"/>
      <c r="HAP121" s="5"/>
      <c r="HAQ121" s="2"/>
      <c r="HAR121" s="4"/>
      <c r="HAS121" s="2"/>
      <c r="HAT121" s="3"/>
      <c r="HAU121" s="2"/>
      <c r="HAV121" s="2"/>
      <c r="HAW121" s="5"/>
      <c r="HAX121" s="2"/>
      <c r="HAY121" s="4"/>
      <c r="HAZ121" s="2"/>
      <c r="HBA121" s="3"/>
      <c r="HBB121" s="2"/>
      <c r="HBC121" s="2"/>
      <c r="HBD121" s="5"/>
      <c r="HBE121" s="2"/>
      <c r="HBF121" s="4"/>
      <c r="HBG121" s="2"/>
      <c r="HBH121" s="3"/>
      <c r="HBI121" s="2"/>
      <c r="HBJ121" s="2"/>
      <c r="HBK121" s="5"/>
      <c r="HBL121" s="2"/>
      <c r="HBM121" s="4"/>
      <c r="HBN121" s="2"/>
      <c r="HBO121" s="3"/>
      <c r="HBP121" s="2"/>
      <c r="HBQ121" s="2"/>
      <c r="HBR121" s="5"/>
      <c r="HBS121" s="2"/>
      <c r="HBT121" s="4"/>
      <c r="HBU121" s="2"/>
      <c r="HBV121" s="3"/>
      <c r="HBW121" s="2"/>
      <c r="HBX121" s="2"/>
      <c r="HBY121" s="5"/>
      <c r="HBZ121" s="2"/>
      <c r="HCA121" s="4"/>
      <c r="HCB121" s="2"/>
      <c r="HCC121" s="3"/>
      <c r="HCD121" s="2"/>
      <c r="HCE121" s="2"/>
      <c r="HCF121" s="5"/>
      <c r="HCG121" s="2"/>
      <c r="HCH121" s="4"/>
      <c r="HCI121" s="2"/>
      <c r="HCJ121" s="3"/>
      <c r="HCK121" s="2"/>
      <c r="HCL121" s="2"/>
      <c r="HCM121" s="5"/>
      <c r="HCN121" s="2"/>
      <c r="HCO121" s="4"/>
      <c r="HCP121" s="2"/>
      <c r="HCQ121" s="3"/>
      <c r="HCR121" s="2"/>
      <c r="HCS121" s="2"/>
      <c r="HCT121" s="5"/>
      <c r="HCU121" s="2"/>
      <c r="HCV121" s="4"/>
      <c r="HCW121" s="2"/>
      <c r="HCX121" s="3"/>
      <c r="HCY121" s="2"/>
      <c r="HCZ121" s="2"/>
      <c r="HDA121" s="5"/>
      <c r="HDB121" s="2"/>
      <c r="HDC121" s="4"/>
      <c r="HDD121" s="2"/>
      <c r="HDE121" s="3"/>
      <c r="HDF121" s="2"/>
      <c r="HDG121" s="2"/>
      <c r="HDH121" s="5"/>
      <c r="HDI121" s="2"/>
      <c r="HDJ121" s="4"/>
      <c r="HDK121" s="2"/>
      <c r="HDL121" s="3"/>
      <c r="HDM121" s="2"/>
      <c r="HDN121" s="2"/>
      <c r="HDO121" s="5"/>
      <c r="HDP121" s="2"/>
      <c r="HDQ121" s="4"/>
      <c r="HDR121" s="2"/>
      <c r="HDS121" s="3"/>
      <c r="HDT121" s="2"/>
      <c r="HDU121" s="2"/>
      <c r="HDV121" s="5"/>
      <c r="HDW121" s="2"/>
      <c r="HDX121" s="4"/>
      <c r="HDY121" s="2"/>
      <c r="HDZ121" s="3"/>
      <c r="HEA121" s="2"/>
      <c r="HEB121" s="2"/>
      <c r="HEC121" s="5"/>
      <c r="HED121" s="2"/>
      <c r="HEE121" s="4"/>
      <c r="HEF121" s="2"/>
      <c r="HEG121" s="3"/>
      <c r="HEH121" s="2"/>
      <c r="HEI121" s="2"/>
      <c r="HEJ121" s="5"/>
      <c r="HEK121" s="2"/>
      <c r="HEL121" s="4"/>
      <c r="HEM121" s="2"/>
      <c r="HEN121" s="3"/>
      <c r="HEO121" s="2"/>
      <c r="HEP121" s="2"/>
      <c r="HEQ121" s="5"/>
      <c r="HER121" s="2"/>
      <c r="HES121" s="4"/>
      <c r="HET121" s="2"/>
      <c r="HEU121" s="3"/>
      <c r="HEV121" s="2"/>
      <c r="HEW121" s="2"/>
      <c r="HEX121" s="5"/>
      <c r="HEY121" s="2"/>
      <c r="HEZ121" s="4"/>
      <c r="HFA121" s="2"/>
      <c r="HFB121" s="3"/>
      <c r="HFC121" s="2"/>
      <c r="HFD121" s="2"/>
      <c r="HFE121" s="5"/>
      <c r="HFF121" s="2"/>
      <c r="HFG121" s="4"/>
      <c r="HFH121" s="2"/>
      <c r="HFI121" s="3"/>
      <c r="HFJ121" s="2"/>
      <c r="HFK121" s="2"/>
      <c r="HFL121" s="5"/>
      <c r="HFM121" s="2"/>
      <c r="HFN121" s="4"/>
      <c r="HFO121" s="2"/>
      <c r="HFP121" s="3"/>
      <c r="HFQ121" s="2"/>
      <c r="HFR121" s="2"/>
      <c r="HFS121" s="5"/>
      <c r="HFT121" s="2"/>
      <c r="HFU121" s="4"/>
      <c r="HFV121" s="2"/>
      <c r="HFW121" s="3"/>
      <c r="HFX121" s="2"/>
      <c r="HFY121" s="2"/>
      <c r="HFZ121" s="5"/>
      <c r="HGA121" s="2"/>
      <c r="HGB121" s="4"/>
      <c r="HGC121" s="2"/>
      <c r="HGD121" s="3"/>
      <c r="HGE121" s="2"/>
      <c r="HGF121" s="2"/>
      <c r="HGG121" s="5"/>
      <c r="HGH121" s="2"/>
      <c r="HGI121" s="4"/>
      <c r="HGJ121" s="2"/>
      <c r="HGK121" s="3"/>
      <c r="HGL121" s="2"/>
      <c r="HGM121" s="2"/>
      <c r="HGN121" s="5"/>
      <c r="HGO121" s="2"/>
      <c r="HGP121" s="4"/>
      <c r="HGQ121" s="2"/>
      <c r="HGR121" s="3"/>
      <c r="HGS121" s="2"/>
      <c r="HGT121" s="2"/>
      <c r="HGU121" s="5"/>
      <c r="HGV121" s="2"/>
      <c r="HGW121" s="4"/>
      <c r="HGX121" s="2"/>
      <c r="HGY121" s="3"/>
      <c r="HGZ121" s="2"/>
      <c r="HHA121" s="2"/>
      <c r="HHB121" s="5"/>
      <c r="HHC121" s="2"/>
      <c r="HHD121" s="4"/>
      <c r="HHE121" s="2"/>
      <c r="HHF121" s="3"/>
      <c r="HHG121" s="2"/>
      <c r="HHH121" s="2"/>
      <c r="HHI121" s="5"/>
      <c r="HHJ121" s="2"/>
      <c r="HHK121" s="4"/>
      <c r="HHL121" s="2"/>
      <c r="HHM121" s="3"/>
      <c r="HHN121" s="2"/>
      <c r="HHO121" s="2"/>
      <c r="HHP121" s="5"/>
      <c r="HHQ121" s="2"/>
      <c r="HHR121" s="4"/>
      <c r="HHS121" s="2"/>
      <c r="HHT121" s="3"/>
      <c r="HHU121" s="2"/>
      <c r="HHV121" s="2"/>
      <c r="HHW121" s="5"/>
      <c r="HHX121" s="2"/>
      <c r="HHY121" s="4"/>
      <c r="HHZ121" s="2"/>
      <c r="HIA121" s="3"/>
      <c r="HIB121" s="2"/>
      <c r="HIC121" s="2"/>
      <c r="HID121" s="5"/>
      <c r="HIE121" s="2"/>
      <c r="HIF121" s="4"/>
      <c r="HIG121" s="2"/>
      <c r="HIH121" s="3"/>
      <c r="HII121" s="2"/>
      <c r="HIJ121" s="2"/>
      <c r="HIK121" s="5"/>
      <c r="HIL121" s="2"/>
      <c r="HIM121" s="4"/>
      <c r="HIN121" s="2"/>
      <c r="HIO121" s="3"/>
      <c r="HIP121" s="2"/>
      <c r="HIQ121" s="2"/>
      <c r="HIR121" s="5"/>
      <c r="HIS121" s="2"/>
      <c r="HIT121" s="4"/>
      <c r="HIU121" s="2"/>
      <c r="HIV121" s="3"/>
      <c r="HIW121" s="2"/>
      <c r="HIX121" s="2"/>
      <c r="HIY121" s="5"/>
      <c r="HIZ121" s="2"/>
      <c r="HJA121" s="4"/>
      <c r="HJB121" s="2"/>
      <c r="HJC121" s="3"/>
      <c r="HJD121" s="2"/>
      <c r="HJE121" s="2"/>
      <c r="HJF121" s="5"/>
      <c r="HJG121" s="2"/>
      <c r="HJH121" s="4"/>
      <c r="HJI121" s="2"/>
      <c r="HJJ121" s="3"/>
      <c r="HJK121" s="2"/>
      <c r="HJL121" s="2"/>
      <c r="HJM121" s="5"/>
      <c r="HJN121" s="2"/>
      <c r="HJO121" s="4"/>
      <c r="HJP121" s="2"/>
      <c r="HJQ121" s="3"/>
      <c r="HJR121" s="2"/>
      <c r="HJS121" s="2"/>
      <c r="HJT121" s="5"/>
      <c r="HJU121" s="2"/>
      <c r="HJV121" s="4"/>
      <c r="HJW121" s="2"/>
      <c r="HJX121" s="3"/>
      <c r="HJY121" s="2"/>
      <c r="HJZ121" s="2"/>
      <c r="HKA121" s="5"/>
      <c r="HKB121" s="2"/>
      <c r="HKC121" s="4"/>
      <c r="HKD121" s="2"/>
      <c r="HKE121" s="3"/>
      <c r="HKF121" s="2"/>
      <c r="HKG121" s="2"/>
      <c r="HKH121" s="5"/>
      <c r="HKI121" s="2"/>
      <c r="HKJ121" s="4"/>
      <c r="HKK121" s="2"/>
      <c r="HKL121" s="3"/>
      <c r="HKM121" s="2"/>
      <c r="HKN121" s="2"/>
      <c r="HKO121" s="5"/>
      <c r="HKP121" s="2"/>
      <c r="HKQ121" s="4"/>
      <c r="HKR121" s="2"/>
      <c r="HKS121" s="3"/>
      <c r="HKT121" s="2"/>
      <c r="HKU121" s="2"/>
      <c r="HKV121" s="5"/>
      <c r="HKW121" s="2"/>
      <c r="HKX121" s="4"/>
      <c r="HKY121" s="2"/>
      <c r="HKZ121" s="3"/>
      <c r="HLA121" s="2"/>
      <c r="HLB121" s="2"/>
      <c r="HLC121" s="5"/>
      <c r="HLD121" s="2"/>
      <c r="HLE121" s="4"/>
      <c r="HLF121" s="2"/>
      <c r="HLG121" s="3"/>
      <c r="HLH121" s="2"/>
      <c r="HLI121" s="2"/>
      <c r="HLJ121" s="5"/>
      <c r="HLK121" s="2"/>
      <c r="HLL121" s="4"/>
      <c r="HLM121" s="2"/>
      <c r="HLN121" s="3"/>
      <c r="HLO121" s="2"/>
      <c r="HLP121" s="2"/>
      <c r="HLQ121" s="5"/>
      <c r="HLR121" s="2"/>
      <c r="HLS121" s="4"/>
      <c r="HLT121" s="2"/>
      <c r="HLU121" s="3"/>
      <c r="HLV121" s="2"/>
      <c r="HLW121" s="2"/>
      <c r="HLX121" s="5"/>
      <c r="HLY121" s="2"/>
      <c r="HLZ121" s="4"/>
      <c r="HMA121" s="2"/>
      <c r="HMB121" s="3"/>
      <c r="HMC121" s="2"/>
      <c r="HMD121" s="2"/>
      <c r="HME121" s="5"/>
      <c r="HMF121" s="2"/>
      <c r="HMG121" s="4"/>
      <c r="HMH121" s="2"/>
      <c r="HMI121" s="3"/>
      <c r="HMJ121" s="2"/>
      <c r="HMK121" s="2"/>
      <c r="HML121" s="5"/>
      <c r="HMM121" s="2"/>
      <c r="HMN121" s="4"/>
      <c r="HMO121" s="2"/>
      <c r="HMP121" s="3"/>
      <c r="HMQ121" s="2"/>
      <c r="HMR121" s="2"/>
      <c r="HMS121" s="5"/>
      <c r="HMT121" s="2"/>
      <c r="HMU121" s="4"/>
      <c r="HMV121" s="2"/>
      <c r="HMW121" s="3"/>
      <c r="HMX121" s="2"/>
      <c r="HMY121" s="2"/>
      <c r="HMZ121" s="5"/>
      <c r="HNA121" s="2"/>
      <c r="HNB121" s="4"/>
      <c r="HNC121" s="2"/>
      <c r="HND121" s="3"/>
      <c r="HNE121" s="2"/>
      <c r="HNF121" s="2"/>
      <c r="HNG121" s="5"/>
      <c r="HNH121" s="2"/>
      <c r="HNI121" s="4"/>
      <c r="HNJ121" s="2"/>
      <c r="HNK121" s="3"/>
      <c r="HNL121" s="2"/>
      <c r="HNM121" s="2"/>
      <c r="HNN121" s="5"/>
      <c r="HNO121" s="2"/>
      <c r="HNP121" s="4"/>
      <c r="HNQ121" s="2"/>
      <c r="HNR121" s="3"/>
      <c r="HNS121" s="2"/>
      <c r="HNT121" s="2"/>
      <c r="HNU121" s="5"/>
      <c r="HNV121" s="2"/>
      <c r="HNW121" s="4"/>
      <c r="HNX121" s="2"/>
      <c r="HNY121" s="3"/>
      <c r="HNZ121" s="2"/>
      <c r="HOA121" s="2"/>
      <c r="HOB121" s="5"/>
      <c r="HOC121" s="2"/>
      <c r="HOD121" s="4"/>
      <c r="HOE121" s="2"/>
      <c r="HOF121" s="3"/>
      <c r="HOG121" s="2"/>
      <c r="HOH121" s="2"/>
      <c r="HOI121" s="5"/>
      <c r="HOJ121" s="2"/>
      <c r="HOK121" s="4"/>
      <c r="HOL121" s="2"/>
      <c r="HOM121" s="3"/>
      <c r="HON121" s="2"/>
      <c r="HOO121" s="2"/>
      <c r="HOP121" s="5"/>
      <c r="HOQ121" s="2"/>
      <c r="HOR121" s="4"/>
      <c r="HOS121" s="2"/>
      <c r="HOT121" s="3"/>
      <c r="HOU121" s="2"/>
      <c r="HOV121" s="2"/>
      <c r="HOW121" s="5"/>
      <c r="HOX121" s="2"/>
      <c r="HOY121" s="4"/>
      <c r="HOZ121" s="2"/>
      <c r="HPA121" s="3"/>
      <c r="HPB121" s="2"/>
      <c r="HPC121" s="2"/>
      <c r="HPD121" s="5"/>
      <c r="HPE121" s="2"/>
      <c r="HPF121" s="4"/>
      <c r="HPG121" s="2"/>
      <c r="HPH121" s="3"/>
      <c r="HPI121" s="2"/>
      <c r="HPJ121" s="2"/>
      <c r="HPK121" s="5"/>
      <c r="HPL121" s="2"/>
      <c r="HPM121" s="4"/>
      <c r="HPN121" s="2"/>
      <c r="HPO121" s="3"/>
      <c r="HPP121" s="2"/>
      <c r="HPQ121" s="2"/>
      <c r="HPR121" s="5"/>
      <c r="HPS121" s="2"/>
      <c r="HPT121" s="4"/>
      <c r="HPU121" s="2"/>
      <c r="HPV121" s="3"/>
      <c r="HPW121" s="2"/>
      <c r="HPX121" s="2"/>
      <c r="HPY121" s="5"/>
      <c r="HPZ121" s="2"/>
      <c r="HQA121" s="4"/>
      <c r="HQB121" s="2"/>
      <c r="HQC121" s="3"/>
      <c r="HQD121" s="2"/>
      <c r="HQE121" s="2"/>
      <c r="HQF121" s="5"/>
      <c r="HQG121" s="2"/>
      <c r="HQH121" s="4"/>
      <c r="HQI121" s="2"/>
      <c r="HQJ121" s="3"/>
      <c r="HQK121" s="2"/>
      <c r="HQL121" s="2"/>
      <c r="HQM121" s="5"/>
      <c r="HQN121" s="2"/>
      <c r="HQO121" s="4"/>
      <c r="HQP121" s="2"/>
      <c r="HQQ121" s="3"/>
      <c r="HQR121" s="2"/>
      <c r="HQS121" s="2"/>
      <c r="HQT121" s="5"/>
      <c r="HQU121" s="2"/>
      <c r="HQV121" s="4"/>
      <c r="HQW121" s="2"/>
      <c r="HQX121" s="3"/>
      <c r="HQY121" s="2"/>
      <c r="HQZ121" s="2"/>
      <c r="HRA121" s="5"/>
      <c r="HRB121" s="2"/>
      <c r="HRC121" s="4"/>
      <c r="HRD121" s="2"/>
      <c r="HRE121" s="3"/>
      <c r="HRF121" s="2"/>
      <c r="HRG121" s="2"/>
      <c r="HRH121" s="5"/>
      <c r="HRI121" s="2"/>
      <c r="HRJ121" s="4"/>
      <c r="HRK121" s="2"/>
      <c r="HRL121" s="3"/>
      <c r="HRM121" s="2"/>
      <c r="HRN121" s="2"/>
      <c r="HRO121" s="5"/>
      <c r="HRP121" s="2"/>
      <c r="HRQ121" s="4"/>
      <c r="HRR121" s="2"/>
      <c r="HRS121" s="3"/>
      <c r="HRT121" s="2"/>
      <c r="HRU121" s="2"/>
      <c r="HRV121" s="5"/>
      <c r="HRW121" s="2"/>
      <c r="HRX121" s="4"/>
      <c r="HRY121" s="2"/>
      <c r="HRZ121" s="3"/>
      <c r="HSA121" s="2"/>
      <c r="HSB121" s="2"/>
      <c r="HSC121" s="5"/>
      <c r="HSD121" s="2"/>
      <c r="HSE121" s="4"/>
      <c r="HSF121" s="2"/>
      <c r="HSG121" s="3"/>
      <c r="HSH121" s="2"/>
      <c r="HSI121" s="2"/>
      <c r="HSJ121" s="5"/>
      <c r="HSK121" s="2"/>
      <c r="HSL121" s="4"/>
      <c r="HSM121" s="2"/>
      <c r="HSN121" s="3"/>
      <c r="HSO121" s="2"/>
      <c r="HSP121" s="2"/>
      <c r="HSQ121" s="5"/>
      <c r="HSR121" s="2"/>
      <c r="HSS121" s="4"/>
      <c r="HST121" s="2"/>
      <c r="HSU121" s="3"/>
      <c r="HSV121" s="2"/>
      <c r="HSW121" s="2"/>
      <c r="HSX121" s="5"/>
      <c r="HSY121" s="2"/>
      <c r="HSZ121" s="4"/>
      <c r="HTA121" s="2"/>
      <c r="HTB121" s="3"/>
      <c r="HTC121" s="2"/>
      <c r="HTD121" s="2"/>
      <c r="HTE121" s="5"/>
      <c r="HTF121" s="2"/>
      <c r="HTG121" s="4"/>
      <c r="HTH121" s="2"/>
      <c r="HTI121" s="3"/>
      <c r="HTJ121" s="2"/>
      <c r="HTK121" s="2"/>
      <c r="HTL121" s="5"/>
      <c r="HTM121" s="2"/>
      <c r="HTN121" s="4"/>
      <c r="HTO121" s="2"/>
      <c r="HTP121" s="3"/>
      <c r="HTQ121" s="2"/>
      <c r="HTR121" s="2"/>
      <c r="HTS121" s="5"/>
      <c r="HTT121" s="2"/>
      <c r="HTU121" s="4"/>
      <c r="HTV121" s="2"/>
      <c r="HTW121" s="3"/>
      <c r="HTX121" s="2"/>
      <c r="HTY121" s="2"/>
      <c r="HTZ121" s="5"/>
      <c r="HUA121" s="2"/>
      <c r="HUB121" s="4"/>
      <c r="HUC121" s="2"/>
      <c r="HUD121" s="3"/>
      <c r="HUE121" s="2"/>
      <c r="HUF121" s="2"/>
      <c r="HUG121" s="5"/>
      <c r="HUH121" s="2"/>
      <c r="HUI121" s="4"/>
      <c r="HUJ121" s="2"/>
      <c r="HUK121" s="3"/>
      <c r="HUL121" s="2"/>
      <c r="HUM121" s="2"/>
      <c r="HUN121" s="5"/>
      <c r="HUO121" s="2"/>
      <c r="HUP121" s="4"/>
      <c r="HUQ121" s="2"/>
      <c r="HUR121" s="3"/>
      <c r="HUS121" s="2"/>
      <c r="HUT121" s="2"/>
      <c r="HUU121" s="5"/>
      <c r="HUV121" s="2"/>
      <c r="HUW121" s="4"/>
      <c r="HUX121" s="2"/>
      <c r="HUY121" s="3"/>
      <c r="HUZ121" s="2"/>
      <c r="HVA121" s="2"/>
      <c r="HVB121" s="5"/>
      <c r="HVC121" s="2"/>
      <c r="HVD121" s="4"/>
      <c r="HVE121" s="2"/>
      <c r="HVF121" s="3"/>
      <c r="HVG121" s="2"/>
      <c r="HVH121" s="2"/>
      <c r="HVI121" s="5"/>
      <c r="HVJ121" s="2"/>
      <c r="HVK121" s="4"/>
      <c r="HVL121" s="2"/>
      <c r="HVM121" s="3"/>
      <c r="HVN121" s="2"/>
      <c r="HVO121" s="2"/>
      <c r="HVP121" s="5"/>
      <c r="HVQ121" s="2"/>
      <c r="HVR121" s="4"/>
      <c r="HVS121" s="2"/>
      <c r="HVT121" s="3"/>
      <c r="HVU121" s="2"/>
      <c r="HVV121" s="2"/>
      <c r="HVW121" s="5"/>
      <c r="HVX121" s="2"/>
      <c r="HVY121" s="4"/>
      <c r="HVZ121" s="2"/>
      <c r="HWA121" s="3"/>
      <c r="HWB121" s="2"/>
      <c r="HWC121" s="2"/>
      <c r="HWD121" s="5"/>
      <c r="HWE121" s="2"/>
      <c r="HWF121" s="4"/>
      <c r="HWG121" s="2"/>
      <c r="HWH121" s="3"/>
      <c r="HWI121" s="2"/>
      <c r="HWJ121" s="2"/>
      <c r="HWK121" s="5"/>
      <c r="HWL121" s="2"/>
      <c r="HWM121" s="4"/>
      <c r="HWN121" s="2"/>
      <c r="HWO121" s="3"/>
      <c r="HWP121" s="2"/>
      <c r="HWQ121" s="2"/>
      <c r="HWR121" s="5"/>
      <c r="HWS121" s="2"/>
      <c r="HWT121" s="4"/>
      <c r="HWU121" s="2"/>
      <c r="HWV121" s="3"/>
      <c r="HWW121" s="2"/>
      <c r="HWX121" s="2"/>
      <c r="HWY121" s="5"/>
      <c r="HWZ121" s="2"/>
      <c r="HXA121" s="4"/>
      <c r="HXB121" s="2"/>
      <c r="HXC121" s="3"/>
      <c r="HXD121" s="2"/>
      <c r="HXE121" s="2"/>
      <c r="HXF121" s="5"/>
      <c r="HXG121" s="2"/>
      <c r="HXH121" s="4"/>
      <c r="HXI121" s="2"/>
      <c r="HXJ121" s="3"/>
      <c r="HXK121" s="2"/>
      <c r="HXL121" s="2"/>
      <c r="HXM121" s="5"/>
      <c r="HXN121" s="2"/>
      <c r="HXO121" s="4"/>
      <c r="HXP121" s="2"/>
      <c r="HXQ121" s="3"/>
      <c r="HXR121" s="2"/>
      <c r="HXS121" s="2"/>
      <c r="HXT121" s="5"/>
      <c r="HXU121" s="2"/>
      <c r="HXV121" s="4"/>
      <c r="HXW121" s="2"/>
      <c r="HXX121" s="3"/>
      <c r="HXY121" s="2"/>
      <c r="HXZ121" s="2"/>
      <c r="HYA121" s="5"/>
      <c r="HYB121" s="2"/>
      <c r="HYC121" s="4"/>
      <c r="HYD121" s="2"/>
      <c r="HYE121" s="3"/>
      <c r="HYF121" s="2"/>
      <c r="HYG121" s="2"/>
      <c r="HYH121" s="5"/>
      <c r="HYI121" s="2"/>
      <c r="HYJ121" s="4"/>
      <c r="HYK121" s="2"/>
      <c r="HYL121" s="3"/>
      <c r="HYM121" s="2"/>
      <c r="HYN121" s="2"/>
      <c r="HYO121" s="5"/>
      <c r="HYP121" s="2"/>
      <c r="HYQ121" s="4"/>
      <c r="HYR121" s="2"/>
      <c r="HYS121" s="3"/>
      <c r="HYT121" s="2"/>
      <c r="HYU121" s="2"/>
      <c r="HYV121" s="5"/>
      <c r="HYW121" s="2"/>
      <c r="HYX121" s="4"/>
      <c r="HYY121" s="2"/>
      <c r="HYZ121" s="3"/>
      <c r="HZA121" s="2"/>
      <c r="HZB121" s="2"/>
      <c r="HZC121" s="5"/>
      <c r="HZD121" s="2"/>
      <c r="HZE121" s="4"/>
      <c r="HZF121" s="2"/>
      <c r="HZG121" s="3"/>
      <c r="HZH121" s="2"/>
      <c r="HZI121" s="2"/>
      <c r="HZJ121" s="5"/>
      <c r="HZK121" s="2"/>
      <c r="HZL121" s="4"/>
      <c r="HZM121" s="2"/>
      <c r="HZN121" s="3"/>
      <c r="HZO121" s="2"/>
      <c r="HZP121" s="2"/>
      <c r="HZQ121" s="5"/>
      <c r="HZR121" s="2"/>
      <c r="HZS121" s="4"/>
      <c r="HZT121" s="2"/>
      <c r="HZU121" s="3"/>
      <c r="HZV121" s="2"/>
      <c r="HZW121" s="2"/>
      <c r="HZX121" s="5"/>
      <c r="HZY121" s="2"/>
      <c r="HZZ121" s="4"/>
      <c r="IAA121" s="2"/>
      <c r="IAB121" s="3"/>
      <c r="IAC121" s="2"/>
      <c r="IAD121" s="2"/>
      <c r="IAE121" s="5"/>
      <c r="IAF121" s="2"/>
      <c r="IAG121" s="4"/>
      <c r="IAH121" s="2"/>
      <c r="IAI121" s="3"/>
      <c r="IAJ121" s="2"/>
      <c r="IAK121" s="2"/>
      <c r="IAL121" s="5"/>
      <c r="IAM121" s="2"/>
      <c r="IAN121" s="4"/>
      <c r="IAO121" s="2"/>
      <c r="IAP121" s="3"/>
      <c r="IAQ121" s="2"/>
      <c r="IAR121" s="2"/>
      <c r="IAS121" s="5"/>
      <c r="IAT121" s="2"/>
      <c r="IAU121" s="4"/>
      <c r="IAV121" s="2"/>
      <c r="IAW121" s="3"/>
      <c r="IAX121" s="2"/>
      <c r="IAY121" s="2"/>
      <c r="IAZ121" s="5"/>
      <c r="IBA121" s="2"/>
      <c r="IBB121" s="4"/>
      <c r="IBC121" s="2"/>
      <c r="IBD121" s="3"/>
      <c r="IBE121" s="2"/>
      <c r="IBF121" s="2"/>
      <c r="IBG121" s="5"/>
      <c r="IBH121" s="2"/>
      <c r="IBI121" s="4"/>
      <c r="IBJ121" s="2"/>
      <c r="IBK121" s="3"/>
      <c r="IBL121" s="2"/>
      <c r="IBM121" s="2"/>
      <c r="IBN121" s="5"/>
      <c r="IBO121" s="2"/>
      <c r="IBP121" s="4"/>
      <c r="IBQ121" s="2"/>
      <c r="IBR121" s="3"/>
      <c r="IBS121" s="2"/>
      <c r="IBT121" s="2"/>
      <c r="IBU121" s="5"/>
      <c r="IBV121" s="2"/>
      <c r="IBW121" s="4"/>
      <c r="IBX121" s="2"/>
      <c r="IBY121" s="3"/>
      <c r="IBZ121" s="2"/>
      <c r="ICA121" s="2"/>
      <c r="ICB121" s="5"/>
      <c r="ICC121" s="2"/>
      <c r="ICD121" s="4"/>
      <c r="ICE121" s="2"/>
      <c r="ICF121" s="3"/>
      <c r="ICG121" s="2"/>
      <c r="ICH121" s="2"/>
      <c r="ICI121" s="5"/>
      <c r="ICJ121" s="2"/>
      <c r="ICK121" s="4"/>
      <c r="ICL121" s="2"/>
      <c r="ICM121" s="3"/>
      <c r="ICN121" s="2"/>
      <c r="ICO121" s="2"/>
      <c r="ICP121" s="5"/>
      <c r="ICQ121" s="2"/>
      <c r="ICR121" s="4"/>
      <c r="ICS121" s="2"/>
      <c r="ICT121" s="3"/>
      <c r="ICU121" s="2"/>
      <c r="ICV121" s="2"/>
      <c r="ICW121" s="5"/>
      <c r="ICX121" s="2"/>
      <c r="ICY121" s="4"/>
      <c r="ICZ121" s="2"/>
      <c r="IDA121" s="3"/>
      <c r="IDB121" s="2"/>
      <c r="IDC121" s="2"/>
      <c r="IDD121" s="5"/>
      <c r="IDE121" s="2"/>
      <c r="IDF121" s="4"/>
      <c r="IDG121" s="2"/>
      <c r="IDH121" s="3"/>
      <c r="IDI121" s="2"/>
      <c r="IDJ121" s="2"/>
      <c r="IDK121" s="5"/>
      <c r="IDL121" s="2"/>
      <c r="IDM121" s="4"/>
      <c r="IDN121" s="2"/>
      <c r="IDO121" s="3"/>
      <c r="IDP121" s="2"/>
      <c r="IDQ121" s="2"/>
      <c r="IDR121" s="5"/>
      <c r="IDS121" s="2"/>
      <c r="IDT121" s="4"/>
      <c r="IDU121" s="2"/>
      <c r="IDV121" s="3"/>
      <c r="IDW121" s="2"/>
      <c r="IDX121" s="2"/>
      <c r="IDY121" s="5"/>
      <c r="IDZ121" s="2"/>
      <c r="IEA121" s="4"/>
      <c r="IEB121" s="2"/>
      <c r="IEC121" s="3"/>
      <c r="IED121" s="2"/>
      <c r="IEE121" s="2"/>
      <c r="IEF121" s="5"/>
      <c r="IEG121" s="2"/>
      <c r="IEH121" s="4"/>
      <c r="IEI121" s="2"/>
      <c r="IEJ121" s="3"/>
      <c r="IEK121" s="2"/>
      <c r="IEL121" s="2"/>
      <c r="IEM121" s="5"/>
      <c r="IEN121" s="2"/>
      <c r="IEO121" s="4"/>
      <c r="IEP121" s="2"/>
      <c r="IEQ121" s="3"/>
      <c r="IER121" s="2"/>
      <c r="IES121" s="2"/>
      <c r="IET121" s="5"/>
      <c r="IEU121" s="2"/>
      <c r="IEV121" s="4"/>
      <c r="IEW121" s="2"/>
      <c r="IEX121" s="3"/>
      <c r="IEY121" s="2"/>
      <c r="IEZ121" s="2"/>
      <c r="IFA121" s="5"/>
      <c r="IFB121" s="2"/>
      <c r="IFC121" s="4"/>
      <c r="IFD121" s="2"/>
      <c r="IFE121" s="3"/>
      <c r="IFF121" s="2"/>
      <c r="IFG121" s="2"/>
      <c r="IFH121" s="5"/>
      <c r="IFI121" s="2"/>
      <c r="IFJ121" s="4"/>
      <c r="IFK121" s="2"/>
      <c r="IFL121" s="3"/>
      <c r="IFM121" s="2"/>
      <c r="IFN121" s="2"/>
      <c r="IFO121" s="5"/>
      <c r="IFP121" s="2"/>
      <c r="IFQ121" s="4"/>
      <c r="IFR121" s="2"/>
      <c r="IFS121" s="3"/>
      <c r="IFT121" s="2"/>
      <c r="IFU121" s="2"/>
      <c r="IFV121" s="5"/>
      <c r="IFW121" s="2"/>
      <c r="IFX121" s="4"/>
      <c r="IFY121" s="2"/>
      <c r="IFZ121" s="3"/>
      <c r="IGA121" s="2"/>
      <c r="IGB121" s="2"/>
      <c r="IGC121" s="5"/>
      <c r="IGD121" s="2"/>
      <c r="IGE121" s="4"/>
      <c r="IGF121" s="2"/>
      <c r="IGG121" s="3"/>
      <c r="IGH121" s="2"/>
      <c r="IGI121" s="2"/>
      <c r="IGJ121" s="5"/>
      <c r="IGK121" s="2"/>
      <c r="IGL121" s="4"/>
      <c r="IGM121" s="2"/>
      <c r="IGN121" s="3"/>
      <c r="IGO121" s="2"/>
      <c r="IGP121" s="2"/>
      <c r="IGQ121" s="5"/>
      <c r="IGR121" s="2"/>
      <c r="IGS121" s="4"/>
      <c r="IGT121" s="2"/>
      <c r="IGU121" s="3"/>
      <c r="IGV121" s="2"/>
      <c r="IGW121" s="2"/>
      <c r="IGX121" s="5"/>
      <c r="IGY121" s="2"/>
      <c r="IGZ121" s="4"/>
      <c r="IHA121" s="2"/>
      <c r="IHB121" s="3"/>
      <c r="IHC121" s="2"/>
      <c r="IHD121" s="2"/>
      <c r="IHE121" s="5"/>
      <c r="IHF121" s="2"/>
      <c r="IHG121" s="4"/>
      <c r="IHH121" s="2"/>
      <c r="IHI121" s="3"/>
      <c r="IHJ121" s="2"/>
      <c r="IHK121" s="2"/>
      <c r="IHL121" s="5"/>
      <c r="IHM121" s="2"/>
      <c r="IHN121" s="4"/>
      <c r="IHO121" s="2"/>
      <c r="IHP121" s="3"/>
      <c r="IHQ121" s="2"/>
      <c r="IHR121" s="2"/>
      <c r="IHS121" s="5"/>
      <c r="IHT121" s="2"/>
      <c r="IHU121" s="4"/>
      <c r="IHV121" s="2"/>
      <c r="IHW121" s="3"/>
      <c r="IHX121" s="2"/>
      <c r="IHY121" s="2"/>
      <c r="IHZ121" s="5"/>
      <c r="IIA121" s="2"/>
      <c r="IIB121" s="4"/>
      <c r="IIC121" s="2"/>
      <c r="IID121" s="3"/>
      <c r="IIE121" s="2"/>
      <c r="IIF121" s="2"/>
      <c r="IIG121" s="5"/>
      <c r="IIH121" s="2"/>
      <c r="III121" s="4"/>
      <c r="IIJ121" s="2"/>
      <c r="IIK121" s="3"/>
      <c r="IIL121" s="2"/>
      <c r="IIM121" s="2"/>
      <c r="IIN121" s="5"/>
      <c r="IIO121" s="2"/>
      <c r="IIP121" s="4"/>
      <c r="IIQ121" s="2"/>
      <c r="IIR121" s="3"/>
      <c r="IIS121" s="2"/>
      <c r="IIT121" s="2"/>
      <c r="IIU121" s="5"/>
      <c r="IIV121" s="2"/>
      <c r="IIW121" s="4"/>
      <c r="IIX121" s="2"/>
      <c r="IIY121" s="3"/>
      <c r="IIZ121" s="2"/>
      <c r="IJA121" s="2"/>
      <c r="IJB121" s="5"/>
      <c r="IJC121" s="2"/>
      <c r="IJD121" s="4"/>
      <c r="IJE121" s="2"/>
      <c r="IJF121" s="3"/>
      <c r="IJG121" s="2"/>
      <c r="IJH121" s="2"/>
      <c r="IJI121" s="5"/>
      <c r="IJJ121" s="2"/>
      <c r="IJK121" s="4"/>
      <c r="IJL121" s="2"/>
      <c r="IJM121" s="3"/>
      <c r="IJN121" s="2"/>
      <c r="IJO121" s="2"/>
      <c r="IJP121" s="5"/>
      <c r="IJQ121" s="2"/>
      <c r="IJR121" s="4"/>
      <c r="IJS121" s="2"/>
      <c r="IJT121" s="3"/>
      <c r="IJU121" s="2"/>
      <c r="IJV121" s="2"/>
      <c r="IJW121" s="5"/>
      <c r="IJX121" s="2"/>
      <c r="IJY121" s="4"/>
      <c r="IJZ121" s="2"/>
      <c r="IKA121" s="3"/>
      <c r="IKB121" s="2"/>
      <c r="IKC121" s="2"/>
      <c r="IKD121" s="5"/>
      <c r="IKE121" s="2"/>
      <c r="IKF121" s="4"/>
      <c r="IKG121" s="2"/>
      <c r="IKH121" s="3"/>
      <c r="IKI121" s="2"/>
      <c r="IKJ121" s="2"/>
      <c r="IKK121" s="5"/>
      <c r="IKL121" s="2"/>
      <c r="IKM121" s="4"/>
      <c r="IKN121" s="2"/>
      <c r="IKO121" s="3"/>
      <c r="IKP121" s="2"/>
      <c r="IKQ121" s="2"/>
      <c r="IKR121" s="5"/>
      <c r="IKS121" s="2"/>
      <c r="IKT121" s="4"/>
      <c r="IKU121" s="2"/>
      <c r="IKV121" s="3"/>
      <c r="IKW121" s="2"/>
      <c r="IKX121" s="2"/>
      <c r="IKY121" s="5"/>
      <c r="IKZ121" s="2"/>
      <c r="ILA121" s="4"/>
      <c r="ILB121" s="2"/>
      <c r="ILC121" s="3"/>
      <c r="ILD121" s="2"/>
      <c r="ILE121" s="2"/>
      <c r="ILF121" s="5"/>
      <c r="ILG121" s="2"/>
      <c r="ILH121" s="4"/>
      <c r="ILI121" s="2"/>
      <c r="ILJ121" s="3"/>
      <c r="ILK121" s="2"/>
      <c r="ILL121" s="2"/>
      <c r="ILM121" s="5"/>
      <c r="ILN121" s="2"/>
      <c r="ILO121" s="4"/>
      <c r="ILP121" s="2"/>
      <c r="ILQ121" s="3"/>
      <c r="ILR121" s="2"/>
      <c r="ILS121" s="2"/>
      <c r="ILT121" s="5"/>
      <c r="ILU121" s="2"/>
      <c r="ILV121" s="4"/>
      <c r="ILW121" s="2"/>
      <c r="ILX121" s="3"/>
      <c r="ILY121" s="2"/>
      <c r="ILZ121" s="2"/>
      <c r="IMA121" s="5"/>
      <c r="IMB121" s="2"/>
      <c r="IMC121" s="4"/>
      <c r="IMD121" s="2"/>
      <c r="IME121" s="3"/>
      <c r="IMF121" s="2"/>
      <c r="IMG121" s="2"/>
      <c r="IMH121" s="5"/>
      <c r="IMI121" s="2"/>
      <c r="IMJ121" s="4"/>
      <c r="IMK121" s="2"/>
      <c r="IML121" s="3"/>
      <c r="IMM121" s="2"/>
      <c r="IMN121" s="2"/>
      <c r="IMO121" s="5"/>
      <c r="IMP121" s="2"/>
      <c r="IMQ121" s="4"/>
      <c r="IMR121" s="2"/>
      <c r="IMS121" s="3"/>
      <c r="IMT121" s="2"/>
      <c r="IMU121" s="2"/>
      <c r="IMV121" s="5"/>
      <c r="IMW121" s="2"/>
      <c r="IMX121" s="4"/>
      <c r="IMY121" s="2"/>
      <c r="IMZ121" s="3"/>
      <c r="INA121" s="2"/>
      <c r="INB121" s="2"/>
      <c r="INC121" s="5"/>
      <c r="IND121" s="2"/>
      <c r="INE121" s="4"/>
      <c r="INF121" s="2"/>
      <c r="ING121" s="3"/>
      <c r="INH121" s="2"/>
      <c r="INI121" s="2"/>
      <c r="INJ121" s="5"/>
      <c r="INK121" s="2"/>
      <c r="INL121" s="4"/>
      <c r="INM121" s="2"/>
      <c r="INN121" s="3"/>
      <c r="INO121" s="2"/>
      <c r="INP121" s="2"/>
      <c r="INQ121" s="5"/>
      <c r="INR121" s="2"/>
      <c r="INS121" s="4"/>
      <c r="INT121" s="2"/>
      <c r="INU121" s="3"/>
      <c r="INV121" s="2"/>
      <c r="INW121" s="2"/>
      <c r="INX121" s="5"/>
      <c r="INY121" s="2"/>
      <c r="INZ121" s="4"/>
      <c r="IOA121" s="2"/>
      <c r="IOB121" s="3"/>
      <c r="IOC121" s="2"/>
      <c r="IOD121" s="2"/>
      <c r="IOE121" s="5"/>
      <c r="IOF121" s="2"/>
      <c r="IOG121" s="4"/>
      <c r="IOH121" s="2"/>
      <c r="IOI121" s="3"/>
      <c r="IOJ121" s="2"/>
      <c r="IOK121" s="2"/>
      <c r="IOL121" s="5"/>
      <c r="IOM121" s="2"/>
      <c r="ION121" s="4"/>
      <c r="IOO121" s="2"/>
      <c r="IOP121" s="3"/>
      <c r="IOQ121" s="2"/>
      <c r="IOR121" s="2"/>
      <c r="IOS121" s="5"/>
      <c r="IOT121" s="2"/>
      <c r="IOU121" s="4"/>
      <c r="IOV121" s="2"/>
      <c r="IOW121" s="3"/>
      <c r="IOX121" s="2"/>
      <c r="IOY121" s="2"/>
      <c r="IOZ121" s="5"/>
      <c r="IPA121" s="2"/>
      <c r="IPB121" s="4"/>
      <c r="IPC121" s="2"/>
      <c r="IPD121" s="3"/>
      <c r="IPE121" s="2"/>
      <c r="IPF121" s="2"/>
      <c r="IPG121" s="5"/>
      <c r="IPH121" s="2"/>
      <c r="IPI121" s="4"/>
      <c r="IPJ121" s="2"/>
      <c r="IPK121" s="3"/>
      <c r="IPL121" s="2"/>
      <c r="IPM121" s="2"/>
      <c r="IPN121" s="5"/>
      <c r="IPO121" s="2"/>
      <c r="IPP121" s="4"/>
      <c r="IPQ121" s="2"/>
      <c r="IPR121" s="3"/>
      <c r="IPS121" s="2"/>
      <c r="IPT121" s="2"/>
      <c r="IPU121" s="5"/>
      <c r="IPV121" s="2"/>
      <c r="IPW121" s="4"/>
      <c r="IPX121" s="2"/>
      <c r="IPY121" s="3"/>
      <c r="IPZ121" s="2"/>
      <c r="IQA121" s="2"/>
      <c r="IQB121" s="5"/>
      <c r="IQC121" s="2"/>
      <c r="IQD121" s="4"/>
      <c r="IQE121" s="2"/>
      <c r="IQF121" s="3"/>
      <c r="IQG121" s="2"/>
      <c r="IQH121" s="2"/>
      <c r="IQI121" s="5"/>
      <c r="IQJ121" s="2"/>
      <c r="IQK121" s="4"/>
      <c r="IQL121" s="2"/>
      <c r="IQM121" s="3"/>
      <c r="IQN121" s="2"/>
      <c r="IQO121" s="2"/>
      <c r="IQP121" s="5"/>
      <c r="IQQ121" s="2"/>
      <c r="IQR121" s="4"/>
      <c r="IQS121" s="2"/>
      <c r="IQT121" s="3"/>
      <c r="IQU121" s="2"/>
      <c r="IQV121" s="2"/>
      <c r="IQW121" s="5"/>
      <c r="IQX121" s="2"/>
      <c r="IQY121" s="4"/>
      <c r="IQZ121" s="2"/>
      <c r="IRA121" s="3"/>
      <c r="IRB121" s="2"/>
      <c r="IRC121" s="2"/>
      <c r="IRD121" s="5"/>
      <c r="IRE121" s="2"/>
      <c r="IRF121" s="4"/>
      <c r="IRG121" s="2"/>
      <c r="IRH121" s="3"/>
      <c r="IRI121" s="2"/>
      <c r="IRJ121" s="2"/>
      <c r="IRK121" s="5"/>
      <c r="IRL121" s="2"/>
      <c r="IRM121" s="4"/>
      <c r="IRN121" s="2"/>
      <c r="IRO121" s="3"/>
      <c r="IRP121" s="2"/>
      <c r="IRQ121" s="2"/>
      <c r="IRR121" s="5"/>
      <c r="IRS121" s="2"/>
      <c r="IRT121" s="4"/>
      <c r="IRU121" s="2"/>
      <c r="IRV121" s="3"/>
      <c r="IRW121" s="2"/>
      <c r="IRX121" s="2"/>
      <c r="IRY121" s="5"/>
      <c r="IRZ121" s="2"/>
      <c r="ISA121" s="4"/>
      <c r="ISB121" s="2"/>
      <c r="ISC121" s="3"/>
      <c r="ISD121" s="2"/>
      <c r="ISE121" s="2"/>
      <c r="ISF121" s="5"/>
      <c r="ISG121" s="2"/>
      <c r="ISH121" s="4"/>
      <c r="ISI121" s="2"/>
      <c r="ISJ121" s="3"/>
      <c r="ISK121" s="2"/>
      <c r="ISL121" s="2"/>
      <c r="ISM121" s="5"/>
      <c r="ISN121" s="2"/>
      <c r="ISO121" s="4"/>
      <c r="ISP121" s="2"/>
      <c r="ISQ121" s="3"/>
      <c r="ISR121" s="2"/>
      <c r="ISS121" s="2"/>
      <c r="IST121" s="5"/>
      <c r="ISU121" s="2"/>
      <c r="ISV121" s="4"/>
      <c r="ISW121" s="2"/>
      <c r="ISX121" s="3"/>
      <c r="ISY121" s="2"/>
      <c r="ISZ121" s="2"/>
      <c r="ITA121" s="5"/>
      <c r="ITB121" s="2"/>
      <c r="ITC121" s="4"/>
      <c r="ITD121" s="2"/>
      <c r="ITE121" s="3"/>
      <c r="ITF121" s="2"/>
      <c r="ITG121" s="2"/>
      <c r="ITH121" s="5"/>
      <c r="ITI121" s="2"/>
      <c r="ITJ121" s="4"/>
      <c r="ITK121" s="2"/>
      <c r="ITL121" s="3"/>
      <c r="ITM121" s="2"/>
      <c r="ITN121" s="2"/>
      <c r="ITO121" s="5"/>
      <c r="ITP121" s="2"/>
      <c r="ITQ121" s="4"/>
      <c r="ITR121" s="2"/>
      <c r="ITS121" s="3"/>
      <c r="ITT121" s="2"/>
      <c r="ITU121" s="2"/>
      <c r="ITV121" s="5"/>
      <c r="ITW121" s="2"/>
      <c r="ITX121" s="4"/>
      <c r="ITY121" s="2"/>
      <c r="ITZ121" s="3"/>
      <c r="IUA121" s="2"/>
      <c r="IUB121" s="2"/>
      <c r="IUC121" s="5"/>
      <c r="IUD121" s="2"/>
      <c r="IUE121" s="4"/>
      <c r="IUF121" s="2"/>
      <c r="IUG121" s="3"/>
      <c r="IUH121" s="2"/>
      <c r="IUI121" s="2"/>
      <c r="IUJ121" s="5"/>
      <c r="IUK121" s="2"/>
      <c r="IUL121" s="4"/>
      <c r="IUM121" s="2"/>
      <c r="IUN121" s="3"/>
      <c r="IUO121" s="2"/>
      <c r="IUP121" s="2"/>
      <c r="IUQ121" s="5"/>
      <c r="IUR121" s="2"/>
      <c r="IUS121" s="4"/>
      <c r="IUT121" s="2"/>
      <c r="IUU121" s="3"/>
      <c r="IUV121" s="2"/>
      <c r="IUW121" s="2"/>
      <c r="IUX121" s="5"/>
      <c r="IUY121" s="2"/>
      <c r="IUZ121" s="4"/>
      <c r="IVA121" s="2"/>
      <c r="IVB121" s="3"/>
      <c r="IVC121" s="2"/>
      <c r="IVD121" s="2"/>
      <c r="IVE121" s="5"/>
      <c r="IVF121" s="2"/>
      <c r="IVG121" s="4"/>
      <c r="IVH121" s="2"/>
      <c r="IVI121" s="3"/>
      <c r="IVJ121" s="2"/>
      <c r="IVK121" s="2"/>
      <c r="IVL121" s="5"/>
      <c r="IVM121" s="2"/>
      <c r="IVN121" s="4"/>
      <c r="IVO121" s="2"/>
      <c r="IVP121" s="3"/>
      <c r="IVQ121" s="2"/>
      <c r="IVR121" s="2"/>
      <c r="IVS121" s="5"/>
      <c r="IVT121" s="2"/>
      <c r="IVU121" s="4"/>
      <c r="IVV121" s="2"/>
      <c r="IVW121" s="3"/>
      <c r="IVX121" s="2"/>
      <c r="IVY121" s="2"/>
      <c r="IVZ121" s="5"/>
      <c r="IWA121" s="2"/>
      <c r="IWB121" s="4"/>
      <c r="IWC121" s="2"/>
      <c r="IWD121" s="3"/>
      <c r="IWE121" s="2"/>
      <c r="IWF121" s="2"/>
      <c r="IWG121" s="5"/>
      <c r="IWH121" s="2"/>
      <c r="IWI121" s="4"/>
      <c r="IWJ121" s="2"/>
      <c r="IWK121" s="3"/>
      <c r="IWL121" s="2"/>
      <c r="IWM121" s="2"/>
      <c r="IWN121" s="5"/>
      <c r="IWO121" s="2"/>
      <c r="IWP121" s="4"/>
      <c r="IWQ121" s="2"/>
      <c r="IWR121" s="3"/>
      <c r="IWS121" s="2"/>
      <c r="IWT121" s="2"/>
      <c r="IWU121" s="5"/>
      <c r="IWV121" s="2"/>
      <c r="IWW121" s="4"/>
      <c r="IWX121" s="2"/>
      <c r="IWY121" s="3"/>
      <c r="IWZ121" s="2"/>
      <c r="IXA121" s="2"/>
      <c r="IXB121" s="5"/>
      <c r="IXC121" s="2"/>
      <c r="IXD121" s="4"/>
      <c r="IXE121" s="2"/>
      <c r="IXF121" s="3"/>
      <c r="IXG121" s="2"/>
      <c r="IXH121" s="2"/>
      <c r="IXI121" s="5"/>
      <c r="IXJ121" s="2"/>
      <c r="IXK121" s="4"/>
      <c r="IXL121" s="2"/>
      <c r="IXM121" s="3"/>
      <c r="IXN121" s="2"/>
      <c r="IXO121" s="2"/>
      <c r="IXP121" s="5"/>
      <c r="IXQ121" s="2"/>
      <c r="IXR121" s="4"/>
      <c r="IXS121" s="2"/>
      <c r="IXT121" s="3"/>
      <c r="IXU121" s="2"/>
      <c r="IXV121" s="2"/>
      <c r="IXW121" s="5"/>
      <c r="IXX121" s="2"/>
      <c r="IXY121" s="4"/>
      <c r="IXZ121" s="2"/>
      <c r="IYA121" s="3"/>
      <c r="IYB121" s="2"/>
      <c r="IYC121" s="2"/>
      <c r="IYD121" s="5"/>
      <c r="IYE121" s="2"/>
      <c r="IYF121" s="4"/>
      <c r="IYG121" s="2"/>
      <c r="IYH121" s="3"/>
      <c r="IYI121" s="2"/>
      <c r="IYJ121" s="2"/>
      <c r="IYK121" s="5"/>
      <c r="IYL121" s="2"/>
      <c r="IYM121" s="4"/>
      <c r="IYN121" s="2"/>
      <c r="IYO121" s="3"/>
      <c r="IYP121" s="2"/>
      <c r="IYQ121" s="2"/>
      <c r="IYR121" s="5"/>
      <c r="IYS121" s="2"/>
      <c r="IYT121" s="4"/>
      <c r="IYU121" s="2"/>
      <c r="IYV121" s="3"/>
      <c r="IYW121" s="2"/>
      <c r="IYX121" s="2"/>
      <c r="IYY121" s="5"/>
      <c r="IYZ121" s="2"/>
      <c r="IZA121" s="4"/>
      <c r="IZB121" s="2"/>
      <c r="IZC121" s="3"/>
      <c r="IZD121" s="2"/>
      <c r="IZE121" s="2"/>
      <c r="IZF121" s="5"/>
      <c r="IZG121" s="2"/>
      <c r="IZH121" s="4"/>
      <c r="IZI121" s="2"/>
      <c r="IZJ121" s="3"/>
      <c r="IZK121" s="2"/>
      <c r="IZL121" s="2"/>
      <c r="IZM121" s="5"/>
      <c r="IZN121" s="2"/>
      <c r="IZO121" s="4"/>
      <c r="IZP121" s="2"/>
      <c r="IZQ121" s="3"/>
      <c r="IZR121" s="2"/>
      <c r="IZS121" s="2"/>
      <c r="IZT121" s="5"/>
      <c r="IZU121" s="2"/>
      <c r="IZV121" s="4"/>
      <c r="IZW121" s="2"/>
      <c r="IZX121" s="3"/>
      <c r="IZY121" s="2"/>
      <c r="IZZ121" s="2"/>
      <c r="JAA121" s="5"/>
      <c r="JAB121" s="2"/>
      <c r="JAC121" s="4"/>
      <c r="JAD121" s="2"/>
      <c r="JAE121" s="3"/>
      <c r="JAF121" s="2"/>
      <c r="JAG121" s="2"/>
      <c r="JAH121" s="5"/>
      <c r="JAI121" s="2"/>
      <c r="JAJ121" s="4"/>
      <c r="JAK121" s="2"/>
      <c r="JAL121" s="3"/>
      <c r="JAM121" s="2"/>
      <c r="JAN121" s="2"/>
      <c r="JAO121" s="5"/>
      <c r="JAP121" s="2"/>
      <c r="JAQ121" s="4"/>
      <c r="JAR121" s="2"/>
      <c r="JAS121" s="3"/>
      <c r="JAT121" s="2"/>
      <c r="JAU121" s="2"/>
      <c r="JAV121" s="5"/>
      <c r="JAW121" s="2"/>
      <c r="JAX121" s="4"/>
      <c r="JAY121" s="2"/>
      <c r="JAZ121" s="3"/>
      <c r="JBA121" s="2"/>
      <c r="JBB121" s="2"/>
      <c r="JBC121" s="5"/>
      <c r="JBD121" s="2"/>
      <c r="JBE121" s="4"/>
      <c r="JBF121" s="2"/>
      <c r="JBG121" s="3"/>
      <c r="JBH121" s="2"/>
      <c r="JBI121" s="2"/>
      <c r="JBJ121" s="5"/>
      <c r="JBK121" s="2"/>
      <c r="JBL121" s="4"/>
      <c r="JBM121" s="2"/>
      <c r="JBN121" s="3"/>
      <c r="JBO121" s="2"/>
      <c r="JBP121" s="2"/>
      <c r="JBQ121" s="5"/>
      <c r="JBR121" s="2"/>
      <c r="JBS121" s="4"/>
      <c r="JBT121" s="2"/>
      <c r="JBU121" s="3"/>
      <c r="JBV121" s="2"/>
      <c r="JBW121" s="2"/>
      <c r="JBX121" s="5"/>
      <c r="JBY121" s="2"/>
      <c r="JBZ121" s="4"/>
      <c r="JCA121" s="2"/>
      <c r="JCB121" s="3"/>
      <c r="JCC121" s="2"/>
      <c r="JCD121" s="2"/>
      <c r="JCE121" s="5"/>
      <c r="JCF121" s="2"/>
      <c r="JCG121" s="4"/>
      <c r="JCH121" s="2"/>
      <c r="JCI121" s="3"/>
      <c r="JCJ121" s="2"/>
      <c r="JCK121" s="2"/>
      <c r="JCL121" s="5"/>
      <c r="JCM121" s="2"/>
      <c r="JCN121" s="4"/>
      <c r="JCO121" s="2"/>
      <c r="JCP121" s="3"/>
      <c r="JCQ121" s="2"/>
      <c r="JCR121" s="2"/>
      <c r="JCS121" s="5"/>
      <c r="JCT121" s="2"/>
      <c r="JCU121" s="4"/>
      <c r="JCV121" s="2"/>
      <c r="JCW121" s="3"/>
      <c r="JCX121" s="2"/>
      <c r="JCY121" s="2"/>
      <c r="JCZ121" s="5"/>
      <c r="JDA121" s="2"/>
      <c r="JDB121" s="4"/>
      <c r="JDC121" s="2"/>
      <c r="JDD121" s="3"/>
      <c r="JDE121" s="2"/>
      <c r="JDF121" s="2"/>
      <c r="JDG121" s="5"/>
      <c r="JDH121" s="2"/>
      <c r="JDI121" s="4"/>
      <c r="JDJ121" s="2"/>
      <c r="JDK121" s="3"/>
      <c r="JDL121" s="2"/>
      <c r="JDM121" s="2"/>
      <c r="JDN121" s="5"/>
      <c r="JDO121" s="2"/>
      <c r="JDP121" s="4"/>
      <c r="JDQ121" s="2"/>
      <c r="JDR121" s="3"/>
      <c r="JDS121" s="2"/>
      <c r="JDT121" s="2"/>
      <c r="JDU121" s="5"/>
      <c r="JDV121" s="2"/>
      <c r="JDW121" s="4"/>
      <c r="JDX121" s="2"/>
      <c r="JDY121" s="3"/>
      <c r="JDZ121" s="2"/>
      <c r="JEA121" s="2"/>
      <c r="JEB121" s="5"/>
      <c r="JEC121" s="2"/>
      <c r="JED121" s="4"/>
      <c r="JEE121" s="2"/>
      <c r="JEF121" s="3"/>
      <c r="JEG121" s="2"/>
      <c r="JEH121" s="2"/>
      <c r="JEI121" s="5"/>
      <c r="JEJ121" s="2"/>
      <c r="JEK121" s="4"/>
      <c r="JEL121" s="2"/>
      <c r="JEM121" s="3"/>
      <c r="JEN121" s="2"/>
      <c r="JEO121" s="2"/>
      <c r="JEP121" s="5"/>
      <c r="JEQ121" s="2"/>
      <c r="JER121" s="4"/>
      <c r="JES121" s="2"/>
      <c r="JET121" s="3"/>
      <c r="JEU121" s="2"/>
      <c r="JEV121" s="2"/>
      <c r="JEW121" s="5"/>
      <c r="JEX121" s="2"/>
      <c r="JEY121" s="4"/>
      <c r="JEZ121" s="2"/>
      <c r="JFA121" s="3"/>
      <c r="JFB121" s="2"/>
      <c r="JFC121" s="2"/>
      <c r="JFD121" s="5"/>
      <c r="JFE121" s="2"/>
      <c r="JFF121" s="4"/>
      <c r="JFG121" s="2"/>
      <c r="JFH121" s="3"/>
      <c r="JFI121" s="2"/>
      <c r="JFJ121" s="2"/>
      <c r="JFK121" s="5"/>
      <c r="JFL121" s="2"/>
      <c r="JFM121" s="4"/>
      <c r="JFN121" s="2"/>
      <c r="JFO121" s="3"/>
      <c r="JFP121" s="2"/>
      <c r="JFQ121" s="2"/>
      <c r="JFR121" s="5"/>
      <c r="JFS121" s="2"/>
      <c r="JFT121" s="4"/>
      <c r="JFU121" s="2"/>
      <c r="JFV121" s="3"/>
      <c r="JFW121" s="2"/>
      <c r="JFX121" s="2"/>
      <c r="JFY121" s="5"/>
      <c r="JFZ121" s="2"/>
      <c r="JGA121" s="4"/>
      <c r="JGB121" s="2"/>
      <c r="JGC121" s="3"/>
      <c r="JGD121" s="2"/>
      <c r="JGE121" s="2"/>
      <c r="JGF121" s="5"/>
      <c r="JGG121" s="2"/>
      <c r="JGH121" s="4"/>
      <c r="JGI121" s="2"/>
      <c r="JGJ121" s="3"/>
      <c r="JGK121" s="2"/>
      <c r="JGL121" s="2"/>
      <c r="JGM121" s="5"/>
      <c r="JGN121" s="2"/>
      <c r="JGO121" s="4"/>
      <c r="JGP121" s="2"/>
      <c r="JGQ121" s="3"/>
      <c r="JGR121" s="2"/>
      <c r="JGS121" s="2"/>
      <c r="JGT121" s="5"/>
      <c r="JGU121" s="2"/>
      <c r="JGV121" s="4"/>
      <c r="JGW121" s="2"/>
      <c r="JGX121" s="3"/>
      <c r="JGY121" s="2"/>
      <c r="JGZ121" s="2"/>
      <c r="JHA121" s="5"/>
      <c r="JHB121" s="2"/>
      <c r="JHC121" s="4"/>
      <c r="JHD121" s="2"/>
      <c r="JHE121" s="3"/>
      <c r="JHF121" s="2"/>
      <c r="JHG121" s="2"/>
      <c r="JHH121" s="5"/>
      <c r="JHI121" s="2"/>
      <c r="JHJ121" s="4"/>
      <c r="JHK121" s="2"/>
      <c r="JHL121" s="3"/>
      <c r="JHM121" s="2"/>
      <c r="JHN121" s="2"/>
      <c r="JHO121" s="5"/>
      <c r="JHP121" s="2"/>
      <c r="JHQ121" s="4"/>
      <c r="JHR121" s="2"/>
      <c r="JHS121" s="3"/>
      <c r="JHT121" s="2"/>
      <c r="JHU121" s="2"/>
      <c r="JHV121" s="5"/>
      <c r="JHW121" s="2"/>
      <c r="JHX121" s="4"/>
      <c r="JHY121" s="2"/>
      <c r="JHZ121" s="3"/>
      <c r="JIA121" s="2"/>
      <c r="JIB121" s="2"/>
      <c r="JIC121" s="5"/>
      <c r="JID121" s="2"/>
      <c r="JIE121" s="4"/>
      <c r="JIF121" s="2"/>
      <c r="JIG121" s="3"/>
      <c r="JIH121" s="2"/>
      <c r="JII121" s="2"/>
      <c r="JIJ121" s="5"/>
      <c r="JIK121" s="2"/>
      <c r="JIL121" s="4"/>
      <c r="JIM121" s="2"/>
      <c r="JIN121" s="3"/>
      <c r="JIO121" s="2"/>
      <c r="JIP121" s="2"/>
      <c r="JIQ121" s="5"/>
      <c r="JIR121" s="2"/>
      <c r="JIS121" s="4"/>
      <c r="JIT121" s="2"/>
      <c r="JIU121" s="3"/>
      <c r="JIV121" s="2"/>
      <c r="JIW121" s="2"/>
      <c r="JIX121" s="5"/>
      <c r="JIY121" s="2"/>
      <c r="JIZ121" s="4"/>
      <c r="JJA121" s="2"/>
      <c r="JJB121" s="3"/>
      <c r="JJC121" s="2"/>
      <c r="JJD121" s="2"/>
      <c r="JJE121" s="5"/>
      <c r="JJF121" s="2"/>
      <c r="JJG121" s="4"/>
      <c r="JJH121" s="2"/>
      <c r="JJI121" s="3"/>
      <c r="JJJ121" s="2"/>
      <c r="JJK121" s="2"/>
      <c r="JJL121" s="5"/>
      <c r="JJM121" s="2"/>
      <c r="JJN121" s="4"/>
      <c r="JJO121" s="2"/>
      <c r="JJP121" s="3"/>
      <c r="JJQ121" s="2"/>
      <c r="JJR121" s="2"/>
      <c r="JJS121" s="5"/>
      <c r="JJT121" s="2"/>
      <c r="JJU121" s="4"/>
      <c r="JJV121" s="2"/>
      <c r="JJW121" s="3"/>
      <c r="JJX121" s="2"/>
      <c r="JJY121" s="2"/>
      <c r="JJZ121" s="5"/>
      <c r="JKA121" s="2"/>
      <c r="JKB121" s="4"/>
      <c r="JKC121" s="2"/>
      <c r="JKD121" s="3"/>
      <c r="JKE121" s="2"/>
      <c r="JKF121" s="2"/>
      <c r="JKG121" s="5"/>
      <c r="JKH121" s="2"/>
      <c r="JKI121" s="4"/>
      <c r="JKJ121" s="2"/>
      <c r="JKK121" s="3"/>
      <c r="JKL121" s="2"/>
      <c r="JKM121" s="2"/>
      <c r="JKN121" s="5"/>
      <c r="JKO121" s="2"/>
      <c r="JKP121" s="4"/>
      <c r="JKQ121" s="2"/>
      <c r="JKR121" s="3"/>
      <c r="JKS121" s="2"/>
      <c r="JKT121" s="2"/>
      <c r="JKU121" s="5"/>
      <c r="JKV121" s="2"/>
      <c r="JKW121" s="4"/>
      <c r="JKX121" s="2"/>
      <c r="JKY121" s="3"/>
      <c r="JKZ121" s="2"/>
      <c r="JLA121" s="2"/>
      <c r="JLB121" s="5"/>
      <c r="JLC121" s="2"/>
      <c r="JLD121" s="4"/>
      <c r="JLE121" s="2"/>
      <c r="JLF121" s="3"/>
      <c r="JLG121" s="2"/>
      <c r="JLH121" s="2"/>
      <c r="JLI121" s="5"/>
      <c r="JLJ121" s="2"/>
      <c r="JLK121" s="4"/>
      <c r="JLL121" s="2"/>
      <c r="JLM121" s="3"/>
      <c r="JLN121" s="2"/>
      <c r="JLO121" s="2"/>
      <c r="JLP121" s="5"/>
      <c r="JLQ121" s="2"/>
      <c r="JLR121" s="4"/>
      <c r="JLS121" s="2"/>
      <c r="JLT121" s="3"/>
      <c r="JLU121" s="2"/>
      <c r="JLV121" s="2"/>
      <c r="JLW121" s="5"/>
      <c r="JLX121" s="2"/>
      <c r="JLY121" s="4"/>
      <c r="JLZ121" s="2"/>
      <c r="JMA121" s="3"/>
      <c r="JMB121" s="2"/>
      <c r="JMC121" s="2"/>
      <c r="JMD121" s="5"/>
      <c r="JME121" s="2"/>
      <c r="JMF121" s="4"/>
      <c r="JMG121" s="2"/>
      <c r="JMH121" s="3"/>
      <c r="JMI121" s="2"/>
      <c r="JMJ121" s="2"/>
      <c r="JMK121" s="5"/>
      <c r="JML121" s="2"/>
      <c r="JMM121" s="4"/>
      <c r="JMN121" s="2"/>
      <c r="JMO121" s="3"/>
      <c r="JMP121" s="2"/>
      <c r="JMQ121" s="2"/>
      <c r="JMR121" s="5"/>
      <c r="JMS121" s="2"/>
      <c r="JMT121" s="4"/>
      <c r="JMU121" s="2"/>
      <c r="JMV121" s="3"/>
      <c r="JMW121" s="2"/>
      <c r="JMX121" s="2"/>
      <c r="JMY121" s="5"/>
      <c r="JMZ121" s="2"/>
      <c r="JNA121" s="4"/>
      <c r="JNB121" s="2"/>
      <c r="JNC121" s="3"/>
      <c r="JND121" s="2"/>
      <c r="JNE121" s="2"/>
      <c r="JNF121" s="5"/>
      <c r="JNG121" s="2"/>
      <c r="JNH121" s="4"/>
      <c r="JNI121" s="2"/>
      <c r="JNJ121" s="3"/>
      <c r="JNK121" s="2"/>
      <c r="JNL121" s="2"/>
      <c r="JNM121" s="5"/>
      <c r="JNN121" s="2"/>
      <c r="JNO121" s="4"/>
      <c r="JNP121" s="2"/>
      <c r="JNQ121" s="3"/>
      <c r="JNR121" s="2"/>
      <c r="JNS121" s="2"/>
      <c r="JNT121" s="5"/>
      <c r="JNU121" s="2"/>
      <c r="JNV121" s="4"/>
      <c r="JNW121" s="2"/>
      <c r="JNX121" s="3"/>
      <c r="JNY121" s="2"/>
      <c r="JNZ121" s="2"/>
      <c r="JOA121" s="5"/>
      <c r="JOB121" s="2"/>
      <c r="JOC121" s="4"/>
      <c r="JOD121" s="2"/>
      <c r="JOE121" s="3"/>
      <c r="JOF121" s="2"/>
      <c r="JOG121" s="2"/>
      <c r="JOH121" s="5"/>
      <c r="JOI121" s="2"/>
      <c r="JOJ121" s="4"/>
      <c r="JOK121" s="2"/>
      <c r="JOL121" s="3"/>
      <c r="JOM121" s="2"/>
      <c r="JON121" s="2"/>
      <c r="JOO121" s="5"/>
      <c r="JOP121" s="2"/>
      <c r="JOQ121" s="4"/>
      <c r="JOR121" s="2"/>
      <c r="JOS121" s="3"/>
      <c r="JOT121" s="2"/>
      <c r="JOU121" s="2"/>
      <c r="JOV121" s="5"/>
      <c r="JOW121" s="2"/>
      <c r="JOX121" s="4"/>
      <c r="JOY121" s="2"/>
      <c r="JOZ121" s="3"/>
      <c r="JPA121" s="2"/>
      <c r="JPB121" s="2"/>
      <c r="JPC121" s="5"/>
      <c r="JPD121" s="2"/>
      <c r="JPE121" s="4"/>
      <c r="JPF121" s="2"/>
      <c r="JPG121" s="3"/>
      <c r="JPH121" s="2"/>
      <c r="JPI121" s="2"/>
      <c r="JPJ121" s="5"/>
      <c r="JPK121" s="2"/>
      <c r="JPL121" s="4"/>
      <c r="JPM121" s="2"/>
      <c r="JPN121" s="3"/>
      <c r="JPO121" s="2"/>
      <c r="JPP121" s="2"/>
      <c r="JPQ121" s="5"/>
      <c r="JPR121" s="2"/>
      <c r="JPS121" s="4"/>
      <c r="JPT121" s="2"/>
      <c r="JPU121" s="3"/>
      <c r="JPV121" s="2"/>
      <c r="JPW121" s="2"/>
      <c r="JPX121" s="5"/>
      <c r="JPY121" s="2"/>
      <c r="JPZ121" s="4"/>
      <c r="JQA121" s="2"/>
      <c r="JQB121" s="3"/>
      <c r="JQC121" s="2"/>
      <c r="JQD121" s="2"/>
      <c r="JQE121" s="5"/>
      <c r="JQF121" s="2"/>
      <c r="JQG121" s="4"/>
      <c r="JQH121" s="2"/>
      <c r="JQI121" s="3"/>
      <c r="JQJ121" s="2"/>
      <c r="JQK121" s="2"/>
      <c r="JQL121" s="5"/>
      <c r="JQM121" s="2"/>
      <c r="JQN121" s="4"/>
      <c r="JQO121" s="2"/>
      <c r="JQP121" s="3"/>
      <c r="JQQ121" s="2"/>
      <c r="JQR121" s="2"/>
      <c r="JQS121" s="5"/>
      <c r="JQT121" s="2"/>
      <c r="JQU121" s="4"/>
      <c r="JQV121" s="2"/>
      <c r="JQW121" s="3"/>
      <c r="JQX121" s="2"/>
      <c r="JQY121" s="2"/>
      <c r="JQZ121" s="5"/>
      <c r="JRA121" s="2"/>
      <c r="JRB121" s="4"/>
      <c r="JRC121" s="2"/>
      <c r="JRD121" s="3"/>
      <c r="JRE121" s="2"/>
      <c r="JRF121" s="2"/>
      <c r="JRG121" s="5"/>
      <c r="JRH121" s="2"/>
      <c r="JRI121" s="4"/>
      <c r="JRJ121" s="2"/>
      <c r="JRK121" s="3"/>
      <c r="JRL121" s="2"/>
      <c r="JRM121" s="2"/>
      <c r="JRN121" s="5"/>
      <c r="JRO121" s="2"/>
      <c r="JRP121" s="4"/>
      <c r="JRQ121" s="2"/>
      <c r="JRR121" s="3"/>
      <c r="JRS121" s="2"/>
      <c r="JRT121" s="2"/>
      <c r="JRU121" s="5"/>
      <c r="JRV121" s="2"/>
      <c r="JRW121" s="4"/>
      <c r="JRX121" s="2"/>
      <c r="JRY121" s="3"/>
      <c r="JRZ121" s="2"/>
      <c r="JSA121" s="2"/>
      <c r="JSB121" s="5"/>
      <c r="JSC121" s="2"/>
      <c r="JSD121" s="4"/>
      <c r="JSE121" s="2"/>
      <c r="JSF121" s="3"/>
      <c r="JSG121" s="2"/>
      <c r="JSH121" s="2"/>
      <c r="JSI121" s="5"/>
      <c r="JSJ121" s="2"/>
      <c r="JSK121" s="4"/>
      <c r="JSL121" s="2"/>
      <c r="JSM121" s="3"/>
      <c r="JSN121" s="2"/>
      <c r="JSO121" s="2"/>
      <c r="JSP121" s="5"/>
      <c r="JSQ121" s="2"/>
      <c r="JSR121" s="4"/>
      <c r="JSS121" s="2"/>
      <c r="JST121" s="3"/>
      <c r="JSU121" s="2"/>
      <c r="JSV121" s="2"/>
      <c r="JSW121" s="5"/>
      <c r="JSX121" s="2"/>
      <c r="JSY121" s="4"/>
      <c r="JSZ121" s="2"/>
      <c r="JTA121" s="3"/>
      <c r="JTB121" s="2"/>
      <c r="JTC121" s="2"/>
      <c r="JTD121" s="5"/>
      <c r="JTE121" s="2"/>
      <c r="JTF121" s="4"/>
      <c r="JTG121" s="2"/>
      <c r="JTH121" s="3"/>
      <c r="JTI121" s="2"/>
      <c r="JTJ121" s="2"/>
      <c r="JTK121" s="5"/>
      <c r="JTL121" s="2"/>
      <c r="JTM121" s="4"/>
      <c r="JTN121" s="2"/>
      <c r="JTO121" s="3"/>
      <c r="JTP121" s="2"/>
      <c r="JTQ121" s="2"/>
      <c r="JTR121" s="5"/>
      <c r="JTS121" s="2"/>
      <c r="JTT121" s="4"/>
      <c r="JTU121" s="2"/>
      <c r="JTV121" s="3"/>
      <c r="JTW121" s="2"/>
      <c r="JTX121" s="2"/>
      <c r="JTY121" s="5"/>
      <c r="JTZ121" s="2"/>
      <c r="JUA121" s="4"/>
      <c r="JUB121" s="2"/>
      <c r="JUC121" s="3"/>
      <c r="JUD121" s="2"/>
      <c r="JUE121" s="2"/>
      <c r="JUF121" s="5"/>
      <c r="JUG121" s="2"/>
      <c r="JUH121" s="4"/>
      <c r="JUI121" s="2"/>
      <c r="JUJ121" s="3"/>
      <c r="JUK121" s="2"/>
      <c r="JUL121" s="2"/>
      <c r="JUM121" s="5"/>
      <c r="JUN121" s="2"/>
      <c r="JUO121" s="4"/>
      <c r="JUP121" s="2"/>
      <c r="JUQ121" s="3"/>
      <c r="JUR121" s="2"/>
      <c r="JUS121" s="2"/>
      <c r="JUT121" s="5"/>
      <c r="JUU121" s="2"/>
      <c r="JUV121" s="4"/>
      <c r="JUW121" s="2"/>
      <c r="JUX121" s="3"/>
      <c r="JUY121" s="2"/>
      <c r="JUZ121" s="2"/>
      <c r="JVA121" s="5"/>
      <c r="JVB121" s="2"/>
      <c r="JVC121" s="4"/>
      <c r="JVD121" s="2"/>
      <c r="JVE121" s="3"/>
      <c r="JVF121" s="2"/>
      <c r="JVG121" s="2"/>
      <c r="JVH121" s="5"/>
      <c r="JVI121" s="2"/>
      <c r="JVJ121" s="4"/>
      <c r="JVK121" s="2"/>
      <c r="JVL121" s="3"/>
      <c r="JVM121" s="2"/>
      <c r="JVN121" s="2"/>
      <c r="JVO121" s="5"/>
      <c r="JVP121" s="2"/>
      <c r="JVQ121" s="4"/>
      <c r="JVR121" s="2"/>
      <c r="JVS121" s="3"/>
      <c r="JVT121" s="2"/>
      <c r="JVU121" s="2"/>
      <c r="JVV121" s="5"/>
      <c r="JVW121" s="2"/>
      <c r="JVX121" s="4"/>
      <c r="JVY121" s="2"/>
      <c r="JVZ121" s="3"/>
      <c r="JWA121" s="2"/>
      <c r="JWB121" s="2"/>
      <c r="JWC121" s="5"/>
      <c r="JWD121" s="2"/>
      <c r="JWE121" s="4"/>
      <c r="JWF121" s="2"/>
      <c r="JWG121" s="3"/>
      <c r="JWH121" s="2"/>
      <c r="JWI121" s="2"/>
      <c r="JWJ121" s="5"/>
      <c r="JWK121" s="2"/>
      <c r="JWL121" s="4"/>
      <c r="JWM121" s="2"/>
      <c r="JWN121" s="3"/>
      <c r="JWO121" s="2"/>
      <c r="JWP121" s="2"/>
      <c r="JWQ121" s="5"/>
      <c r="JWR121" s="2"/>
      <c r="JWS121" s="4"/>
      <c r="JWT121" s="2"/>
      <c r="JWU121" s="3"/>
      <c r="JWV121" s="2"/>
      <c r="JWW121" s="2"/>
      <c r="JWX121" s="5"/>
      <c r="JWY121" s="2"/>
      <c r="JWZ121" s="4"/>
      <c r="JXA121" s="2"/>
      <c r="JXB121" s="3"/>
      <c r="JXC121" s="2"/>
      <c r="JXD121" s="2"/>
      <c r="JXE121" s="5"/>
      <c r="JXF121" s="2"/>
      <c r="JXG121" s="4"/>
      <c r="JXH121" s="2"/>
      <c r="JXI121" s="3"/>
      <c r="JXJ121" s="2"/>
      <c r="JXK121" s="2"/>
      <c r="JXL121" s="5"/>
      <c r="JXM121" s="2"/>
      <c r="JXN121" s="4"/>
      <c r="JXO121" s="2"/>
      <c r="JXP121" s="3"/>
      <c r="JXQ121" s="2"/>
      <c r="JXR121" s="2"/>
      <c r="JXS121" s="5"/>
      <c r="JXT121" s="2"/>
      <c r="JXU121" s="4"/>
      <c r="JXV121" s="2"/>
      <c r="JXW121" s="3"/>
      <c r="JXX121" s="2"/>
      <c r="JXY121" s="2"/>
      <c r="JXZ121" s="5"/>
      <c r="JYA121" s="2"/>
      <c r="JYB121" s="4"/>
      <c r="JYC121" s="2"/>
      <c r="JYD121" s="3"/>
      <c r="JYE121" s="2"/>
      <c r="JYF121" s="2"/>
      <c r="JYG121" s="5"/>
      <c r="JYH121" s="2"/>
      <c r="JYI121" s="4"/>
      <c r="JYJ121" s="2"/>
      <c r="JYK121" s="3"/>
      <c r="JYL121" s="2"/>
      <c r="JYM121" s="2"/>
      <c r="JYN121" s="5"/>
      <c r="JYO121" s="2"/>
      <c r="JYP121" s="4"/>
      <c r="JYQ121" s="2"/>
      <c r="JYR121" s="3"/>
      <c r="JYS121" s="2"/>
      <c r="JYT121" s="2"/>
      <c r="JYU121" s="5"/>
      <c r="JYV121" s="2"/>
      <c r="JYW121" s="4"/>
      <c r="JYX121" s="2"/>
      <c r="JYY121" s="3"/>
      <c r="JYZ121" s="2"/>
      <c r="JZA121" s="2"/>
      <c r="JZB121" s="5"/>
      <c r="JZC121" s="2"/>
      <c r="JZD121" s="4"/>
      <c r="JZE121" s="2"/>
      <c r="JZF121" s="3"/>
      <c r="JZG121" s="2"/>
      <c r="JZH121" s="2"/>
      <c r="JZI121" s="5"/>
      <c r="JZJ121" s="2"/>
      <c r="JZK121" s="4"/>
      <c r="JZL121" s="2"/>
      <c r="JZM121" s="3"/>
      <c r="JZN121" s="2"/>
      <c r="JZO121" s="2"/>
      <c r="JZP121" s="5"/>
      <c r="JZQ121" s="2"/>
      <c r="JZR121" s="4"/>
      <c r="JZS121" s="2"/>
      <c r="JZT121" s="3"/>
      <c r="JZU121" s="2"/>
      <c r="JZV121" s="2"/>
      <c r="JZW121" s="5"/>
      <c r="JZX121" s="2"/>
      <c r="JZY121" s="4"/>
      <c r="JZZ121" s="2"/>
      <c r="KAA121" s="3"/>
      <c r="KAB121" s="2"/>
      <c r="KAC121" s="2"/>
      <c r="KAD121" s="5"/>
      <c r="KAE121" s="2"/>
      <c r="KAF121" s="4"/>
      <c r="KAG121" s="2"/>
      <c r="KAH121" s="3"/>
      <c r="KAI121" s="2"/>
      <c r="KAJ121" s="2"/>
      <c r="KAK121" s="5"/>
      <c r="KAL121" s="2"/>
      <c r="KAM121" s="4"/>
      <c r="KAN121" s="2"/>
      <c r="KAO121" s="3"/>
      <c r="KAP121" s="2"/>
      <c r="KAQ121" s="2"/>
      <c r="KAR121" s="5"/>
      <c r="KAS121" s="2"/>
      <c r="KAT121" s="4"/>
      <c r="KAU121" s="2"/>
      <c r="KAV121" s="3"/>
      <c r="KAW121" s="2"/>
      <c r="KAX121" s="2"/>
      <c r="KAY121" s="5"/>
      <c r="KAZ121" s="2"/>
      <c r="KBA121" s="4"/>
      <c r="KBB121" s="2"/>
      <c r="KBC121" s="3"/>
      <c r="KBD121" s="2"/>
      <c r="KBE121" s="2"/>
      <c r="KBF121" s="5"/>
      <c r="KBG121" s="2"/>
      <c r="KBH121" s="4"/>
      <c r="KBI121" s="2"/>
      <c r="KBJ121" s="3"/>
      <c r="KBK121" s="2"/>
      <c r="KBL121" s="2"/>
      <c r="KBM121" s="5"/>
      <c r="KBN121" s="2"/>
      <c r="KBO121" s="4"/>
      <c r="KBP121" s="2"/>
      <c r="KBQ121" s="3"/>
      <c r="KBR121" s="2"/>
      <c r="KBS121" s="2"/>
      <c r="KBT121" s="5"/>
      <c r="KBU121" s="2"/>
      <c r="KBV121" s="4"/>
      <c r="KBW121" s="2"/>
      <c r="KBX121" s="3"/>
      <c r="KBY121" s="2"/>
      <c r="KBZ121" s="2"/>
      <c r="KCA121" s="5"/>
      <c r="KCB121" s="2"/>
      <c r="KCC121" s="4"/>
      <c r="KCD121" s="2"/>
      <c r="KCE121" s="3"/>
      <c r="KCF121" s="2"/>
      <c r="KCG121" s="2"/>
      <c r="KCH121" s="5"/>
      <c r="KCI121" s="2"/>
      <c r="KCJ121" s="4"/>
      <c r="KCK121" s="2"/>
      <c r="KCL121" s="3"/>
      <c r="KCM121" s="2"/>
      <c r="KCN121" s="2"/>
      <c r="KCO121" s="5"/>
      <c r="KCP121" s="2"/>
      <c r="KCQ121" s="4"/>
      <c r="KCR121" s="2"/>
      <c r="KCS121" s="3"/>
      <c r="KCT121" s="2"/>
      <c r="KCU121" s="2"/>
      <c r="KCV121" s="5"/>
      <c r="KCW121" s="2"/>
      <c r="KCX121" s="4"/>
      <c r="KCY121" s="2"/>
      <c r="KCZ121" s="3"/>
      <c r="KDA121" s="2"/>
      <c r="KDB121" s="2"/>
      <c r="KDC121" s="5"/>
      <c r="KDD121" s="2"/>
      <c r="KDE121" s="4"/>
      <c r="KDF121" s="2"/>
      <c r="KDG121" s="3"/>
      <c r="KDH121" s="2"/>
      <c r="KDI121" s="2"/>
      <c r="KDJ121" s="5"/>
      <c r="KDK121" s="2"/>
      <c r="KDL121" s="4"/>
      <c r="KDM121" s="2"/>
      <c r="KDN121" s="3"/>
      <c r="KDO121" s="2"/>
      <c r="KDP121" s="2"/>
      <c r="KDQ121" s="5"/>
      <c r="KDR121" s="2"/>
      <c r="KDS121" s="4"/>
      <c r="KDT121" s="2"/>
      <c r="KDU121" s="3"/>
      <c r="KDV121" s="2"/>
      <c r="KDW121" s="2"/>
      <c r="KDX121" s="5"/>
      <c r="KDY121" s="2"/>
      <c r="KDZ121" s="4"/>
      <c r="KEA121" s="2"/>
      <c r="KEB121" s="3"/>
      <c r="KEC121" s="2"/>
      <c r="KED121" s="2"/>
      <c r="KEE121" s="5"/>
      <c r="KEF121" s="2"/>
      <c r="KEG121" s="4"/>
      <c r="KEH121" s="2"/>
      <c r="KEI121" s="3"/>
      <c r="KEJ121" s="2"/>
      <c r="KEK121" s="2"/>
      <c r="KEL121" s="5"/>
      <c r="KEM121" s="2"/>
      <c r="KEN121" s="4"/>
      <c r="KEO121" s="2"/>
      <c r="KEP121" s="3"/>
      <c r="KEQ121" s="2"/>
      <c r="KER121" s="2"/>
      <c r="KES121" s="5"/>
      <c r="KET121" s="2"/>
      <c r="KEU121" s="4"/>
      <c r="KEV121" s="2"/>
      <c r="KEW121" s="3"/>
      <c r="KEX121" s="2"/>
      <c r="KEY121" s="2"/>
      <c r="KEZ121" s="5"/>
      <c r="KFA121" s="2"/>
      <c r="KFB121" s="4"/>
      <c r="KFC121" s="2"/>
      <c r="KFD121" s="3"/>
      <c r="KFE121" s="2"/>
      <c r="KFF121" s="2"/>
      <c r="KFG121" s="5"/>
      <c r="KFH121" s="2"/>
      <c r="KFI121" s="4"/>
      <c r="KFJ121" s="2"/>
      <c r="KFK121" s="3"/>
      <c r="KFL121" s="2"/>
      <c r="KFM121" s="2"/>
      <c r="KFN121" s="5"/>
      <c r="KFO121" s="2"/>
      <c r="KFP121" s="4"/>
      <c r="KFQ121" s="2"/>
      <c r="KFR121" s="3"/>
      <c r="KFS121" s="2"/>
      <c r="KFT121" s="2"/>
      <c r="KFU121" s="5"/>
      <c r="KFV121" s="2"/>
      <c r="KFW121" s="4"/>
      <c r="KFX121" s="2"/>
      <c r="KFY121" s="3"/>
      <c r="KFZ121" s="2"/>
      <c r="KGA121" s="2"/>
      <c r="KGB121" s="5"/>
      <c r="KGC121" s="2"/>
      <c r="KGD121" s="4"/>
      <c r="KGE121" s="2"/>
      <c r="KGF121" s="3"/>
      <c r="KGG121" s="2"/>
      <c r="KGH121" s="2"/>
      <c r="KGI121" s="5"/>
      <c r="KGJ121" s="2"/>
      <c r="KGK121" s="4"/>
      <c r="KGL121" s="2"/>
      <c r="KGM121" s="3"/>
      <c r="KGN121" s="2"/>
      <c r="KGO121" s="2"/>
      <c r="KGP121" s="5"/>
      <c r="KGQ121" s="2"/>
      <c r="KGR121" s="4"/>
      <c r="KGS121" s="2"/>
      <c r="KGT121" s="3"/>
      <c r="KGU121" s="2"/>
      <c r="KGV121" s="2"/>
      <c r="KGW121" s="5"/>
      <c r="KGX121" s="2"/>
      <c r="KGY121" s="4"/>
      <c r="KGZ121" s="2"/>
      <c r="KHA121" s="3"/>
      <c r="KHB121" s="2"/>
      <c r="KHC121" s="2"/>
      <c r="KHD121" s="5"/>
      <c r="KHE121" s="2"/>
      <c r="KHF121" s="4"/>
      <c r="KHG121" s="2"/>
      <c r="KHH121" s="3"/>
      <c r="KHI121" s="2"/>
      <c r="KHJ121" s="2"/>
      <c r="KHK121" s="5"/>
      <c r="KHL121" s="2"/>
      <c r="KHM121" s="4"/>
      <c r="KHN121" s="2"/>
      <c r="KHO121" s="3"/>
      <c r="KHP121" s="2"/>
      <c r="KHQ121" s="2"/>
      <c r="KHR121" s="5"/>
      <c r="KHS121" s="2"/>
      <c r="KHT121" s="4"/>
      <c r="KHU121" s="2"/>
      <c r="KHV121" s="3"/>
      <c r="KHW121" s="2"/>
      <c r="KHX121" s="2"/>
      <c r="KHY121" s="5"/>
      <c r="KHZ121" s="2"/>
      <c r="KIA121" s="4"/>
      <c r="KIB121" s="2"/>
      <c r="KIC121" s="3"/>
      <c r="KID121" s="2"/>
      <c r="KIE121" s="2"/>
      <c r="KIF121" s="5"/>
      <c r="KIG121" s="2"/>
      <c r="KIH121" s="4"/>
      <c r="KII121" s="2"/>
      <c r="KIJ121" s="3"/>
      <c r="KIK121" s="2"/>
      <c r="KIL121" s="2"/>
      <c r="KIM121" s="5"/>
      <c r="KIN121" s="2"/>
      <c r="KIO121" s="4"/>
      <c r="KIP121" s="2"/>
      <c r="KIQ121" s="3"/>
      <c r="KIR121" s="2"/>
      <c r="KIS121" s="2"/>
      <c r="KIT121" s="5"/>
      <c r="KIU121" s="2"/>
      <c r="KIV121" s="4"/>
      <c r="KIW121" s="2"/>
      <c r="KIX121" s="3"/>
      <c r="KIY121" s="2"/>
      <c r="KIZ121" s="2"/>
      <c r="KJA121" s="5"/>
      <c r="KJB121" s="2"/>
      <c r="KJC121" s="4"/>
      <c r="KJD121" s="2"/>
      <c r="KJE121" s="3"/>
      <c r="KJF121" s="2"/>
      <c r="KJG121" s="2"/>
      <c r="KJH121" s="5"/>
      <c r="KJI121" s="2"/>
      <c r="KJJ121" s="4"/>
      <c r="KJK121" s="2"/>
      <c r="KJL121" s="3"/>
      <c r="KJM121" s="2"/>
      <c r="KJN121" s="2"/>
      <c r="KJO121" s="5"/>
      <c r="KJP121" s="2"/>
      <c r="KJQ121" s="4"/>
      <c r="KJR121" s="2"/>
      <c r="KJS121" s="3"/>
      <c r="KJT121" s="2"/>
      <c r="KJU121" s="2"/>
      <c r="KJV121" s="5"/>
      <c r="KJW121" s="2"/>
      <c r="KJX121" s="4"/>
      <c r="KJY121" s="2"/>
      <c r="KJZ121" s="3"/>
      <c r="KKA121" s="2"/>
      <c r="KKB121" s="2"/>
      <c r="KKC121" s="5"/>
      <c r="KKD121" s="2"/>
      <c r="KKE121" s="4"/>
      <c r="KKF121" s="2"/>
      <c r="KKG121" s="3"/>
      <c r="KKH121" s="2"/>
      <c r="KKI121" s="2"/>
      <c r="KKJ121" s="5"/>
      <c r="KKK121" s="2"/>
      <c r="KKL121" s="4"/>
      <c r="KKM121" s="2"/>
      <c r="KKN121" s="3"/>
      <c r="KKO121" s="2"/>
      <c r="KKP121" s="2"/>
      <c r="KKQ121" s="5"/>
      <c r="KKR121" s="2"/>
      <c r="KKS121" s="4"/>
      <c r="KKT121" s="2"/>
      <c r="KKU121" s="3"/>
      <c r="KKV121" s="2"/>
      <c r="KKW121" s="2"/>
      <c r="KKX121" s="5"/>
      <c r="KKY121" s="2"/>
      <c r="KKZ121" s="4"/>
      <c r="KLA121" s="2"/>
      <c r="KLB121" s="3"/>
      <c r="KLC121" s="2"/>
      <c r="KLD121" s="2"/>
      <c r="KLE121" s="5"/>
      <c r="KLF121" s="2"/>
      <c r="KLG121" s="4"/>
      <c r="KLH121" s="2"/>
      <c r="KLI121" s="3"/>
      <c r="KLJ121" s="2"/>
      <c r="KLK121" s="2"/>
      <c r="KLL121" s="5"/>
      <c r="KLM121" s="2"/>
      <c r="KLN121" s="4"/>
      <c r="KLO121" s="2"/>
      <c r="KLP121" s="3"/>
      <c r="KLQ121" s="2"/>
      <c r="KLR121" s="2"/>
      <c r="KLS121" s="5"/>
      <c r="KLT121" s="2"/>
      <c r="KLU121" s="4"/>
      <c r="KLV121" s="2"/>
      <c r="KLW121" s="3"/>
      <c r="KLX121" s="2"/>
      <c r="KLY121" s="2"/>
      <c r="KLZ121" s="5"/>
      <c r="KMA121" s="2"/>
      <c r="KMB121" s="4"/>
      <c r="KMC121" s="2"/>
      <c r="KMD121" s="3"/>
      <c r="KME121" s="2"/>
      <c r="KMF121" s="2"/>
      <c r="KMG121" s="5"/>
      <c r="KMH121" s="2"/>
      <c r="KMI121" s="4"/>
      <c r="KMJ121" s="2"/>
      <c r="KMK121" s="3"/>
      <c r="KML121" s="2"/>
      <c r="KMM121" s="2"/>
      <c r="KMN121" s="5"/>
      <c r="KMO121" s="2"/>
      <c r="KMP121" s="4"/>
      <c r="KMQ121" s="2"/>
      <c r="KMR121" s="3"/>
      <c r="KMS121" s="2"/>
      <c r="KMT121" s="2"/>
      <c r="KMU121" s="5"/>
      <c r="KMV121" s="2"/>
      <c r="KMW121" s="4"/>
      <c r="KMX121" s="2"/>
      <c r="KMY121" s="3"/>
      <c r="KMZ121" s="2"/>
      <c r="KNA121" s="2"/>
      <c r="KNB121" s="5"/>
      <c r="KNC121" s="2"/>
      <c r="KND121" s="4"/>
      <c r="KNE121" s="2"/>
      <c r="KNF121" s="3"/>
      <c r="KNG121" s="2"/>
      <c r="KNH121" s="2"/>
      <c r="KNI121" s="5"/>
      <c r="KNJ121" s="2"/>
      <c r="KNK121" s="4"/>
      <c r="KNL121" s="2"/>
      <c r="KNM121" s="3"/>
      <c r="KNN121" s="2"/>
      <c r="KNO121" s="2"/>
      <c r="KNP121" s="5"/>
      <c r="KNQ121" s="2"/>
      <c r="KNR121" s="4"/>
      <c r="KNS121" s="2"/>
      <c r="KNT121" s="3"/>
      <c r="KNU121" s="2"/>
      <c r="KNV121" s="2"/>
      <c r="KNW121" s="5"/>
      <c r="KNX121" s="2"/>
      <c r="KNY121" s="4"/>
      <c r="KNZ121" s="2"/>
      <c r="KOA121" s="3"/>
      <c r="KOB121" s="2"/>
      <c r="KOC121" s="2"/>
      <c r="KOD121" s="5"/>
      <c r="KOE121" s="2"/>
      <c r="KOF121" s="4"/>
      <c r="KOG121" s="2"/>
      <c r="KOH121" s="3"/>
      <c r="KOI121" s="2"/>
      <c r="KOJ121" s="2"/>
      <c r="KOK121" s="5"/>
      <c r="KOL121" s="2"/>
      <c r="KOM121" s="4"/>
      <c r="KON121" s="2"/>
      <c r="KOO121" s="3"/>
      <c r="KOP121" s="2"/>
      <c r="KOQ121" s="2"/>
      <c r="KOR121" s="5"/>
      <c r="KOS121" s="2"/>
      <c r="KOT121" s="4"/>
      <c r="KOU121" s="2"/>
      <c r="KOV121" s="3"/>
      <c r="KOW121" s="2"/>
      <c r="KOX121" s="2"/>
      <c r="KOY121" s="5"/>
      <c r="KOZ121" s="2"/>
      <c r="KPA121" s="4"/>
      <c r="KPB121" s="2"/>
      <c r="KPC121" s="3"/>
      <c r="KPD121" s="2"/>
      <c r="KPE121" s="2"/>
      <c r="KPF121" s="5"/>
      <c r="KPG121" s="2"/>
      <c r="KPH121" s="4"/>
      <c r="KPI121" s="2"/>
      <c r="KPJ121" s="3"/>
      <c r="KPK121" s="2"/>
      <c r="KPL121" s="2"/>
      <c r="KPM121" s="5"/>
      <c r="KPN121" s="2"/>
      <c r="KPO121" s="4"/>
      <c r="KPP121" s="2"/>
      <c r="KPQ121" s="3"/>
      <c r="KPR121" s="2"/>
      <c r="KPS121" s="2"/>
      <c r="KPT121" s="5"/>
      <c r="KPU121" s="2"/>
      <c r="KPV121" s="4"/>
      <c r="KPW121" s="2"/>
      <c r="KPX121" s="3"/>
      <c r="KPY121" s="2"/>
      <c r="KPZ121" s="2"/>
      <c r="KQA121" s="5"/>
      <c r="KQB121" s="2"/>
      <c r="KQC121" s="4"/>
      <c r="KQD121" s="2"/>
      <c r="KQE121" s="3"/>
      <c r="KQF121" s="2"/>
      <c r="KQG121" s="2"/>
      <c r="KQH121" s="5"/>
      <c r="KQI121" s="2"/>
      <c r="KQJ121" s="4"/>
      <c r="KQK121" s="2"/>
      <c r="KQL121" s="3"/>
      <c r="KQM121" s="2"/>
      <c r="KQN121" s="2"/>
      <c r="KQO121" s="5"/>
      <c r="KQP121" s="2"/>
      <c r="KQQ121" s="4"/>
      <c r="KQR121" s="2"/>
      <c r="KQS121" s="3"/>
      <c r="KQT121" s="2"/>
      <c r="KQU121" s="2"/>
      <c r="KQV121" s="5"/>
      <c r="KQW121" s="2"/>
      <c r="KQX121" s="4"/>
      <c r="KQY121" s="2"/>
      <c r="KQZ121" s="3"/>
      <c r="KRA121" s="2"/>
      <c r="KRB121" s="2"/>
      <c r="KRC121" s="5"/>
      <c r="KRD121" s="2"/>
      <c r="KRE121" s="4"/>
      <c r="KRF121" s="2"/>
      <c r="KRG121" s="3"/>
      <c r="KRH121" s="2"/>
      <c r="KRI121" s="2"/>
      <c r="KRJ121" s="5"/>
      <c r="KRK121" s="2"/>
      <c r="KRL121" s="4"/>
      <c r="KRM121" s="2"/>
      <c r="KRN121" s="3"/>
      <c r="KRO121" s="2"/>
      <c r="KRP121" s="2"/>
      <c r="KRQ121" s="5"/>
      <c r="KRR121" s="2"/>
      <c r="KRS121" s="4"/>
      <c r="KRT121" s="2"/>
      <c r="KRU121" s="3"/>
      <c r="KRV121" s="2"/>
      <c r="KRW121" s="2"/>
      <c r="KRX121" s="5"/>
      <c r="KRY121" s="2"/>
      <c r="KRZ121" s="4"/>
      <c r="KSA121" s="2"/>
      <c r="KSB121" s="3"/>
      <c r="KSC121" s="2"/>
      <c r="KSD121" s="2"/>
      <c r="KSE121" s="5"/>
      <c r="KSF121" s="2"/>
      <c r="KSG121" s="4"/>
      <c r="KSH121" s="2"/>
      <c r="KSI121" s="3"/>
      <c r="KSJ121" s="2"/>
      <c r="KSK121" s="2"/>
      <c r="KSL121" s="5"/>
      <c r="KSM121" s="2"/>
      <c r="KSN121" s="4"/>
      <c r="KSO121" s="2"/>
      <c r="KSP121" s="3"/>
      <c r="KSQ121" s="2"/>
      <c r="KSR121" s="2"/>
      <c r="KSS121" s="5"/>
      <c r="KST121" s="2"/>
      <c r="KSU121" s="4"/>
      <c r="KSV121" s="2"/>
      <c r="KSW121" s="3"/>
      <c r="KSX121" s="2"/>
      <c r="KSY121" s="2"/>
      <c r="KSZ121" s="5"/>
      <c r="KTA121" s="2"/>
      <c r="KTB121" s="4"/>
      <c r="KTC121" s="2"/>
      <c r="KTD121" s="3"/>
      <c r="KTE121" s="2"/>
      <c r="KTF121" s="2"/>
      <c r="KTG121" s="5"/>
      <c r="KTH121" s="2"/>
      <c r="KTI121" s="4"/>
      <c r="KTJ121" s="2"/>
      <c r="KTK121" s="3"/>
      <c r="KTL121" s="2"/>
      <c r="KTM121" s="2"/>
      <c r="KTN121" s="5"/>
      <c r="KTO121" s="2"/>
      <c r="KTP121" s="4"/>
      <c r="KTQ121" s="2"/>
      <c r="KTR121" s="3"/>
      <c r="KTS121" s="2"/>
      <c r="KTT121" s="2"/>
      <c r="KTU121" s="5"/>
      <c r="KTV121" s="2"/>
      <c r="KTW121" s="4"/>
      <c r="KTX121" s="2"/>
      <c r="KTY121" s="3"/>
      <c r="KTZ121" s="2"/>
      <c r="KUA121" s="2"/>
      <c r="KUB121" s="5"/>
      <c r="KUC121" s="2"/>
      <c r="KUD121" s="4"/>
      <c r="KUE121" s="2"/>
      <c r="KUF121" s="3"/>
      <c r="KUG121" s="2"/>
      <c r="KUH121" s="2"/>
      <c r="KUI121" s="5"/>
      <c r="KUJ121" s="2"/>
      <c r="KUK121" s="4"/>
      <c r="KUL121" s="2"/>
      <c r="KUM121" s="3"/>
      <c r="KUN121" s="2"/>
      <c r="KUO121" s="2"/>
      <c r="KUP121" s="5"/>
      <c r="KUQ121" s="2"/>
      <c r="KUR121" s="4"/>
      <c r="KUS121" s="2"/>
      <c r="KUT121" s="3"/>
      <c r="KUU121" s="2"/>
      <c r="KUV121" s="2"/>
      <c r="KUW121" s="5"/>
      <c r="KUX121" s="2"/>
      <c r="KUY121" s="4"/>
      <c r="KUZ121" s="2"/>
      <c r="KVA121" s="3"/>
      <c r="KVB121" s="2"/>
      <c r="KVC121" s="2"/>
      <c r="KVD121" s="5"/>
      <c r="KVE121" s="2"/>
      <c r="KVF121" s="4"/>
      <c r="KVG121" s="2"/>
      <c r="KVH121" s="3"/>
      <c r="KVI121" s="2"/>
      <c r="KVJ121" s="2"/>
      <c r="KVK121" s="5"/>
      <c r="KVL121" s="2"/>
      <c r="KVM121" s="4"/>
      <c r="KVN121" s="2"/>
      <c r="KVO121" s="3"/>
      <c r="KVP121" s="2"/>
      <c r="KVQ121" s="2"/>
      <c r="KVR121" s="5"/>
      <c r="KVS121" s="2"/>
      <c r="KVT121" s="4"/>
      <c r="KVU121" s="2"/>
      <c r="KVV121" s="3"/>
      <c r="KVW121" s="2"/>
      <c r="KVX121" s="2"/>
      <c r="KVY121" s="5"/>
      <c r="KVZ121" s="2"/>
      <c r="KWA121" s="4"/>
      <c r="KWB121" s="2"/>
      <c r="KWC121" s="3"/>
      <c r="KWD121" s="2"/>
      <c r="KWE121" s="2"/>
      <c r="KWF121" s="5"/>
      <c r="KWG121" s="2"/>
      <c r="KWH121" s="4"/>
      <c r="KWI121" s="2"/>
      <c r="KWJ121" s="3"/>
      <c r="KWK121" s="2"/>
      <c r="KWL121" s="2"/>
      <c r="KWM121" s="5"/>
      <c r="KWN121" s="2"/>
      <c r="KWO121" s="4"/>
      <c r="KWP121" s="2"/>
      <c r="KWQ121" s="3"/>
      <c r="KWR121" s="2"/>
      <c r="KWS121" s="2"/>
      <c r="KWT121" s="5"/>
      <c r="KWU121" s="2"/>
      <c r="KWV121" s="4"/>
      <c r="KWW121" s="2"/>
      <c r="KWX121" s="3"/>
      <c r="KWY121" s="2"/>
      <c r="KWZ121" s="2"/>
      <c r="KXA121" s="5"/>
      <c r="KXB121" s="2"/>
      <c r="KXC121" s="4"/>
      <c r="KXD121" s="2"/>
      <c r="KXE121" s="3"/>
      <c r="KXF121" s="2"/>
      <c r="KXG121" s="2"/>
      <c r="KXH121" s="5"/>
      <c r="KXI121" s="2"/>
      <c r="KXJ121" s="4"/>
      <c r="KXK121" s="2"/>
      <c r="KXL121" s="3"/>
      <c r="KXM121" s="2"/>
      <c r="KXN121" s="2"/>
      <c r="KXO121" s="5"/>
      <c r="KXP121" s="2"/>
      <c r="KXQ121" s="4"/>
      <c r="KXR121" s="2"/>
      <c r="KXS121" s="3"/>
      <c r="KXT121" s="2"/>
      <c r="KXU121" s="2"/>
      <c r="KXV121" s="5"/>
      <c r="KXW121" s="2"/>
      <c r="KXX121" s="4"/>
      <c r="KXY121" s="2"/>
      <c r="KXZ121" s="3"/>
      <c r="KYA121" s="2"/>
      <c r="KYB121" s="2"/>
      <c r="KYC121" s="5"/>
      <c r="KYD121" s="2"/>
      <c r="KYE121" s="4"/>
      <c r="KYF121" s="2"/>
      <c r="KYG121" s="3"/>
      <c r="KYH121" s="2"/>
      <c r="KYI121" s="2"/>
      <c r="KYJ121" s="5"/>
      <c r="KYK121" s="2"/>
      <c r="KYL121" s="4"/>
      <c r="KYM121" s="2"/>
      <c r="KYN121" s="3"/>
      <c r="KYO121" s="2"/>
      <c r="KYP121" s="2"/>
      <c r="KYQ121" s="5"/>
      <c r="KYR121" s="2"/>
      <c r="KYS121" s="4"/>
      <c r="KYT121" s="2"/>
      <c r="KYU121" s="3"/>
      <c r="KYV121" s="2"/>
      <c r="KYW121" s="2"/>
      <c r="KYX121" s="5"/>
      <c r="KYY121" s="2"/>
      <c r="KYZ121" s="4"/>
      <c r="KZA121" s="2"/>
      <c r="KZB121" s="3"/>
      <c r="KZC121" s="2"/>
      <c r="KZD121" s="2"/>
      <c r="KZE121" s="5"/>
      <c r="KZF121" s="2"/>
      <c r="KZG121" s="4"/>
      <c r="KZH121" s="2"/>
      <c r="KZI121" s="3"/>
      <c r="KZJ121" s="2"/>
      <c r="KZK121" s="2"/>
      <c r="KZL121" s="5"/>
      <c r="KZM121" s="2"/>
      <c r="KZN121" s="4"/>
      <c r="KZO121" s="2"/>
      <c r="KZP121" s="3"/>
      <c r="KZQ121" s="2"/>
      <c r="KZR121" s="2"/>
      <c r="KZS121" s="5"/>
      <c r="KZT121" s="2"/>
      <c r="KZU121" s="4"/>
      <c r="KZV121" s="2"/>
      <c r="KZW121" s="3"/>
      <c r="KZX121" s="2"/>
      <c r="KZY121" s="2"/>
      <c r="KZZ121" s="5"/>
      <c r="LAA121" s="2"/>
      <c r="LAB121" s="4"/>
      <c r="LAC121" s="2"/>
      <c r="LAD121" s="3"/>
      <c r="LAE121" s="2"/>
      <c r="LAF121" s="2"/>
      <c r="LAG121" s="5"/>
      <c r="LAH121" s="2"/>
      <c r="LAI121" s="4"/>
      <c r="LAJ121" s="2"/>
      <c r="LAK121" s="3"/>
      <c r="LAL121" s="2"/>
      <c r="LAM121" s="2"/>
      <c r="LAN121" s="5"/>
      <c r="LAO121" s="2"/>
      <c r="LAP121" s="4"/>
      <c r="LAQ121" s="2"/>
      <c r="LAR121" s="3"/>
      <c r="LAS121" s="2"/>
      <c r="LAT121" s="2"/>
      <c r="LAU121" s="5"/>
      <c r="LAV121" s="2"/>
      <c r="LAW121" s="4"/>
      <c r="LAX121" s="2"/>
      <c r="LAY121" s="3"/>
      <c r="LAZ121" s="2"/>
      <c r="LBA121" s="2"/>
      <c r="LBB121" s="5"/>
      <c r="LBC121" s="2"/>
      <c r="LBD121" s="4"/>
      <c r="LBE121" s="2"/>
      <c r="LBF121" s="3"/>
      <c r="LBG121" s="2"/>
      <c r="LBH121" s="2"/>
      <c r="LBI121" s="5"/>
      <c r="LBJ121" s="2"/>
      <c r="LBK121" s="4"/>
      <c r="LBL121" s="2"/>
      <c r="LBM121" s="3"/>
      <c r="LBN121" s="2"/>
      <c r="LBO121" s="2"/>
      <c r="LBP121" s="5"/>
      <c r="LBQ121" s="2"/>
      <c r="LBR121" s="4"/>
      <c r="LBS121" s="2"/>
      <c r="LBT121" s="3"/>
      <c r="LBU121" s="2"/>
      <c r="LBV121" s="2"/>
      <c r="LBW121" s="5"/>
      <c r="LBX121" s="2"/>
      <c r="LBY121" s="4"/>
      <c r="LBZ121" s="2"/>
      <c r="LCA121" s="3"/>
      <c r="LCB121" s="2"/>
      <c r="LCC121" s="2"/>
      <c r="LCD121" s="5"/>
      <c r="LCE121" s="2"/>
      <c r="LCF121" s="4"/>
      <c r="LCG121" s="2"/>
      <c r="LCH121" s="3"/>
      <c r="LCI121" s="2"/>
      <c r="LCJ121" s="2"/>
      <c r="LCK121" s="5"/>
      <c r="LCL121" s="2"/>
      <c r="LCM121" s="4"/>
      <c r="LCN121" s="2"/>
      <c r="LCO121" s="3"/>
      <c r="LCP121" s="2"/>
      <c r="LCQ121" s="2"/>
      <c r="LCR121" s="5"/>
      <c r="LCS121" s="2"/>
      <c r="LCT121" s="4"/>
      <c r="LCU121" s="2"/>
      <c r="LCV121" s="3"/>
      <c r="LCW121" s="2"/>
      <c r="LCX121" s="2"/>
      <c r="LCY121" s="5"/>
      <c r="LCZ121" s="2"/>
      <c r="LDA121" s="4"/>
      <c r="LDB121" s="2"/>
      <c r="LDC121" s="3"/>
      <c r="LDD121" s="2"/>
      <c r="LDE121" s="2"/>
      <c r="LDF121" s="5"/>
      <c r="LDG121" s="2"/>
      <c r="LDH121" s="4"/>
      <c r="LDI121" s="2"/>
      <c r="LDJ121" s="3"/>
      <c r="LDK121" s="2"/>
      <c r="LDL121" s="2"/>
      <c r="LDM121" s="5"/>
      <c r="LDN121" s="2"/>
      <c r="LDO121" s="4"/>
      <c r="LDP121" s="2"/>
      <c r="LDQ121" s="3"/>
      <c r="LDR121" s="2"/>
      <c r="LDS121" s="2"/>
      <c r="LDT121" s="5"/>
      <c r="LDU121" s="2"/>
      <c r="LDV121" s="4"/>
      <c r="LDW121" s="2"/>
      <c r="LDX121" s="3"/>
      <c r="LDY121" s="2"/>
      <c r="LDZ121" s="2"/>
      <c r="LEA121" s="5"/>
      <c r="LEB121" s="2"/>
      <c r="LEC121" s="4"/>
      <c r="LED121" s="2"/>
      <c r="LEE121" s="3"/>
      <c r="LEF121" s="2"/>
      <c r="LEG121" s="2"/>
      <c r="LEH121" s="5"/>
      <c r="LEI121" s="2"/>
      <c r="LEJ121" s="4"/>
      <c r="LEK121" s="2"/>
      <c r="LEL121" s="3"/>
      <c r="LEM121" s="2"/>
      <c r="LEN121" s="2"/>
      <c r="LEO121" s="5"/>
      <c r="LEP121" s="2"/>
      <c r="LEQ121" s="4"/>
      <c r="LER121" s="2"/>
      <c r="LES121" s="3"/>
      <c r="LET121" s="2"/>
      <c r="LEU121" s="2"/>
      <c r="LEV121" s="5"/>
      <c r="LEW121" s="2"/>
      <c r="LEX121" s="4"/>
      <c r="LEY121" s="2"/>
      <c r="LEZ121" s="3"/>
      <c r="LFA121" s="2"/>
      <c r="LFB121" s="2"/>
      <c r="LFC121" s="5"/>
      <c r="LFD121" s="2"/>
      <c r="LFE121" s="4"/>
      <c r="LFF121" s="2"/>
      <c r="LFG121" s="3"/>
      <c r="LFH121" s="2"/>
      <c r="LFI121" s="2"/>
      <c r="LFJ121" s="5"/>
      <c r="LFK121" s="2"/>
      <c r="LFL121" s="4"/>
      <c r="LFM121" s="2"/>
      <c r="LFN121" s="3"/>
      <c r="LFO121" s="2"/>
      <c r="LFP121" s="2"/>
      <c r="LFQ121" s="5"/>
      <c r="LFR121" s="2"/>
      <c r="LFS121" s="4"/>
      <c r="LFT121" s="2"/>
      <c r="LFU121" s="3"/>
      <c r="LFV121" s="2"/>
      <c r="LFW121" s="2"/>
      <c r="LFX121" s="5"/>
      <c r="LFY121" s="2"/>
      <c r="LFZ121" s="4"/>
      <c r="LGA121" s="2"/>
      <c r="LGB121" s="3"/>
      <c r="LGC121" s="2"/>
      <c r="LGD121" s="2"/>
      <c r="LGE121" s="5"/>
      <c r="LGF121" s="2"/>
      <c r="LGG121" s="4"/>
      <c r="LGH121" s="2"/>
      <c r="LGI121" s="3"/>
      <c r="LGJ121" s="2"/>
      <c r="LGK121" s="2"/>
      <c r="LGL121" s="5"/>
      <c r="LGM121" s="2"/>
      <c r="LGN121" s="4"/>
      <c r="LGO121" s="2"/>
      <c r="LGP121" s="3"/>
      <c r="LGQ121" s="2"/>
      <c r="LGR121" s="2"/>
      <c r="LGS121" s="5"/>
      <c r="LGT121" s="2"/>
      <c r="LGU121" s="4"/>
      <c r="LGV121" s="2"/>
      <c r="LGW121" s="3"/>
      <c r="LGX121" s="2"/>
      <c r="LGY121" s="2"/>
      <c r="LGZ121" s="5"/>
      <c r="LHA121" s="2"/>
      <c r="LHB121" s="4"/>
      <c r="LHC121" s="2"/>
      <c r="LHD121" s="3"/>
      <c r="LHE121" s="2"/>
      <c r="LHF121" s="2"/>
      <c r="LHG121" s="5"/>
      <c r="LHH121" s="2"/>
      <c r="LHI121" s="4"/>
      <c r="LHJ121" s="2"/>
      <c r="LHK121" s="3"/>
      <c r="LHL121" s="2"/>
      <c r="LHM121" s="2"/>
      <c r="LHN121" s="5"/>
      <c r="LHO121" s="2"/>
      <c r="LHP121" s="4"/>
      <c r="LHQ121" s="2"/>
      <c r="LHR121" s="3"/>
      <c r="LHS121" s="2"/>
      <c r="LHT121" s="2"/>
      <c r="LHU121" s="5"/>
      <c r="LHV121" s="2"/>
      <c r="LHW121" s="4"/>
      <c r="LHX121" s="2"/>
      <c r="LHY121" s="3"/>
      <c r="LHZ121" s="2"/>
      <c r="LIA121" s="2"/>
      <c r="LIB121" s="5"/>
      <c r="LIC121" s="2"/>
      <c r="LID121" s="4"/>
      <c r="LIE121" s="2"/>
      <c r="LIF121" s="3"/>
      <c r="LIG121" s="2"/>
      <c r="LIH121" s="2"/>
      <c r="LII121" s="5"/>
      <c r="LIJ121" s="2"/>
      <c r="LIK121" s="4"/>
      <c r="LIL121" s="2"/>
      <c r="LIM121" s="3"/>
      <c r="LIN121" s="2"/>
      <c r="LIO121" s="2"/>
      <c r="LIP121" s="5"/>
      <c r="LIQ121" s="2"/>
      <c r="LIR121" s="4"/>
      <c r="LIS121" s="2"/>
      <c r="LIT121" s="3"/>
      <c r="LIU121" s="2"/>
      <c r="LIV121" s="2"/>
      <c r="LIW121" s="5"/>
      <c r="LIX121" s="2"/>
      <c r="LIY121" s="4"/>
      <c r="LIZ121" s="2"/>
      <c r="LJA121" s="3"/>
      <c r="LJB121" s="2"/>
      <c r="LJC121" s="2"/>
      <c r="LJD121" s="5"/>
      <c r="LJE121" s="2"/>
      <c r="LJF121" s="4"/>
      <c r="LJG121" s="2"/>
      <c r="LJH121" s="3"/>
      <c r="LJI121" s="2"/>
      <c r="LJJ121" s="2"/>
      <c r="LJK121" s="5"/>
      <c r="LJL121" s="2"/>
      <c r="LJM121" s="4"/>
      <c r="LJN121" s="2"/>
      <c r="LJO121" s="3"/>
      <c r="LJP121" s="2"/>
      <c r="LJQ121" s="2"/>
      <c r="LJR121" s="5"/>
      <c r="LJS121" s="2"/>
      <c r="LJT121" s="4"/>
      <c r="LJU121" s="2"/>
      <c r="LJV121" s="3"/>
      <c r="LJW121" s="2"/>
      <c r="LJX121" s="2"/>
      <c r="LJY121" s="5"/>
      <c r="LJZ121" s="2"/>
      <c r="LKA121" s="4"/>
      <c r="LKB121" s="2"/>
      <c r="LKC121" s="3"/>
      <c r="LKD121" s="2"/>
      <c r="LKE121" s="2"/>
      <c r="LKF121" s="5"/>
      <c r="LKG121" s="2"/>
      <c r="LKH121" s="4"/>
      <c r="LKI121" s="2"/>
      <c r="LKJ121" s="3"/>
      <c r="LKK121" s="2"/>
      <c r="LKL121" s="2"/>
      <c r="LKM121" s="5"/>
      <c r="LKN121" s="2"/>
      <c r="LKO121" s="4"/>
      <c r="LKP121" s="2"/>
      <c r="LKQ121" s="3"/>
      <c r="LKR121" s="2"/>
      <c r="LKS121" s="2"/>
      <c r="LKT121" s="5"/>
      <c r="LKU121" s="2"/>
      <c r="LKV121" s="4"/>
      <c r="LKW121" s="2"/>
      <c r="LKX121" s="3"/>
      <c r="LKY121" s="2"/>
      <c r="LKZ121" s="2"/>
      <c r="LLA121" s="5"/>
      <c r="LLB121" s="2"/>
      <c r="LLC121" s="4"/>
      <c r="LLD121" s="2"/>
      <c r="LLE121" s="3"/>
      <c r="LLF121" s="2"/>
      <c r="LLG121" s="2"/>
      <c r="LLH121" s="5"/>
      <c r="LLI121" s="2"/>
      <c r="LLJ121" s="4"/>
      <c r="LLK121" s="2"/>
      <c r="LLL121" s="3"/>
      <c r="LLM121" s="2"/>
      <c r="LLN121" s="2"/>
      <c r="LLO121" s="5"/>
      <c r="LLP121" s="2"/>
      <c r="LLQ121" s="4"/>
      <c r="LLR121" s="2"/>
      <c r="LLS121" s="3"/>
      <c r="LLT121" s="2"/>
      <c r="LLU121" s="2"/>
      <c r="LLV121" s="5"/>
      <c r="LLW121" s="2"/>
      <c r="LLX121" s="4"/>
      <c r="LLY121" s="2"/>
      <c r="LLZ121" s="3"/>
      <c r="LMA121" s="2"/>
      <c r="LMB121" s="2"/>
      <c r="LMC121" s="5"/>
      <c r="LMD121" s="2"/>
      <c r="LME121" s="4"/>
      <c r="LMF121" s="2"/>
      <c r="LMG121" s="3"/>
      <c r="LMH121" s="2"/>
      <c r="LMI121" s="2"/>
      <c r="LMJ121" s="5"/>
      <c r="LMK121" s="2"/>
      <c r="LML121" s="4"/>
      <c r="LMM121" s="2"/>
      <c r="LMN121" s="3"/>
      <c r="LMO121" s="2"/>
      <c r="LMP121" s="2"/>
      <c r="LMQ121" s="5"/>
      <c r="LMR121" s="2"/>
      <c r="LMS121" s="4"/>
      <c r="LMT121" s="2"/>
      <c r="LMU121" s="3"/>
      <c r="LMV121" s="2"/>
      <c r="LMW121" s="2"/>
      <c r="LMX121" s="5"/>
      <c r="LMY121" s="2"/>
      <c r="LMZ121" s="4"/>
      <c r="LNA121" s="2"/>
      <c r="LNB121" s="3"/>
      <c r="LNC121" s="2"/>
      <c r="LND121" s="2"/>
      <c r="LNE121" s="5"/>
      <c r="LNF121" s="2"/>
      <c r="LNG121" s="4"/>
      <c r="LNH121" s="2"/>
      <c r="LNI121" s="3"/>
      <c r="LNJ121" s="2"/>
      <c r="LNK121" s="2"/>
      <c r="LNL121" s="5"/>
      <c r="LNM121" s="2"/>
      <c r="LNN121" s="4"/>
      <c r="LNO121" s="2"/>
      <c r="LNP121" s="3"/>
      <c r="LNQ121" s="2"/>
      <c r="LNR121" s="2"/>
      <c r="LNS121" s="5"/>
      <c r="LNT121" s="2"/>
      <c r="LNU121" s="4"/>
      <c r="LNV121" s="2"/>
      <c r="LNW121" s="3"/>
      <c r="LNX121" s="2"/>
      <c r="LNY121" s="2"/>
      <c r="LNZ121" s="5"/>
      <c r="LOA121" s="2"/>
      <c r="LOB121" s="4"/>
      <c r="LOC121" s="2"/>
      <c r="LOD121" s="3"/>
      <c r="LOE121" s="2"/>
      <c r="LOF121" s="2"/>
      <c r="LOG121" s="5"/>
      <c r="LOH121" s="2"/>
      <c r="LOI121" s="4"/>
      <c r="LOJ121" s="2"/>
      <c r="LOK121" s="3"/>
      <c r="LOL121" s="2"/>
      <c r="LOM121" s="2"/>
      <c r="LON121" s="5"/>
      <c r="LOO121" s="2"/>
      <c r="LOP121" s="4"/>
      <c r="LOQ121" s="2"/>
      <c r="LOR121" s="3"/>
      <c r="LOS121" s="2"/>
      <c r="LOT121" s="2"/>
      <c r="LOU121" s="5"/>
      <c r="LOV121" s="2"/>
      <c r="LOW121" s="4"/>
      <c r="LOX121" s="2"/>
      <c r="LOY121" s="3"/>
      <c r="LOZ121" s="2"/>
      <c r="LPA121" s="2"/>
      <c r="LPB121" s="5"/>
      <c r="LPC121" s="2"/>
      <c r="LPD121" s="4"/>
      <c r="LPE121" s="2"/>
      <c r="LPF121" s="3"/>
      <c r="LPG121" s="2"/>
      <c r="LPH121" s="2"/>
      <c r="LPI121" s="5"/>
      <c r="LPJ121" s="2"/>
      <c r="LPK121" s="4"/>
      <c r="LPL121" s="2"/>
      <c r="LPM121" s="3"/>
      <c r="LPN121" s="2"/>
      <c r="LPO121" s="2"/>
      <c r="LPP121" s="5"/>
      <c r="LPQ121" s="2"/>
      <c r="LPR121" s="4"/>
      <c r="LPS121" s="2"/>
      <c r="LPT121" s="3"/>
      <c r="LPU121" s="2"/>
      <c r="LPV121" s="2"/>
      <c r="LPW121" s="5"/>
      <c r="LPX121" s="2"/>
      <c r="LPY121" s="4"/>
      <c r="LPZ121" s="2"/>
      <c r="LQA121" s="3"/>
      <c r="LQB121" s="2"/>
      <c r="LQC121" s="2"/>
      <c r="LQD121" s="5"/>
      <c r="LQE121" s="2"/>
      <c r="LQF121" s="4"/>
      <c r="LQG121" s="2"/>
      <c r="LQH121" s="3"/>
      <c r="LQI121" s="2"/>
      <c r="LQJ121" s="2"/>
      <c r="LQK121" s="5"/>
      <c r="LQL121" s="2"/>
      <c r="LQM121" s="4"/>
      <c r="LQN121" s="2"/>
      <c r="LQO121" s="3"/>
      <c r="LQP121" s="2"/>
      <c r="LQQ121" s="2"/>
      <c r="LQR121" s="5"/>
      <c r="LQS121" s="2"/>
      <c r="LQT121" s="4"/>
      <c r="LQU121" s="2"/>
      <c r="LQV121" s="3"/>
      <c r="LQW121" s="2"/>
      <c r="LQX121" s="2"/>
      <c r="LQY121" s="5"/>
      <c r="LQZ121" s="2"/>
      <c r="LRA121" s="4"/>
      <c r="LRB121" s="2"/>
      <c r="LRC121" s="3"/>
      <c r="LRD121" s="2"/>
      <c r="LRE121" s="2"/>
      <c r="LRF121" s="5"/>
      <c r="LRG121" s="2"/>
      <c r="LRH121" s="4"/>
      <c r="LRI121" s="2"/>
      <c r="LRJ121" s="3"/>
      <c r="LRK121" s="2"/>
      <c r="LRL121" s="2"/>
      <c r="LRM121" s="5"/>
      <c r="LRN121" s="2"/>
      <c r="LRO121" s="4"/>
      <c r="LRP121" s="2"/>
      <c r="LRQ121" s="3"/>
      <c r="LRR121" s="2"/>
      <c r="LRS121" s="2"/>
      <c r="LRT121" s="5"/>
      <c r="LRU121" s="2"/>
      <c r="LRV121" s="4"/>
      <c r="LRW121" s="2"/>
      <c r="LRX121" s="3"/>
      <c r="LRY121" s="2"/>
      <c r="LRZ121" s="2"/>
      <c r="LSA121" s="5"/>
      <c r="LSB121" s="2"/>
      <c r="LSC121" s="4"/>
      <c r="LSD121" s="2"/>
      <c r="LSE121" s="3"/>
      <c r="LSF121" s="2"/>
      <c r="LSG121" s="2"/>
      <c r="LSH121" s="5"/>
      <c r="LSI121" s="2"/>
      <c r="LSJ121" s="4"/>
      <c r="LSK121" s="2"/>
      <c r="LSL121" s="3"/>
      <c r="LSM121" s="2"/>
      <c r="LSN121" s="2"/>
      <c r="LSO121" s="5"/>
      <c r="LSP121" s="2"/>
      <c r="LSQ121" s="4"/>
      <c r="LSR121" s="2"/>
      <c r="LSS121" s="3"/>
      <c r="LST121" s="2"/>
      <c r="LSU121" s="2"/>
      <c r="LSV121" s="5"/>
      <c r="LSW121" s="2"/>
      <c r="LSX121" s="4"/>
      <c r="LSY121" s="2"/>
      <c r="LSZ121" s="3"/>
      <c r="LTA121" s="2"/>
      <c r="LTB121" s="2"/>
      <c r="LTC121" s="5"/>
      <c r="LTD121" s="2"/>
      <c r="LTE121" s="4"/>
      <c r="LTF121" s="2"/>
      <c r="LTG121" s="3"/>
      <c r="LTH121" s="2"/>
      <c r="LTI121" s="2"/>
      <c r="LTJ121" s="5"/>
      <c r="LTK121" s="2"/>
      <c r="LTL121" s="4"/>
      <c r="LTM121" s="2"/>
      <c r="LTN121" s="3"/>
      <c r="LTO121" s="2"/>
      <c r="LTP121" s="2"/>
      <c r="LTQ121" s="5"/>
      <c r="LTR121" s="2"/>
      <c r="LTS121" s="4"/>
      <c r="LTT121" s="2"/>
      <c r="LTU121" s="3"/>
      <c r="LTV121" s="2"/>
      <c r="LTW121" s="2"/>
      <c r="LTX121" s="5"/>
      <c r="LTY121" s="2"/>
      <c r="LTZ121" s="4"/>
      <c r="LUA121" s="2"/>
      <c r="LUB121" s="3"/>
      <c r="LUC121" s="2"/>
      <c r="LUD121" s="2"/>
      <c r="LUE121" s="5"/>
      <c r="LUF121" s="2"/>
      <c r="LUG121" s="4"/>
      <c r="LUH121" s="2"/>
      <c r="LUI121" s="3"/>
      <c r="LUJ121" s="2"/>
      <c r="LUK121" s="2"/>
      <c r="LUL121" s="5"/>
      <c r="LUM121" s="2"/>
      <c r="LUN121" s="4"/>
      <c r="LUO121" s="2"/>
      <c r="LUP121" s="3"/>
      <c r="LUQ121" s="2"/>
      <c r="LUR121" s="2"/>
      <c r="LUS121" s="5"/>
      <c r="LUT121" s="2"/>
      <c r="LUU121" s="4"/>
      <c r="LUV121" s="2"/>
      <c r="LUW121" s="3"/>
      <c r="LUX121" s="2"/>
      <c r="LUY121" s="2"/>
      <c r="LUZ121" s="5"/>
      <c r="LVA121" s="2"/>
      <c r="LVB121" s="4"/>
      <c r="LVC121" s="2"/>
      <c r="LVD121" s="3"/>
      <c r="LVE121" s="2"/>
      <c r="LVF121" s="2"/>
      <c r="LVG121" s="5"/>
      <c r="LVH121" s="2"/>
      <c r="LVI121" s="4"/>
      <c r="LVJ121" s="2"/>
      <c r="LVK121" s="3"/>
      <c r="LVL121" s="2"/>
      <c r="LVM121" s="2"/>
      <c r="LVN121" s="5"/>
      <c r="LVO121" s="2"/>
      <c r="LVP121" s="4"/>
      <c r="LVQ121" s="2"/>
      <c r="LVR121" s="3"/>
      <c r="LVS121" s="2"/>
      <c r="LVT121" s="2"/>
      <c r="LVU121" s="5"/>
      <c r="LVV121" s="2"/>
      <c r="LVW121" s="4"/>
      <c r="LVX121" s="2"/>
      <c r="LVY121" s="3"/>
      <c r="LVZ121" s="2"/>
      <c r="LWA121" s="2"/>
      <c r="LWB121" s="5"/>
      <c r="LWC121" s="2"/>
      <c r="LWD121" s="4"/>
      <c r="LWE121" s="2"/>
      <c r="LWF121" s="3"/>
      <c r="LWG121" s="2"/>
      <c r="LWH121" s="2"/>
      <c r="LWI121" s="5"/>
      <c r="LWJ121" s="2"/>
      <c r="LWK121" s="4"/>
      <c r="LWL121" s="2"/>
      <c r="LWM121" s="3"/>
      <c r="LWN121" s="2"/>
      <c r="LWO121" s="2"/>
      <c r="LWP121" s="5"/>
      <c r="LWQ121" s="2"/>
      <c r="LWR121" s="4"/>
      <c r="LWS121" s="2"/>
      <c r="LWT121" s="3"/>
      <c r="LWU121" s="2"/>
      <c r="LWV121" s="2"/>
      <c r="LWW121" s="5"/>
      <c r="LWX121" s="2"/>
      <c r="LWY121" s="4"/>
      <c r="LWZ121" s="2"/>
      <c r="LXA121" s="3"/>
      <c r="LXB121" s="2"/>
      <c r="LXC121" s="2"/>
      <c r="LXD121" s="5"/>
      <c r="LXE121" s="2"/>
      <c r="LXF121" s="4"/>
      <c r="LXG121" s="2"/>
      <c r="LXH121" s="3"/>
      <c r="LXI121" s="2"/>
      <c r="LXJ121" s="2"/>
      <c r="LXK121" s="5"/>
      <c r="LXL121" s="2"/>
      <c r="LXM121" s="4"/>
      <c r="LXN121" s="2"/>
      <c r="LXO121" s="3"/>
      <c r="LXP121" s="2"/>
      <c r="LXQ121" s="2"/>
      <c r="LXR121" s="5"/>
      <c r="LXS121" s="2"/>
      <c r="LXT121" s="4"/>
      <c r="LXU121" s="2"/>
      <c r="LXV121" s="3"/>
      <c r="LXW121" s="2"/>
      <c r="LXX121" s="2"/>
      <c r="LXY121" s="5"/>
      <c r="LXZ121" s="2"/>
      <c r="LYA121" s="4"/>
      <c r="LYB121" s="2"/>
      <c r="LYC121" s="3"/>
      <c r="LYD121" s="2"/>
      <c r="LYE121" s="2"/>
      <c r="LYF121" s="5"/>
      <c r="LYG121" s="2"/>
      <c r="LYH121" s="4"/>
      <c r="LYI121" s="2"/>
      <c r="LYJ121" s="3"/>
      <c r="LYK121" s="2"/>
      <c r="LYL121" s="2"/>
      <c r="LYM121" s="5"/>
      <c r="LYN121" s="2"/>
      <c r="LYO121" s="4"/>
      <c r="LYP121" s="2"/>
      <c r="LYQ121" s="3"/>
      <c r="LYR121" s="2"/>
      <c r="LYS121" s="2"/>
      <c r="LYT121" s="5"/>
      <c r="LYU121" s="2"/>
      <c r="LYV121" s="4"/>
      <c r="LYW121" s="2"/>
      <c r="LYX121" s="3"/>
      <c r="LYY121" s="2"/>
      <c r="LYZ121" s="2"/>
      <c r="LZA121" s="5"/>
      <c r="LZB121" s="2"/>
      <c r="LZC121" s="4"/>
      <c r="LZD121" s="2"/>
      <c r="LZE121" s="3"/>
      <c r="LZF121" s="2"/>
      <c r="LZG121" s="2"/>
      <c r="LZH121" s="5"/>
      <c r="LZI121" s="2"/>
      <c r="LZJ121" s="4"/>
      <c r="LZK121" s="2"/>
      <c r="LZL121" s="3"/>
      <c r="LZM121" s="2"/>
      <c r="LZN121" s="2"/>
      <c r="LZO121" s="5"/>
      <c r="LZP121" s="2"/>
      <c r="LZQ121" s="4"/>
      <c r="LZR121" s="2"/>
      <c r="LZS121" s="3"/>
      <c r="LZT121" s="2"/>
      <c r="LZU121" s="2"/>
      <c r="LZV121" s="5"/>
      <c r="LZW121" s="2"/>
      <c r="LZX121" s="4"/>
      <c r="LZY121" s="2"/>
      <c r="LZZ121" s="3"/>
      <c r="MAA121" s="2"/>
      <c r="MAB121" s="2"/>
      <c r="MAC121" s="5"/>
      <c r="MAD121" s="2"/>
      <c r="MAE121" s="4"/>
      <c r="MAF121" s="2"/>
      <c r="MAG121" s="3"/>
      <c r="MAH121" s="2"/>
      <c r="MAI121" s="2"/>
      <c r="MAJ121" s="5"/>
      <c r="MAK121" s="2"/>
      <c r="MAL121" s="4"/>
      <c r="MAM121" s="2"/>
      <c r="MAN121" s="3"/>
      <c r="MAO121" s="2"/>
      <c r="MAP121" s="2"/>
      <c r="MAQ121" s="5"/>
      <c r="MAR121" s="2"/>
      <c r="MAS121" s="4"/>
      <c r="MAT121" s="2"/>
      <c r="MAU121" s="3"/>
      <c r="MAV121" s="2"/>
      <c r="MAW121" s="2"/>
      <c r="MAX121" s="5"/>
      <c r="MAY121" s="2"/>
      <c r="MAZ121" s="4"/>
      <c r="MBA121" s="2"/>
      <c r="MBB121" s="3"/>
      <c r="MBC121" s="2"/>
      <c r="MBD121" s="2"/>
      <c r="MBE121" s="5"/>
      <c r="MBF121" s="2"/>
      <c r="MBG121" s="4"/>
      <c r="MBH121" s="2"/>
      <c r="MBI121" s="3"/>
      <c r="MBJ121" s="2"/>
      <c r="MBK121" s="2"/>
      <c r="MBL121" s="5"/>
      <c r="MBM121" s="2"/>
      <c r="MBN121" s="4"/>
      <c r="MBO121" s="2"/>
      <c r="MBP121" s="3"/>
      <c r="MBQ121" s="2"/>
      <c r="MBR121" s="2"/>
      <c r="MBS121" s="5"/>
      <c r="MBT121" s="2"/>
      <c r="MBU121" s="4"/>
      <c r="MBV121" s="2"/>
      <c r="MBW121" s="3"/>
      <c r="MBX121" s="2"/>
      <c r="MBY121" s="2"/>
      <c r="MBZ121" s="5"/>
      <c r="MCA121" s="2"/>
      <c r="MCB121" s="4"/>
      <c r="MCC121" s="2"/>
      <c r="MCD121" s="3"/>
      <c r="MCE121" s="2"/>
      <c r="MCF121" s="2"/>
      <c r="MCG121" s="5"/>
      <c r="MCH121" s="2"/>
      <c r="MCI121" s="4"/>
      <c r="MCJ121" s="2"/>
      <c r="MCK121" s="3"/>
      <c r="MCL121" s="2"/>
      <c r="MCM121" s="2"/>
      <c r="MCN121" s="5"/>
      <c r="MCO121" s="2"/>
      <c r="MCP121" s="4"/>
      <c r="MCQ121" s="2"/>
      <c r="MCR121" s="3"/>
      <c r="MCS121" s="2"/>
      <c r="MCT121" s="2"/>
      <c r="MCU121" s="5"/>
      <c r="MCV121" s="2"/>
      <c r="MCW121" s="4"/>
      <c r="MCX121" s="2"/>
      <c r="MCY121" s="3"/>
      <c r="MCZ121" s="2"/>
      <c r="MDA121" s="2"/>
      <c r="MDB121" s="5"/>
      <c r="MDC121" s="2"/>
      <c r="MDD121" s="4"/>
      <c r="MDE121" s="2"/>
      <c r="MDF121" s="3"/>
      <c r="MDG121" s="2"/>
      <c r="MDH121" s="2"/>
      <c r="MDI121" s="5"/>
      <c r="MDJ121" s="2"/>
      <c r="MDK121" s="4"/>
      <c r="MDL121" s="2"/>
      <c r="MDM121" s="3"/>
      <c r="MDN121" s="2"/>
      <c r="MDO121" s="2"/>
      <c r="MDP121" s="5"/>
      <c r="MDQ121" s="2"/>
      <c r="MDR121" s="4"/>
      <c r="MDS121" s="2"/>
      <c r="MDT121" s="3"/>
      <c r="MDU121" s="2"/>
      <c r="MDV121" s="2"/>
      <c r="MDW121" s="5"/>
      <c r="MDX121" s="2"/>
      <c r="MDY121" s="4"/>
      <c r="MDZ121" s="2"/>
      <c r="MEA121" s="3"/>
      <c r="MEB121" s="2"/>
      <c r="MEC121" s="2"/>
      <c r="MED121" s="5"/>
      <c r="MEE121" s="2"/>
      <c r="MEF121" s="4"/>
      <c r="MEG121" s="2"/>
      <c r="MEH121" s="3"/>
      <c r="MEI121" s="2"/>
      <c r="MEJ121" s="2"/>
      <c r="MEK121" s="5"/>
      <c r="MEL121" s="2"/>
      <c r="MEM121" s="4"/>
      <c r="MEN121" s="2"/>
      <c r="MEO121" s="3"/>
      <c r="MEP121" s="2"/>
      <c r="MEQ121" s="2"/>
      <c r="MER121" s="5"/>
      <c r="MES121" s="2"/>
      <c r="MET121" s="4"/>
      <c r="MEU121" s="2"/>
      <c r="MEV121" s="3"/>
      <c r="MEW121" s="2"/>
      <c r="MEX121" s="2"/>
      <c r="MEY121" s="5"/>
      <c r="MEZ121" s="2"/>
      <c r="MFA121" s="4"/>
      <c r="MFB121" s="2"/>
      <c r="MFC121" s="3"/>
      <c r="MFD121" s="2"/>
      <c r="MFE121" s="2"/>
      <c r="MFF121" s="5"/>
      <c r="MFG121" s="2"/>
      <c r="MFH121" s="4"/>
      <c r="MFI121" s="2"/>
      <c r="MFJ121" s="3"/>
      <c r="MFK121" s="2"/>
      <c r="MFL121" s="2"/>
      <c r="MFM121" s="5"/>
      <c r="MFN121" s="2"/>
      <c r="MFO121" s="4"/>
      <c r="MFP121" s="2"/>
      <c r="MFQ121" s="3"/>
      <c r="MFR121" s="2"/>
      <c r="MFS121" s="2"/>
      <c r="MFT121" s="5"/>
      <c r="MFU121" s="2"/>
      <c r="MFV121" s="4"/>
      <c r="MFW121" s="2"/>
      <c r="MFX121" s="3"/>
      <c r="MFY121" s="2"/>
      <c r="MFZ121" s="2"/>
      <c r="MGA121" s="5"/>
      <c r="MGB121" s="2"/>
      <c r="MGC121" s="4"/>
      <c r="MGD121" s="2"/>
      <c r="MGE121" s="3"/>
      <c r="MGF121" s="2"/>
      <c r="MGG121" s="2"/>
      <c r="MGH121" s="5"/>
      <c r="MGI121" s="2"/>
      <c r="MGJ121" s="4"/>
      <c r="MGK121" s="2"/>
      <c r="MGL121" s="3"/>
      <c r="MGM121" s="2"/>
      <c r="MGN121" s="2"/>
      <c r="MGO121" s="5"/>
      <c r="MGP121" s="2"/>
      <c r="MGQ121" s="4"/>
      <c r="MGR121" s="2"/>
      <c r="MGS121" s="3"/>
      <c r="MGT121" s="2"/>
      <c r="MGU121" s="2"/>
      <c r="MGV121" s="5"/>
      <c r="MGW121" s="2"/>
      <c r="MGX121" s="4"/>
      <c r="MGY121" s="2"/>
      <c r="MGZ121" s="3"/>
      <c r="MHA121" s="2"/>
      <c r="MHB121" s="2"/>
      <c r="MHC121" s="5"/>
      <c r="MHD121" s="2"/>
      <c r="MHE121" s="4"/>
      <c r="MHF121" s="2"/>
      <c r="MHG121" s="3"/>
      <c r="MHH121" s="2"/>
      <c r="MHI121" s="2"/>
      <c r="MHJ121" s="5"/>
      <c r="MHK121" s="2"/>
      <c r="MHL121" s="4"/>
      <c r="MHM121" s="2"/>
      <c r="MHN121" s="3"/>
      <c r="MHO121" s="2"/>
      <c r="MHP121" s="2"/>
      <c r="MHQ121" s="5"/>
      <c r="MHR121" s="2"/>
      <c r="MHS121" s="4"/>
      <c r="MHT121" s="2"/>
      <c r="MHU121" s="3"/>
      <c r="MHV121" s="2"/>
      <c r="MHW121" s="2"/>
      <c r="MHX121" s="5"/>
      <c r="MHY121" s="2"/>
      <c r="MHZ121" s="4"/>
      <c r="MIA121" s="2"/>
      <c r="MIB121" s="3"/>
      <c r="MIC121" s="2"/>
      <c r="MID121" s="2"/>
      <c r="MIE121" s="5"/>
      <c r="MIF121" s="2"/>
      <c r="MIG121" s="4"/>
      <c r="MIH121" s="2"/>
      <c r="MII121" s="3"/>
      <c r="MIJ121" s="2"/>
      <c r="MIK121" s="2"/>
      <c r="MIL121" s="5"/>
      <c r="MIM121" s="2"/>
      <c r="MIN121" s="4"/>
      <c r="MIO121" s="2"/>
      <c r="MIP121" s="3"/>
      <c r="MIQ121" s="2"/>
      <c r="MIR121" s="2"/>
      <c r="MIS121" s="5"/>
      <c r="MIT121" s="2"/>
      <c r="MIU121" s="4"/>
      <c r="MIV121" s="2"/>
      <c r="MIW121" s="3"/>
      <c r="MIX121" s="2"/>
      <c r="MIY121" s="2"/>
      <c r="MIZ121" s="5"/>
      <c r="MJA121" s="2"/>
      <c r="MJB121" s="4"/>
      <c r="MJC121" s="2"/>
      <c r="MJD121" s="3"/>
      <c r="MJE121" s="2"/>
      <c r="MJF121" s="2"/>
      <c r="MJG121" s="5"/>
      <c r="MJH121" s="2"/>
      <c r="MJI121" s="4"/>
      <c r="MJJ121" s="2"/>
      <c r="MJK121" s="3"/>
      <c r="MJL121" s="2"/>
      <c r="MJM121" s="2"/>
      <c r="MJN121" s="5"/>
      <c r="MJO121" s="2"/>
      <c r="MJP121" s="4"/>
      <c r="MJQ121" s="2"/>
      <c r="MJR121" s="3"/>
      <c r="MJS121" s="2"/>
      <c r="MJT121" s="2"/>
      <c r="MJU121" s="5"/>
      <c r="MJV121" s="2"/>
      <c r="MJW121" s="4"/>
      <c r="MJX121" s="2"/>
      <c r="MJY121" s="3"/>
      <c r="MJZ121" s="2"/>
      <c r="MKA121" s="2"/>
      <c r="MKB121" s="5"/>
      <c r="MKC121" s="2"/>
      <c r="MKD121" s="4"/>
      <c r="MKE121" s="2"/>
      <c r="MKF121" s="3"/>
      <c r="MKG121" s="2"/>
      <c r="MKH121" s="2"/>
      <c r="MKI121" s="5"/>
      <c r="MKJ121" s="2"/>
      <c r="MKK121" s="4"/>
      <c r="MKL121" s="2"/>
      <c r="MKM121" s="3"/>
      <c r="MKN121" s="2"/>
      <c r="MKO121" s="2"/>
      <c r="MKP121" s="5"/>
      <c r="MKQ121" s="2"/>
      <c r="MKR121" s="4"/>
      <c r="MKS121" s="2"/>
      <c r="MKT121" s="3"/>
      <c r="MKU121" s="2"/>
      <c r="MKV121" s="2"/>
      <c r="MKW121" s="5"/>
      <c r="MKX121" s="2"/>
      <c r="MKY121" s="4"/>
      <c r="MKZ121" s="2"/>
      <c r="MLA121" s="3"/>
      <c r="MLB121" s="2"/>
      <c r="MLC121" s="2"/>
      <c r="MLD121" s="5"/>
      <c r="MLE121" s="2"/>
      <c r="MLF121" s="4"/>
      <c r="MLG121" s="2"/>
      <c r="MLH121" s="3"/>
      <c r="MLI121" s="2"/>
      <c r="MLJ121" s="2"/>
      <c r="MLK121" s="5"/>
      <c r="MLL121" s="2"/>
      <c r="MLM121" s="4"/>
      <c r="MLN121" s="2"/>
      <c r="MLO121" s="3"/>
      <c r="MLP121" s="2"/>
      <c r="MLQ121" s="2"/>
      <c r="MLR121" s="5"/>
      <c r="MLS121" s="2"/>
      <c r="MLT121" s="4"/>
      <c r="MLU121" s="2"/>
      <c r="MLV121" s="3"/>
      <c r="MLW121" s="2"/>
      <c r="MLX121" s="2"/>
      <c r="MLY121" s="5"/>
      <c r="MLZ121" s="2"/>
      <c r="MMA121" s="4"/>
      <c r="MMB121" s="2"/>
      <c r="MMC121" s="3"/>
      <c r="MMD121" s="2"/>
      <c r="MME121" s="2"/>
      <c r="MMF121" s="5"/>
      <c r="MMG121" s="2"/>
      <c r="MMH121" s="4"/>
      <c r="MMI121" s="2"/>
      <c r="MMJ121" s="3"/>
      <c r="MMK121" s="2"/>
      <c r="MML121" s="2"/>
      <c r="MMM121" s="5"/>
      <c r="MMN121" s="2"/>
      <c r="MMO121" s="4"/>
      <c r="MMP121" s="2"/>
      <c r="MMQ121" s="3"/>
      <c r="MMR121" s="2"/>
      <c r="MMS121" s="2"/>
      <c r="MMT121" s="5"/>
      <c r="MMU121" s="2"/>
      <c r="MMV121" s="4"/>
      <c r="MMW121" s="2"/>
      <c r="MMX121" s="3"/>
      <c r="MMY121" s="2"/>
      <c r="MMZ121" s="2"/>
      <c r="MNA121" s="5"/>
      <c r="MNB121" s="2"/>
      <c r="MNC121" s="4"/>
      <c r="MND121" s="2"/>
      <c r="MNE121" s="3"/>
      <c r="MNF121" s="2"/>
      <c r="MNG121" s="2"/>
      <c r="MNH121" s="5"/>
      <c r="MNI121" s="2"/>
      <c r="MNJ121" s="4"/>
      <c r="MNK121" s="2"/>
      <c r="MNL121" s="3"/>
      <c r="MNM121" s="2"/>
      <c r="MNN121" s="2"/>
      <c r="MNO121" s="5"/>
      <c r="MNP121" s="2"/>
      <c r="MNQ121" s="4"/>
      <c r="MNR121" s="2"/>
      <c r="MNS121" s="3"/>
      <c r="MNT121" s="2"/>
      <c r="MNU121" s="2"/>
      <c r="MNV121" s="5"/>
      <c r="MNW121" s="2"/>
      <c r="MNX121" s="4"/>
      <c r="MNY121" s="2"/>
      <c r="MNZ121" s="3"/>
      <c r="MOA121" s="2"/>
      <c r="MOB121" s="2"/>
      <c r="MOC121" s="5"/>
      <c r="MOD121" s="2"/>
      <c r="MOE121" s="4"/>
      <c r="MOF121" s="2"/>
      <c r="MOG121" s="3"/>
      <c r="MOH121" s="2"/>
      <c r="MOI121" s="2"/>
      <c r="MOJ121" s="5"/>
      <c r="MOK121" s="2"/>
      <c r="MOL121" s="4"/>
      <c r="MOM121" s="2"/>
      <c r="MON121" s="3"/>
      <c r="MOO121" s="2"/>
      <c r="MOP121" s="2"/>
      <c r="MOQ121" s="5"/>
      <c r="MOR121" s="2"/>
      <c r="MOS121" s="4"/>
      <c r="MOT121" s="2"/>
      <c r="MOU121" s="3"/>
      <c r="MOV121" s="2"/>
      <c r="MOW121" s="2"/>
      <c r="MOX121" s="5"/>
      <c r="MOY121" s="2"/>
      <c r="MOZ121" s="4"/>
      <c r="MPA121" s="2"/>
      <c r="MPB121" s="3"/>
      <c r="MPC121" s="2"/>
      <c r="MPD121" s="2"/>
      <c r="MPE121" s="5"/>
      <c r="MPF121" s="2"/>
      <c r="MPG121" s="4"/>
      <c r="MPH121" s="2"/>
      <c r="MPI121" s="3"/>
      <c r="MPJ121" s="2"/>
      <c r="MPK121" s="2"/>
      <c r="MPL121" s="5"/>
      <c r="MPM121" s="2"/>
      <c r="MPN121" s="4"/>
      <c r="MPO121" s="2"/>
      <c r="MPP121" s="3"/>
      <c r="MPQ121" s="2"/>
      <c r="MPR121" s="2"/>
      <c r="MPS121" s="5"/>
      <c r="MPT121" s="2"/>
      <c r="MPU121" s="4"/>
      <c r="MPV121" s="2"/>
      <c r="MPW121" s="3"/>
      <c r="MPX121" s="2"/>
      <c r="MPY121" s="2"/>
      <c r="MPZ121" s="5"/>
      <c r="MQA121" s="2"/>
      <c r="MQB121" s="4"/>
      <c r="MQC121" s="2"/>
      <c r="MQD121" s="3"/>
      <c r="MQE121" s="2"/>
      <c r="MQF121" s="2"/>
      <c r="MQG121" s="5"/>
      <c r="MQH121" s="2"/>
      <c r="MQI121" s="4"/>
      <c r="MQJ121" s="2"/>
      <c r="MQK121" s="3"/>
      <c r="MQL121" s="2"/>
      <c r="MQM121" s="2"/>
      <c r="MQN121" s="5"/>
      <c r="MQO121" s="2"/>
      <c r="MQP121" s="4"/>
      <c r="MQQ121" s="2"/>
      <c r="MQR121" s="3"/>
      <c r="MQS121" s="2"/>
      <c r="MQT121" s="2"/>
      <c r="MQU121" s="5"/>
      <c r="MQV121" s="2"/>
      <c r="MQW121" s="4"/>
      <c r="MQX121" s="2"/>
      <c r="MQY121" s="3"/>
      <c r="MQZ121" s="2"/>
      <c r="MRA121" s="2"/>
      <c r="MRB121" s="5"/>
      <c r="MRC121" s="2"/>
      <c r="MRD121" s="4"/>
      <c r="MRE121" s="2"/>
      <c r="MRF121" s="3"/>
      <c r="MRG121" s="2"/>
      <c r="MRH121" s="2"/>
      <c r="MRI121" s="5"/>
      <c r="MRJ121" s="2"/>
      <c r="MRK121" s="4"/>
      <c r="MRL121" s="2"/>
      <c r="MRM121" s="3"/>
      <c r="MRN121" s="2"/>
      <c r="MRO121" s="2"/>
      <c r="MRP121" s="5"/>
      <c r="MRQ121" s="2"/>
      <c r="MRR121" s="4"/>
      <c r="MRS121" s="2"/>
      <c r="MRT121" s="3"/>
      <c r="MRU121" s="2"/>
      <c r="MRV121" s="2"/>
      <c r="MRW121" s="5"/>
      <c r="MRX121" s="2"/>
      <c r="MRY121" s="4"/>
      <c r="MRZ121" s="2"/>
      <c r="MSA121" s="3"/>
      <c r="MSB121" s="2"/>
      <c r="MSC121" s="2"/>
      <c r="MSD121" s="5"/>
      <c r="MSE121" s="2"/>
      <c r="MSF121" s="4"/>
      <c r="MSG121" s="2"/>
      <c r="MSH121" s="3"/>
      <c r="MSI121" s="2"/>
      <c r="MSJ121" s="2"/>
      <c r="MSK121" s="5"/>
      <c r="MSL121" s="2"/>
      <c r="MSM121" s="4"/>
      <c r="MSN121" s="2"/>
      <c r="MSO121" s="3"/>
      <c r="MSP121" s="2"/>
      <c r="MSQ121" s="2"/>
      <c r="MSR121" s="5"/>
      <c r="MSS121" s="2"/>
      <c r="MST121" s="4"/>
      <c r="MSU121" s="2"/>
      <c r="MSV121" s="3"/>
      <c r="MSW121" s="2"/>
      <c r="MSX121" s="2"/>
      <c r="MSY121" s="5"/>
      <c r="MSZ121" s="2"/>
      <c r="MTA121" s="4"/>
      <c r="MTB121" s="2"/>
      <c r="MTC121" s="3"/>
      <c r="MTD121" s="2"/>
      <c r="MTE121" s="2"/>
      <c r="MTF121" s="5"/>
      <c r="MTG121" s="2"/>
      <c r="MTH121" s="4"/>
      <c r="MTI121" s="2"/>
      <c r="MTJ121" s="3"/>
      <c r="MTK121" s="2"/>
      <c r="MTL121" s="2"/>
      <c r="MTM121" s="5"/>
      <c r="MTN121" s="2"/>
      <c r="MTO121" s="4"/>
      <c r="MTP121" s="2"/>
      <c r="MTQ121" s="3"/>
      <c r="MTR121" s="2"/>
      <c r="MTS121" s="2"/>
      <c r="MTT121" s="5"/>
      <c r="MTU121" s="2"/>
      <c r="MTV121" s="4"/>
      <c r="MTW121" s="2"/>
      <c r="MTX121" s="3"/>
      <c r="MTY121" s="2"/>
      <c r="MTZ121" s="2"/>
      <c r="MUA121" s="5"/>
      <c r="MUB121" s="2"/>
      <c r="MUC121" s="4"/>
      <c r="MUD121" s="2"/>
      <c r="MUE121" s="3"/>
      <c r="MUF121" s="2"/>
      <c r="MUG121" s="2"/>
      <c r="MUH121" s="5"/>
      <c r="MUI121" s="2"/>
      <c r="MUJ121" s="4"/>
      <c r="MUK121" s="2"/>
      <c r="MUL121" s="3"/>
      <c r="MUM121" s="2"/>
      <c r="MUN121" s="2"/>
      <c r="MUO121" s="5"/>
      <c r="MUP121" s="2"/>
      <c r="MUQ121" s="4"/>
      <c r="MUR121" s="2"/>
      <c r="MUS121" s="3"/>
      <c r="MUT121" s="2"/>
      <c r="MUU121" s="2"/>
      <c r="MUV121" s="5"/>
      <c r="MUW121" s="2"/>
      <c r="MUX121" s="4"/>
      <c r="MUY121" s="2"/>
      <c r="MUZ121" s="3"/>
      <c r="MVA121" s="2"/>
      <c r="MVB121" s="2"/>
      <c r="MVC121" s="5"/>
      <c r="MVD121" s="2"/>
      <c r="MVE121" s="4"/>
      <c r="MVF121" s="2"/>
      <c r="MVG121" s="3"/>
      <c r="MVH121" s="2"/>
      <c r="MVI121" s="2"/>
      <c r="MVJ121" s="5"/>
      <c r="MVK121" s="2"/>
      <c r="MVL121" s="4"/>
      <c r="MVM121" s="2"/>
      <c r="MVN121" s="3"/>
      <c r="MVO121" s="2"/>
      <c r="MVP121" s="2"/>
      <c r="MVQ121" s="5"/>
      <c r="MVR121" s="2"/>
      <c r="MVS121" s="4"/>
      <c r="MVT121" s="2"/>
      <c r="MVU121" s="3"/>
      <c r="MVV121" s="2"/>
      <c r="MVW121" s="2"/>
      <c r="MVX121" s="5"/>
      <c r="MVY121" s="2"/>
      <c r="MVZ121" s="4"/>
      <c r="MWA121" s="2"/>
      <c r="MWB121" s="3"/>
      <c r="MWC121" s="2"/>
      <c r="MWD121" s="2"/>
      <c r="MWE121" s="5"/>
      <c r="MWF121" s="2"/>
      <c r="MWG121" s="4"/>
      <c r="MWH121" s="2"/>
      <c r="MWI121" s="3"/>
      <c r="MWJ121" s="2"/>
      <c r="MWK121" s="2"/>
      <c r="MWL121" s="5"/>
      <c r="MWM121" s="2"/>
      <c r="MWN121" s="4"/>
      <c r="MWO121" s="2"/>
      <c r="MWP121" s="3"/>
      <c r="MWQ121" s="2"/>
      <c r="MWR121" s="2"/>
      <c r="MWS121" s="5"/>
      <c r="MWT121" s="2"/>
      <c r="MWU121" s="4"/>
      <c r="MWV121" s="2"/>
      <c r="MWW121" s="3"/>
      <c r="MWX121" s="2"/>
      <c r="MWY121" s="2"/>
      <c r="MWZ121" s="5"/>
      <c r="MXA121" s="2"/>
      <c r="MXB121" s="4"/>
      <c r="MXC121" s="2"/>
      <c r="MXD121" s="3"/>
      <c r="MXE121" s="2"/>
      <c r="MXF121" s="2"/>
      <c r="MXG121" s="5"/>
      <c r="MXH121" s="2"/>
      <c r="MXI121" s="4"/>
      <c r="MXJ121" s="2"/>
      <c r="MXK121" s="3"/>
      <c r="MXL121" s="2"/>
      <c r="MXM121" s="2"/>
      <c r="MXN121" s="5"/>
      <c r="MXO121" s="2"/>
      <c r="MXP121" s="4"/>
      <c r="MXQ121" s="2"/>
      <c r="MXR121" s="3"/>
      <c r="MXS121" s="2"/>
      <c r="MXT121" s="2"/>
      <c r="MXU121" s="5"/>
      <c r="MXV121" s="2"/>
      <c r="MXW121" s="4"/>
      <c r="MXX121" s="2"/>
      <c r="MXY121" s="3"/>
      <c r="MXZ121" s="2"/>
      <c r="MYA121" s="2"/>
      <c r="MYB121" s="5"/>
      <c r="MYC121" s="2"/>
      <c r="MYD121" s="4"/>
      <c r="MYE121" s="2"/>
      <c r="MYF121" s="3"/>
      <c r="MYG121" s="2"/>
      <c r="MYH121" s="2"/>
      <c r="MYI121" s="5"/>
      <c r="MYJ121" s="2"/>
      <c r="MYK121" s="4"/>
      <c r="MYL121" s="2"/>
      <c r="MYM121" s="3"/>
      <c r="MYN121" s="2"/>
      <c r="MYO121" s="2"/>
      <c r="MYP121" s="5"/>
      <c r="MYQ121" s="2"/>
      <c r="MYR121" s="4"/>
      <c r="MYS121" s="2"/>
      <c r="MYT121" s="3"/>
      <c r="MYU121" s="2"/>
      <c r="MYV121" s="2"/>
      <c r="MYW121" s="5"/>
      <c r="MYX121" s="2"/>
      <c r="MYY121" s="4"/>
      <c r="MYZ121" s="2"/>
      <c r="MZA121" s="3"/>
      <c r="MZB121" s="2"/>
      <c r="MZC121" s="2"/>
      <c r="MZD121" s="5"/>
      <c r="MZE121" s="2"/>
      <c r="MZF121" s="4"/>
      <c r="MZG121" s="2"/>
      <c r="MZH121" s="3"/>
      <c r="MZI121" s="2"/>
      <c r="MZJ121" s="2"/>
      <c r="MZK121" s="5"/>
      <c r="MZL121" s="2"/>
      <c r="MZM121" s="4"/>
      <c r="MZN121" s="2"/>
      <c r="MZO121" s="3"/>
      <c r="MZP121" s="2"/>
      <c r="MZQ121" s="2"/>
      <c r="MZR121" s="5"/>
      <c r="MZS121" s="2"/>
      <c r="MZT121" s="4"/>
      <c r="MZU121" s="2"/>
      <c r="MZV121" s="3"/>
      <c r="MZW121" s="2"/>
      <c r="MZX121" s="2"/>
      <c r="MZY121" s="5"/>
      <c r="MZZ121" s="2"/>
      <c r="NAA121" s="4"/>
      <c r="NAB121" s="2"/>
      <c r="NAC121" s="3"/>
      <c r="NAD121" s="2"/>
      <c r="NAE121" s="2"/>
      <c r="NAF121" s="5"/>
      <c r="NAG121" s="2"/>
      <c r="NAH121" s="4"/>
      <c r="NAI121" s="2"/>
      <c r="NAJ121" s="3"/>
      <c r="NAK121" s="2"/>
      <c r="NAL121" s="2"/>
      <c r="NAM121" s="5"/>
      <c r="NAN121" s="2"/>
      <c r="NAO121" s="4"/>
      <c r="NAP121" s="2"/>
      <c r="NAQ121" s="3"/>
      <c r="NAR121" s="2"/>
      <c r="NAS121" s="2"/>
      <c r="NAT121" s="5"/>
      <c r="NAU121" s="2"/>
      <c r="NAV121" s="4"/>
      <c r="NAW121" s="2"/>
      <c r="NAX121" s="3"/>
      <c r="NAY121" s="2"/>
      <c r="NAZ121" s="2"/>
      <c r="NBA121" s="5"/>
      <c r="NBB121" s="2"/>
      <c r="NBC121" s="4"/>
      <c r="NBD121" s="2"/>
      <c r="NBE121" s="3"/>
      <c r="NBF121" s="2"/>
      <c r="NBG121" s="2"/>
      <c r="NBH121" s="5"/>
      <c r="NBI121" s="2"/>
      <c r="NBJ121" s="4"/>
      <c r="NBK121" s="2"/>
      <c r="NBL121" s="3"/>
      <c r="NBM121" s="2"/>
      <c r="NBN121" s="2"/>
      <c r="NBO121" s="5"/>
      <c r="NBP121" s="2"/>
      <c r="NBQ121" s="4"/>
      <c r="NBR121" s="2"/>
      <c r="NBS121" s="3"/>
      <c r="NBT121" s="2"/>
      <c r="NBU121" s="2"/>
      <c r="NBV121" s="5"/>
      <c r="NBW121" s="2"/>
      <c r="NBX121" s="4"/>
      <c r="NBY121" s="2"/>
      <c r="NBZ121" s="3"/>
      <c r="NCA121" s="2"/>
      <c r="NCB121" s="2"/>
      <c r="NCC121" s="5"/>
      <c r="NCD121" s="2"/>
      <c r="NCE121" s="4"/>
      <c r="NCF121" s="2"/>
      <c r="NCG121" s="3"/>
      <c r="NCH121" s="2"/>
      <c r="NCI121" s="2"/>
      <c r="NCJ121" s="5"/>
      <c r="NCK121" s="2"/>
      <c r="NCL121" s="4"/>
      <c r="NCM121" s="2"/>
      <c r="NCN121" s="3"/>
      <c r="NCO121" s="2"/>
      <c r="NCP121" s="2"/>
      <c r="NCQ121" s="5"/>
      <c r="NCR121" s="2"/>
      <c r="NCS121" s="4"/>
      <c r="NCT121" s="2"/>
      <c r="NCU121" s="3"/>
      <c r="NCV121" s="2"/>
      <c r="NCW121" s="2"/>
      <c r="NCX121" s="5"/>
      <c r="NCY121" s="2"/>
      <c r="NCZ121" s="4"/>
      <c r="NDA121" s="2"/>
      <c r="NDB121" s="3"/>
      <c r="NDC121" s="2"/>
      <c r="NDD121" s="2"/>
      <c r="NDE121" s="5"/>
      <c r="NDF121" s="2"/>
      <c r="NDG121" s="4"/>
      <c r="NDH121" s="2"/>
      <c r="NDI121" s="3"/>
      <c r="NDJ121" s="2"/>
      <c r="NDK121" s="2"/>
      <c r="NDL121" s="5"/>
      <c r="NDM121" s="2"/>
      <c r="NDN121" s="4"/>
      <c r="NDO121" s="2"/>
      <c r="NDP121" s="3"/>
      <c r="NDQ121" s="2"/>
      <c r="NDR121" s="2"/>
      <c r="NDS121" s="5"/>
      <c r="NDT121" s="2"/>
      <c r="NDU121" s="4"/>
      <c r="NDV121" s="2"/>
      <c r="NDW121" s="3"/>
      <c r="NDX121" s="2"/>
      <c r="NDY121" s="2"/>
      <c r="NDZ121" s="5"/>
      <c r="NEA121" s="2"/>
      <c r="NEB121" s="4"/>
      <c r="NEC121" s="2"/>
      <c r="NED121" s="3"/>
      <c r="NEE121" s="2"/>
      <c r="NEF121" s="2"/>
      <c r="NEG121" s="5"/>
      <c r="NEH121" s="2"/>
      <c r="NEI121" s="4"/>
      <c r="NEJ121" s="2"/>
      <c r="NEK121" s="3"/>
      <c r="NEL121" s="2"/>
      <c r="NEM121" s="2"/>
      <c r="NEN121" s="5"/>
      <c r="NEO121" s="2"/>
      <c r="NEP121" s="4"/>
      <c r="NEQ121" s="2"/>
      <c r="NER121" s="3"/>
      <c r="NES121" s="2"/>
      <c r="NET121" s="2"/>
      <c r="NEU121" s="5"/>
      <c r="NEV121" s="2"/>
      <c r="NEW121" s="4"/>
      <c r="NEX121" s="2"/>
      <c r="NEY121" s="3"/>
      <c r="NEZ121" s="2"/>
      <c r="NFA121" s="2"/>
      <c r="NFB121" s="5"/>
      <c r="NFC121" s="2"/>
      <c r="NFD121" s="4"/>
      <c r="NFE121" s="2"/>
      <c r="NFF121" s="3"/>
      <c r="NFG121" s="2"/>
      <c r="NFH121" s="2"/>
      <c r="NFI121" s="5"/>
      <c r="NFJ121" s="2"/>
      <c r="NFK121" s="4"/>
      <c r="NFL121" s="2"/>
      <c r="NFM121" s="3"/>
      <c r="NFN121" s="2"/>
      <c r="NFO121" s="2"/>
      <c r="NFP121" s="5"/>
      <c r="NFQ121" s="2"/>
      <c r="NFR121" s="4"/>
      <c r="NFS121" s="2"/>
      <c r="NFT121" s="3"/>
      <c r="NFU121" s="2"/>
      <c r="NFV121" s="2"/>
      <c r="NFW121" s="5"/>
      <c r="NFX121" s="2"/>
      <c r="NFY121" s="4"/>
      <c r="NFZ121" s="2"/>
      <c r="NGA121" s="3"/>
      <c r="NGB121" s="2"/>
      <c r="NGC121" s="2"/>
      <c r="NGD121" s="5"/>
      <c r="NGE121" s="2"/>
      <c r="NGF121" s="4"/>
      <c r="NGG121" s="2"/>
      <c r="NGH121" s="3"/>
      <c r="NGI121" s="2"/>
      <c r="NGJ121" s="2"/>
      <c r="NGK121" s="5"/>
      <c r="NGL121" s="2"/>
      <c r="NGM121" s="4"/>
      <c r="NGN121" s="2"/>
      <c r="NGO121" s="3"/>
      <c r="NGP121" s="2"/>
      <c r="NGQ121" s="2"/>
      <c r="NGR121" s="5"/>
      <c r="NGS121" s="2"/>
      <c r="NGT121" s="4"/>
      <c r="NGU121" s="2"/>
      <c r="NGV121" s="3"/>
      <c r="NGW121" s="2"/>
      <c r="NGX121" s="2"/>
      <c r="NGY121" s="5"/>
      <c r="NGZ121" s="2"/>
      <c r="NHA121" s="4"/>
      <c r="NHB121" s="2"/>
      <c r="NHC121" s="3"/>
      <c r="NHD121" s="2"/>
      <c r="NHE121" s="2"/>
      <c r="NHF121" s="5"/>
      <c r="NHG121" s="2"/>
      <c r="NHH121" s="4"/>
      <c r="NHI121" s="2"/>
      <c r="NHJ121" s="3"/>
      <c r="NHK121" s="2"/>
      <c r="NHL121" s="2"/>
      <c r="NHM121" s="5"/>
      <c r="NHN121" s="2"/>
      <c r="NHO121" s="4"/>
      <c r="NHP121" s="2"/>
      <c r="NHQ121" s="3"/>
      <c r="NHR121" s="2"/>
      <c r="NHS121" s="2"/>
      <c r="NHT121" s="5"/>
      <c r="NHU121" s="2"/>
      <c r="NHV121" s="4"/>
      <c r="NHW121" s="2"/>
      <c r="NHX121" s="3"/>
      <c r="NHY121" s="2"/>
      <c r="NHZ121" s="2"/>
      <c r="NIA121" s="5"/>
      <c r="NIB121" s="2"/>
      <c r="NIC121" s="4"/>
      <c r="NID121" s="2"/>
      <c r="NIE121" s="3"/>
      <c r="NIF121" s="2"/>
      <c r="NIG121" s="2"/>
      <c r="NIH121" s="5"/>
      <c r="NII121" s="2"/>
      <c r="NIJ121" s="4"/>
      <c r="NIK121" s="2"/>
      <c r="NIL121" s="3"/>
      <c r="NIM121" s="2"/>
      <c r="NIN121" s="2"/>
      <c r="NIO121" s="5"/>
      <c r="NIP121" s="2"/>
      <c r="NIQ121" s="4"/>
      <c r="NIR121" s="2"/>
      <c r="NIS121" s="3"/>
      <c r="NIT121" s="2"/>
      <c r="NIU121" s="2"/>
      <c r="NIV121" s="5"/>
      <c r="NIW121" s="2"/>
      <c r="NIX121" s="4"/>
      <c r="NIY121" s="2"/>
      <c r="NIZ121" s="3"/>
      <c r="NJA121" s="2"/>
      <c r="NJB121" s="2"/>
      <c r="NJC121" s="5"/>
      <c r="NJD121" s="2"/>
      <c r="NJE121" s="4"/>
      <c r="NJF121" s="2"/>
      <c r="NJG121" s="3"/>
      <c r="NJH121" s="2"/>
      <c r="NJI121" s="2"/>
      <c r="NJJ121" s="5"/>
      <c r="NJK121" s="2"/>
      <c r="NJL121" s="4"/>
      <c r="NJM121" s="2"/>
      <c r="NJN121" s="3"/>
      <c r="NJO121" s="2"/>
      <c r="NJP121" s="2"/>
      <c r="NJQ121" s="5"/>
      <c r="NJR121" s="2"/>
      <c r="NJS121" s="4"/>
      <c r="NJT121" s="2"/>
      <c r="NJU121" s="3"/>
      <c r="NJV121" s="2"/>
      <c r="NJW121" s="2"/>
      <c r="NJX121" s="5"/>
      <c r="NJY121" s="2"/>
      <c r="NJZ121" s="4"/>
      <c r="NKA121" s="2"/>
      <c r="NKB121" s="3"/>
      <c r="NKC121" s="2"/>
      <c r="NKD121" s="2"/>
      <c r="NKE121" s="5"/>
      <c r="NKF121" s="2"/>
      <c r="NKG121" s="4"/>
      <c r="NKH121" s="2"/>
      <c r="NKI121" s="3"/>
      <c r="NKJ121" s="2"/>
      <c r="NKK121" s="2"/>
      <c r="NKL121" s="5"/>
      <c r="NKM121" s="2"/>
      <c r="NKN121" s="4"/>
      <c r="NKO121" s="2"/>
      <c r="NKP121" s="3"/>
      <c r="NKQ121" s="2"/>
      <c r="NKR121" s="2"/>
      <c r="NKS121" s="5"/>
      <c r="NKT121" s="2"/>
      <c r="NKU121" s="4"/>
      <c r="NKV121" s="2"/>
      <c r="NKW121" s="3"/>
      <c r="NKX121" s="2"/>
      <c r="NKY121" s="2"/>
      <c r="NKZ121" s="5"/>
      <c r="NLA121" s="2"/>
      <c r="NLB121" s="4"/>
      <c r="NLC121" s="2"/>
      <c r="NLD121" s="3"/>
      <c r="NLE121" s="2"/>
      <c r="NLF121" s="2"/>
      <c r="NLG121" s="5"/>
      <c r="NLH121" s="2"/>
      <c r="NLI121" s="4"/>
      <c r="NLJ121" s="2"/>
      <c r="NLK121" s="3"/>
      <c r="NLL121" s="2"/>
      <c r="NLM121" s="2"/>
      <c r="NLN121" s="5"/>
      <c r="NLO121" s="2"/>
      <c r="NLP121" s="4"/>
      <c r="NLQ121" s="2"/>
      <c r="NLR121" s="3"/>
      <c r="NLS121" s="2"/>
      <c r="NLT121" s="2"/>
      <c r="NLU121" s="5"/>
      <c r="NLV121" s="2"/>
      <c r="NLW121" s="4"/>
      <c r="NLX121" s="2"/>
      <c r="NLY121" s="3"/>
      <c r="NLZ121" s="2"/>
      <c r="NMA121" s="2"/>
      <c r="NMB121" s="5"/>
      <c r="NMC121" s="2"/>
      <c r="NMD121" s="4"/>
      <c r="NME121" s="2"/>
      <c r="NMF121" s="3"/>
      <c r="NMG121" s="2"/>
      <c r="NMH121" s="2"/>
      <c r="NMI121" s="5"/>
      <c r="NMJ121" s="2"/>
      <c r="NMK121" s="4"/>
      <c r="NML121" s="2"/>
      <c r="NMM121" s="3"/>
      <c r="NMN121" s="2"/>
      <c r="NMO121" s="2"/>
      <c r="NMP121" s="5"/>
      <c r="NMQ121" s="2"/>
      <c r="NMR121" s="4"/>
      <c r="NMS121" s="2"/>
      <c r="NMT121" s="3"/>
      <c r="NMU121" s="2"/>
      <c r="NMV121" s="2"/>
      <c r="NMW121" s="5"/>
      <c r="NMX121" s="2"/>
      <c r="NMY121" s="4"/>
      <c r="NMZ121" s="2"/>
      <c r="NNA121" s="3"/>
      <c r="NNB121" s="2"/>
      <c r="NNC121" s="2"/>
      <c r="NND121" s="5"/>
      <c r="NNE121" s="2"/>
      <c r="NNF121" s="4"/>
      <c r="NNG121" s="2"/>
      <c r="NNH121" s="3"/>
      <c r="NNI121" s="2"/>
      <c r="NNJ121" s="2"/>
      <c r="NNK121" s="5"/>
      <c r="NNL121" s="2"/>
      <c r="NNM121" s="4"/>
      <c r="NNN121" s="2"/>
      <c r="NNO121" s="3"/>
      <c r="NNP121" s="2"/>
      <c r="NNQ121" s="2"/>
      <c r="NNR121" s="5"/>
      <c r="NNS121" s="2"/>
      <c r="NNT121" s="4"/>
      <c r="NNU121" s="2"/>
      <c r="NNV121" s="3"/>
      <c r="NNW121" s="2"/>
      <c r="NNX121" s="2"/>
      <c r="NNY121" s="5"/>
      <c r="NNZ121" s="2"/>
      <c r="NOA121" s="4"/>
      <c r="NOB121" s="2"/>
      <c r="NOC121" s="3"/>
      <c r="NOD121" s="2"/>
      <c r="NOE121" s="2"/>
      <c r="NOF121" s="5"/>
      <c r="NOG121" s="2"/>
      <c r="NOH121" s="4"/>
      <c r="NOI121" s="2"/>
      <c r="NOJ121" s="3"/>
      <c r="NOK121" s="2"/>
      <c r="NOL121" s="2"/>
      <c r="NOM121" s="5"/>
      <c r="NON121" s="2"/>
      <c r="NOO121" s="4"/>
      <c r="NOP121" s="2"/>
      <c r="NOQ121" s="3"/>
      <c r="NOR121" s="2"/>
      <c r="NOS121" s="2"/>
      <c r="NOT121" s="5"/>
      <c r="NOU121" s="2"/>
      <c r="NOV121" s="4"/>
      <c r="NOW121" s="2"/>
      <c r="NOX121" s="3"/>
      <c r="NOY121" s="2"/>
      <c r="NOZ121" s="2"/>
      <c r="NPA121" s="5"/>
      <c r="NPB121" s="2"/>
      <c r="NPC121" s="4"/>
      <c r="NPD121" s="2"/>
      <c r="NPE121" s="3"/>
      <c r="NPF121" s="2"/>
      <c r="NPG121" s="2"/>
      <c r="NPH121" s="5"/>
      <c r="NPI121" s="2"/>
      <c r="NPJ121" s="4"/>
      <c r="NPK121" s="2"/>
      <c r="NPL121" s="3"/>
      <c r="NPM121" s="2"/>
      <c r="NPN121" s="2"/>
      <c r="NPO121" s="5"/>
      <c r="NPP121" s="2"/>
      <c r="NPQ121" s="4"/>
      <c r="NPR121" s="2"/>
      <c r="NPS121" s="3"/>
      <c r="NPT121" s="2"/>
      <c r="NPU121" s="2"/>
      <c r="NPV121" s="5"/>
      <c r="NPW121" s="2"/>
      <c r="NPX121" s="4"/>
      <c r="NPY121" s="2"/>
      <c r="NPZ121" s="3"/>
      <c r="NQA121" s="2"/>
      <c r="NQB121" s="2"/>
      <c r="NQC121" s="5"/>
      <c r="NQD121" s="2"/>
      <c r="NQE121" s="4"/>
      <c r="NQF121" s="2"/>
      <c r="NQG121" s="3"/>
      <c r="NQH121" s="2"/>
      <c r="NQI121" s="2"/>
      <c r="NQJ121" s="5"/>
      <c r="NQK121" s="2"/>
      <c r="NQL121" s="4"/>
      <c r="NQM121" s="2"/>
      <c r="NQN121" s="3"/>
      <c r="NQO121" s="2"/>
      <c r="NQP121" s="2"/>
      <c r="NQQ121" s="5"/>
      <c r="NQR121" s="2"/>
      <c r="NQS121" s="4"/>
      <c r="NQT121" s="2"/>
      <c r="NQU121" s="3"/>
      <c r="NQV121" s="2"/>
      <c r="NQW121" s="2"/>
      <c r="NQX121" s="5"/>
      <c r="NQY121" s="2"/>
      <c r="NQZ121" s="4"/>
      <c r="NRA121" s="2"/>
      <c r="NRB121" s="3"/>
      <c r="NRC121" s="2"/>
      <c r="NRD121" s="2"/>
      <c r="NRE121" s="5"/>
      <c r="NRF121" s="2"/>
      <c r="NRG121" s="4"/>
      <c r="NRH121" s="2"/>
      <c r="NRI121" s="3"/>
      <c r="NRJ121" s="2"/>
      <c r="NRK121" s="2"/>
      <c r="NRL121" s="5"/>
      <c r="NRM121" s="2"/>
      <c r="NRN121" s="4"/>
      <c r="NRO121" s="2"/>
      <c r="NRP121" s="3"/>
      <c r="NRQ121" s="2"/>
      <c r="NRR121" s="2"/>
      <c r="NRS121" s="5"/>
      <c r="NRT121" s="2"/>
      <c r="NRU121" s="4"/>
      <c r="NRV121" s="2"/>
      <c r="NRW121" s="3"/>
      <c r="NRX121" s="2"/>
      <c r="NRY121" s="2"/>
      <c r="NRZ121" s="5"/>
      <c r="NSA121" s="2"/>
      <c r="NSB121" s="4"/>
      <c r="NSC121" s="2"/>
      <c r="NSD121" s="3"/>
      <c r="NSE121" s="2"/>
      <c r="NSF121" s="2"/>
      <c r="NSG121" s="5"/>
      <c r="NSH121" s="2"/>
      <c r="NSI121" s="4"/>
      <c r="NSJ121" s="2"/>
      <c r="NSK121" s="3"/>
      <c r="NSL121" s="2"/>
      <c r="NSM121" s="2"/>
      <c r="NSN121" s="5"/>
      <c r="NSO121" s="2"/>
      <c r="NSP121" s="4"/>
      <c r="NSQ121" s="2"/>
      <c r="NSR121" s="3"/>
      <c r="NSS121" s="2"/>
      <c r="NST121" s="2"/>
      <c r="NSU121" s="5"/>
      <c r="NSV121" s="2"/>
      <c r="NSW121" s="4"/>
      <c r="NSX121" s="2"/>
      <c r="NSY121" s="3"/>
      <c r="NSZ121" s="2"/>
      <c r="NTA121" s="2"/>
      <c r="NTB121" s="5"/>
      <c r="NTC121" s="2"/>
      <c r="NTD121" s="4"/>
      <c r="NTE121" s="2"/>
      <c r="NTF121" s="3"/>
      <c r="NTG121" s="2"/>
      <c r="NTH121" s="2"/>
      <c r="NTI121" s="5"/>
      <c r="NTJ121" s="2"/>
      <c r="NTK121" s="4"/>
      <c r="NTL121" s="2"/>
      <c r="NTM121" s="3"/>
      <c r="NTN121" s="2"/>
      <c r="NTO121" s="2"/>
      <c r="NTP121" s="5"/>
      <c r="NTQ121" s="2"/>
      <c r="NTR121" s="4"/>
      <c r="NTS121" s="2"/>
      <c r="NTT121" s="3"/>
      <c r="NTU121" s="2"/>
      <c r="NTV121" s="2"/>
      <c r="NTW121" s="5"/>
      <c r="NTX121" s="2"/>
      <c r="NTY121" s="4"/>
      <c r="NTZ121" s="2"/>
      <c r="NUA121" s="3"/>
      <c r="NUB121" s="2"/>
      <c r="NUC121" s="2"/>
      <c r="NUD121" s="5"/>
      <c r="NUE121" s="2"/>
      <c r="NUF121" s="4"/>
      <c r="NUG121" s="2"/>
      <c r="NUH121" s="3"/>
      <c r="NUI121" s="2"/>
      <c r="NUJ121" s="2"/>
      <c r="NUK121" s="5"/>
      <c r="NUL121" s="2"/>
      <c r="NUM121" s="4"/>
      <c r="NUN121" s="2"/>
      <c r="NUO121" s="3"/>
      <c r="NUP121" s="2"/>
      <c r="NUQ121" s="2"/>
      <c r="NUR121" s="5"/>
      <c r="NUS121" s="2"/>
      <c r="NUT121" s="4"/>
      <c r="NUU121" s="2"/>
      <c r="NUV121" s="3"/>
      <c r="NUW121" s="2"/>
      <c r="NUX121" s="2"/>
      <c r="NUY121" s="5"/>
      <c r="NUZ121" s="2"/>
      <c r="NVA121" s="4"/>
      <c r="NVB121" s="2"/>
      <c r="NVC121" s="3"/>
      <c r="NVD121" s="2"/>
      <c r="NVE121" s="2"/>
      <c r="NVF121" s="5"/>
      <c r="NVG121" s="2"/>
      <c r="NVH121" s="4"/>
      <c r="NVI121" s="2"/>
      <c r="NVJ121" s="3"/>
      <c r="NVK121" s="2"/>
      <c r="NVL121" s="2"/>
      <c r="NVM121" s="5"/>
      <c r="NVN121" s="2"/>
      <c r="NVO121" s="4"/>
      <c r="NVP121" s="2"/>
      <c r="NVQ121" s="3"/>
      <c r="NVR121" s="2"/>
      <c r="NVS121" s="2"/>
      <c r="NVT121" s="5"/>
      <c r="NVU121" s="2"/>
      <c r="NVV121" s="4"/>
      <c r="NVW121" s="2"/>
      <c r="NVX121" s="3"/>
      <c r="NVY121" s="2"/>
      <c r="NVZ121" s="2"/>
      <c r="NWA121" s="5"/>
      <c r="NWB121" s="2"/>
      <c r="NWC121" s="4"/>
      <c r="NWD121" s="2"/>
      <c r="NWE121" s="3"/>
      <c r="NWF121" s="2"/>
      <c r="NWG121" s="2"/>
      <c r="NWH121" s="5"/>
      <c r="NWI121" s="2"/>
      <c r="NWJ121" s="4"/>
      <c r="NWK121" s="2"/>
      <c r="NWL121" s="3"/>
      <c r="NWM121" s="2"/>
      <c r="NWN121" s="2"/>
      <c r="NWO121" s="5"/>
      <c r="NWP121" s="2"/>
      <c r="NWQ121" s="4"/>
      <c r="NWR121" s="2"/>
      <c r="NWS121" s="3"/>
      <c r="NWT121" s="2"/>
      <c r="NWU121" s="2"/>
      <c r="NWV121" s="5"/>
      <c r="NWW121" s="2"/>
      <c r="NWX121" s="4"/>
      <c r="NWY121" s="2"/>
      <c r="NWZ121" s="3"/>
      <c r="NXA121" s="2"/>
      <c r="NXB121" s="2"/>
      <c r="NXC121" s="5"/>
      <c r="NXD121" s="2"/>
      <c r="NXE121" s="4"/>
      <c r="NXF121" s="2"/>
      <c r="NXG121" s="3"/>
      <c r="NXH121" s="2"/>
      <c r="NXI121" s="2"/>
      <c r="NXJ121" s="5"/>
      <c r="NXK121" s="2"/>
      <c r="NXL121" s="4"/>
      <c r="NXM121" s="2"/>
      <c r="NXN121" s="3"/>
      <c r="NXO121" s="2"/>
      <c r="NXP121" s="2"/>
      <c r="NXQ121" s="5"/>
      <c r="NXR121" s="2"/>
      <c r="NXS121" s="4"/>
      <c r="NXT121" s="2"/>
      <c r="NXU121" s="3"/>
      <c r="NXV121" s="2"/>
      <c r="NXW121" s="2"/>
      <c r="NXX121" s="5"/>
      <c r="NXY121" s="2"/>
      <c r="NXZ121" s="4"/>
      <c r="NYA121" s="2"/>
      <c r="NYB121" s="3"/>
      <c r="NYC121" s="2"/>
      <c r="NYD121" s="2"/>
      <c r="NYE121" s="5"/>
      <c r="NYF121" s="2"/>
      <c r="NYG121" s="4"/>
      <c r="NYH121" s="2"/>
      <c r="NYI121" s="3"/>
      <c r="NYJ121" s="2"/>
      <c r="NYK121" s="2"/>
      <c r="NYL121" s="5"/>
      <c r="NYM121" s="2"/>
      <c r="NYN121" s="4"/>
      <c r="NYO121" s="2"/>
      <c r="NYP121" s="3"/>
      <c r="NYQ121" s="2"/>
      <c r="NYR121" s="2"/>
      <c r="NYS121" s="5"/>
      <c r="NYT121" s="2"/>
      <c r="NYU121" s="4"/>
      <c r="NYV121" s="2"/>
      <c r="NYW121" s="3"/>
      <c r="NYX121" s="2"/>
      <c r="NYY121" s="2"/>
      <c r="NYZ121" s="5"/>
      <c r="NZA121" s="2"/>
      <c r="NZB121" s="4"/>
      <c r="NZC121" s="2"/>
      <c r="NZD121" s="3"/>
      <c r="NZE121" s="2"/>
      <c r="NZF121" s="2"/>
      <c r="NZG121" s="5"/>
      <c r="NZH121" s="2"/>
      <c r="NZI121" s="4"/>
      <c r="NZJ121" s="2"/>
      <c r="NZK121" s="3"/>
      <c r="NZL121" s="2"/>
      <c r="NZM121" s="2"/>
      <c r="NZN121" s="5"/>
      <c r="NZO121" s="2"/>
      <c r="NZP121" s="4"/>
      <c r="NZQ121" s="2"/>
      <c r="NZR121" s="3"/>
      <c r="NZS121" s="2"/>
      <c r="NZT121" s="2"/>
      <c r="NZU121" s="5"/>
      <c r="NZV121" s="2"/>
      <c r="NZW121" s="4"/>
      <c r="NZX121" s="2"/>
      <c r="NZY121" s="3"/>
      <c r="NZZ121" s="2"/>
      <c r="OAA121" s="2"/>
      <c r="OAB121" s="5"/>
      <c r="OAC121" s="2"/>
      <c r="OAD121" s="4"/>
      <c r="OAE121" s="2"/>
      <c r="OAF121" s="3"/>
      <c r="OAG121" s="2"/>
      <c r="OAH121" s="2"/>
      <c r="OAI121" s="5"/>
      <c r="OAJ121" s="2"/>
      <c r="OAK121" s="4"/>
      <c r="OAL121" s="2"/>
      <c r="OAM121" s="3"/>
      <c r="OAN121" s="2"/>
      <c r="OAO121" s="2"/>
      <c r="OAP121" s="5"/>
      <c r="OAQ121" s="2"/>
      <c r="OAR121" s="4"/>
      <c r="OAS121" s="2"/>
      <c r="OAT121" s="3"/>
      <c r="OAU121" s="2"/>
      <c r="OAV121" s="2"/>
      <c r="OAW121" s="5"/>
      <c r="OAX121" s="2"/>
      <c r="OAY121" s="4"/>
      <c r="OAZ121" s="2"/>
      <c r="OBA121" s="3"/>
      <c r="OBB121" s="2"/>
      <c r="OBC121" s="2"/>
      <c r="OBD121" s="5"/>
      <c r="OBE121" s="2"/>
      <c r="OBF121" s="4"/>
      <c r="OBG121" s="2"/>
      <c r="OBH121" s="3"/>
      <c r="OBI121" s="2"/>
      <c r="OBJ121" s="2"/>
      <c r="OBK121" s="5"/>
      <c r="OBL121" s="2"/>
      <c r="OBM121" s="4"/>
      <c r="OBN121" s="2"/>
      <c r="OBO121" s="3"/>
      <c r="OBP121" s="2"/>
      <c r="OBQ121" s="2"/>
      <c r="OBR121" s="5"/>
      <c r="OBS121" s="2"/>
      <c r="OBT121" s="4"/>
      <c r="OBU121" s="2"/>
      <c r="OBV121" s="3"/>
      <c r="OBW121" s="2"/>
      <c r="OBX121" s="2"/>
      <c r="OBY121" s="5"/>
      <c r="OBZ121" s="2"/>
      <c r="OCA121" s="4"/>
      <c r="OCB121" s="2"/>
      <c r="OCC121" s="3"/>
      <c r="OCD121" s="2"/>
      <c r="OCE121" s="2"/>
      <c r="OCF121" s="5"/>
      <c r="OCG121" s="2"/>
      <c r="OCH121" s="4"/>
      <c r="OCI121" s="2"/>
      <c r="OCJ121" s="3"/>
      <c r="OCK121" s="2"/>
      <c r="OCL121" s="2"/>
      <c r="OCM121" s="5"/>
      <c r="OCN121" s="2"/>
      <c r="OCO121" s="4"/>
      <c r="OCP121" s="2"/>
      <c r="OCQ121" s="3"/>
      <c r="OCR121" s="2"/>
      <c r="OCS121" s="2"/>
      <c r="OCT121" s="5"/>
      <c r="OCU121" s="2"/>
      <c r="OCV121" s="4"/>
      <c r="OCW121" s="2"/>
      <c r="OCX121" s="3"/>
      <c r="OCY121" s="2"/>
      <c r="OCZ121" s="2"/>
      <c r="ODA121" s="5"/>
      <c r="ODB121" s="2"/>
      <c r="ODC121" s="4"/>
      <c r="ODD121" s="2"/>
      <c r="ODE121" s="3"/>
      <c r="ODF121" s="2"/>
      <c r="ODG121" s="2"/>
      <c r="ODH121" s="5"/>
      <c r="ODI121" s="2"/>
      <c r="ODJ121" s="4"/>
      <c r="ODK121" s="2"/>
      <c r="ODL121" s="3"/>
      <c r="ODM121" s="2"/>
      <c r="ODN121" s="2"/>
      <c r="ODO121" s="5"/>
      <c r="ODP121" s="2"/>
      <c r="ODQ121" s="4"/>
      <c r="ODR121" s="2"/>
      <c r="ODS121" s="3"/>
      <c r="ODT121" s="2"/>
      <c r="ODU121" s="2"/>
      <c r="ODV121" s="5"/>
      <c r="ODW121" s="2"/>
      <c r="ODX121" s="4"/>
      <c r="ODY121" s="2"/>
      <c r="ODZ121" s="3"/>
      <c r="OEA121" s="2"/>
      <c r="OEB121" s="2"/>
      <c r="OEC121" s="5"/>
      <c r="OED121" s="2"/>
      <c r="OEE121" s="4"/>
      <c r="OEF121" s="2"/>
      <c r="OEG121" s="3"/>
      <c r="OEH121" s="2"/>
      <c r="OEI121" s="2"/>
      <c r="OEJ121" s="5"/>
      <c r="OEK121" s="2"/>
      <c r="OEL121" s="4"/>
      <c r="OEM121" s="2"/>
      <c r="OEN121" s="3"/>
      <c r="OEO121" s="2"/>
      <c r="OEP121" s="2"/>
      <c r="OEQ121" s="5"/>
      <c r="OER121" s="2"/>
      <c r="OES121" s="4"/>
      <c r="OET121" s="2"/>
      <c r="OEU121" s="3"/>
      <c r="OEV121" s="2"/>
      <c r="OEW121" s="2"/>
      <c r="OEX121" s="5"/>
      <c r="OEY121" s="2"/>
      <c r="OEZ121" s="4"/>
      <c r="OFA121" s="2"/>
      <c r="OFB121" s="3"/>
      <c r="OFC121" s="2"/>
      <c r="OFD121" s="2"/>
      <c r="OFE121" s="5"/>
      <c r="OFF121" s="2"/>
      <c r="OFG121" s="4"/>
      <c r="OFH121" s="2"/>
      <c r="OFI121" s="3"/>
      <c r="OFJ121" s="2"/>
      <c r="OFK121" s="2"/>
      <c r="OFL121" s="5"/>
      <c r="OFM121" s="2"/>
      <c r="OFN121" s="4"/>
      <c r="OFO121" s="2"/>
      <c r="OFP121" s="3"/>
      <c r="OFQ121" s="2"/>
      <c r="OFR121" s="2"/>
      <c r="OFS121" s="5"/>
      <c r="OFT121" s="2"/>
      <c r="OFU121" s="4"/>
      <c r="OFV121" s="2"/>
      <c r="OFW121" s="3"/>
      <c r="OFX121" s="2"/>
      <c r="OFY121" s="2"/>
      <c r="OFZ121" s="5"/>
      <c r="OGA121" s="2"/>
      <c r="OGB121" s="4"/>
      <c r="OGC121" s="2"/>
      <c r="OGD121" s="3"/>
      <c r="OGE121" s="2"/>
      <c r="OGF121" s="2"/>
      <c r="OGG121" s="5"/>
      <c r="OGH121" s="2"/>
      <c r="OGI121" s="4"/>
      <c r="OGJ121" s="2"/>
      <c r="OGK121" s="3"/>
      <c r="OGL121" s="2"/>
      <c r="OGM121" s="2"/>
      <c r="OGN121" s="5"/>
      <c r="OGO121" s="2"/>
      <c r="OGP121" s="4"/>
      <c r="OGQ121" s="2"/>
      <c r="OGR121" s="3"/>
      <c r="OGS121" s="2"/>
      <c r="OGT121" s="2"/>
      <c r="OGU121" s="5"/>
      <c r="OGV121" s="2"/>
      <c r="OGW121" s="4"/>
      <c r="OGX121" s="2"/>
      <c r="OGY121" s="3"/>
      <c r="OGZ121" s="2"/>
      <c r="OHA121" s="2"/>
      <c r="OHB121" s="5"/>
      <c r="OHC121" s="2"/>
      <c r="OHD121" s="4"/>
      <c r="OHE121" s="2"/>
      <c r="OHF121" s="3"/>
      <c r="OHG121" s="2"/>
      <c r="OHH121" s="2"/>
      <c r="OHI121" s="5"/>
      <c r="OHJ121" s="2"/>
      <c r="OHK121" s="4"/>
      <c r="OHL121" s="2"/>
      <c r="OHM121" s="3"/>
      <c r="OHN121" s="2"/>
      <c r="OHO121" s="2"/>
      <c r="OHP121" s="5"/>
      <c r="OHQ121" s="2"/>
      <c r="OHR121" s="4"/>
      <c r="OHS121" s="2"/>
      <c r="OHT121" s="3"/>
      <c r="OHU121" s="2"/>
      <c r="OHV121" s="2"/>
      <c r="OHW121" s="5"/>
      <c r="OHX121" s="2"/>
      <c r="OHY121" s="4"/>
      <c r="OHZ121" s="2"/>
      <c r="OIA121" s="3"/>
      <c r="OIB121" s="2"/>
      <c r="OIC121" s="2"/>
      <c r="OID121" s="5"/>
      <c r="OIE121" s="2"/>
      <c r="OIF121" s="4"/>
      <c r="OIG121" s="2"/>
      <c r="OIH121" s="3"/>
      <c r="OII121" s="2"/>
      <c r="OIJ121" s="2"/>
      <c r="OIK121" s="5"/>
      <c r="OIL121" s="2"/>
      <c r="OIM121" s="4"/>
      <c r="OIN121" s="2"/>
      <c r="OIO121" s="3"/>
      <c r="OIP121" s="2"/>
      <c r="OIQ121" s="2"/>
      <c r="OIR121" s="5"/>
      <c r="OIS121" s="2"/>
      <c r="OIT121" s="4"/>
      <c r="OIU121" s="2"/>
      <c r="OIV121" s="3"/>
      <c r="OIW121" s="2"/>
      <c r="OIX121" s="2"/>
      <c r="OIY121" s="5"/>
      <c r="OIZ121" s="2"/>
      <c r="OJA121" s="4"/>
      <c r="OJB121" s="2"/>
      <c r="OJC121" s="3"/>
      <c r="OJD121" s="2"/>
      <c r="OJE121" s="2"/>
      <c r="OJF121" s="5"/>
      <c r="OJG121" s="2"/>
      <c r="OJH121" s="4"/>
      <c r="OJI121" s="2"/>
      <c r="OJJ121" s="3"/>
      <c r="OJK121" s="2"/>
      <c r="OJL121" s="2"/>
      <c r="OJM121" s="5"/>
      <c r="OJN121" s="2"/>
      <c r="OJO121" s="4"/>
      <c r="OJP121" s="2"/>
      <c r="OJQ121" s="3"/>
      <c r="OJR121" s="2"/>
      <c r="OJS121" s="2"/>
      <c r="OJT121" s="5"/>
      <c r="OJU121" s="2"/>
      <c r="OJV121" s="4"/>
      <c r="OJW121" s="2"/>
      <c r="OJX121" s="3"/>
      <c r="OJY121" s="2"/>
      <c r="OJZ121" s="2"/>
      <c r="OKA121" s="5"/>
      <c r="OKB121" s="2"/>
      <c r="OKC121" s="4"/>
      <c r="OKD121" s="2"/>
      <c r="OKE121" s="3"/>
      <c r="OKF121" s="2"/>
      <c r="OKG121" s="2"/>
      <c r="OKH121" s="5"/>
      <c r="OKI121" s="2"/>
      <c r="OKJ121" s="4"/>
      <c r="OKK121" s="2"/>
      <c r="OKL121" s="3"/>
      <c r="OKM121" s="2"/>
      <c r="OKN121" s="2"/>
      <c r="OKO121" s="5"/>
      <c r="OKP121" s="2"/>
      <c r="OKQ121" s="4"/>
      <c r="OKR121" s="2"/>
      <c r="OKS121" s="3"/>
      <c r="OKT121" s="2"/>
      <c r="OKU121" s="2"/>
      <c r="OKV121" s="5"/>
      <c r="OKW121" s="2"/>
      <c r="OKX121" s="4"/>
      <c r="OKY121" s="2"/>
      <c r="OKZ121" s="3"/>
      <c r="OLA121" s="2"/>
      <c r="OLB121" s="2"/>
      <c r="OLC121" s="5"/>
      <c r="OLD121" s="2"/>
      <c r="OLE121" s="4"/>
      <c r="OLF121" s="2"/>
      <c r="OLG121" s="3"/>
      <c r="OLH121" s="2"/>
      <c r="OLI121" s="2"/>
      <c r="OLJ121" s="5"/>
      <c r="OLK121" s="2"/>
      <c r="OLL121" s="4"/>
      <c r="OLM121" s="2"/>
      <c r="OLN121" s="3"/>
      <c r="OLO121" s="2"/>
      <c r="OLP121" s="2"/>
      <c r="OLQ121" s="5"/>
      <c r="OLR121" s="2"/>
      <c r="OLS121" s="4"/>
      <c r="OLT121" s="2"/>
      <c r="OLU121" s="3"/>
      <c r="OLV121" s="2"/>
      <c r="OLW121" s="2"/>
      <c r="OLX121" s="5"/>
      <c r="OLY121" s="2"/>
      <c r="OLZ121" s="4"/>
      <c r="OMA121" s="2"/>
      <c r="OMB121" s="3"/>
      <c r="OMC121" s="2"/>
      <c r="OMD121" s="2"/>
      <c r="OME121" s="5"/>
      <c r="OMF121" s="2"/>
      <c r="OMG121" s="4"/>
      <c r="OMH121" s="2"/>
      <c r="OMI121" s="3"/>
      <c r="OMJ121" s="2"/>
      <c r="OMK121" s="2"/>
      <c r="OML121" s="5"/>
      <c r="OMM121" s="2"/>
      <c r="OMN121" s="4"/>
      <c r="OMO121" s="2"/>
      <c r="OMP121" s="3"/>
      <c r="OMQ121" s="2"/>
      <c r="OMR121" s="2"/>
      <c r="OMS121" s="5"/>
      <c r="OMT121" s="2"/>
      <c r="OMU121" s="4"/>
      <c r="OMV121" s="2"/>
      <c r="OMW121" s="3"/>
      <c r="OMX121" s="2"/>
      <c r="OMY121" s="2"/>
      <c r="OMZ121" s="5"/>
      <c r="ONA121" s="2"/>
      <c r="ONB121" s="4"/>
      <c r="ONC121" s="2"/>
      <c r="OND121" s="3"/>
      <c r="ONE121" s="2"/>
      <c r="ONF121" s="2"/>
      <c r="ONG121" s="5"/>
      <c r="ONH121" s="2"/>
      <c r="ONI121" s="4"/>
      <c r="ONJ121" s="2"/>
      <c r="ONK121" s="3"/>
      <c r="ONL121" s="2"/>
      <c r="ONM121" s="2"/>
      <c r="ONN121" s="5"/>
      <c r="ONO121" s="2"/>
      <c r="ONP121" s="4"/>
      <c r="ONQ121" s="2"/>
      <c r="ONR121" s="3"/>
      <c r="ONS121" s="2"/>
      <c r="ONT121" s="2"/>
      <c r="ONU121" s="5"/>
      <c r="ONV121" s="2"/>
      <c r="ONW121" s="4"/>
      <c r="ONX121" s="2"/>
      <c r="ONY121" s="3"/>
      <c r="ONZ121" s="2"/>
      <c r="OOA121" s="2"/>
      <c r="OOB121" s="5"/>
      <c r="OOC121" s="2"/>
      <c r="OOD121" s="4"/>
      <c r="OOE121" s="2"/>
      <c r="OOF121" s="3"/>
      <c r="OOG121" s="2"/>
      <c r="OOH121" s="2"/>
      <c r="OOI121" s="5"/>
      <c r="OOJ121" s="2"/>
      <c r="OOK121" s="4"/>
      <c r="OOL121" s="2"/>
      <c r="OOM121" s="3"/>
      <c r="OON121" s="2"/>
      <c r="OOO121" s="2"/>
      <c r="OOP121" s="5"/>
      <c r="OOQ121" s="2"/>
      <c r="OOR121" s="4"/>
      <c r="OOS121" s="2"/>
      <c r="OOT121" s="3"/>
      <c r="OOU121" s="2"/>
      <c r="OOV121" s="2"/>
      <c r="OOW121" s="5"/>
      <c r="OOX121" s="2"/>
      <c r="OOY121" s="4"/>
      <c r="OOZ121" s="2"/>
      <c r="OPA121" s="3"/>
      <c r="OPB121" s="2"/>
      <c r="OPC121" s="2"/>
      <c r="OPD121" s="5"/>
      <c r="OPE121" s="2"/>
      <c r="OPF121" s="4"/>
      <c r="OPG121" s="2"/>
      <c r="OPH121" s="3"/>
      <c r="OPI121" s="2"/>
      <c r="OPJ121" s="2"/>
      <c r="OPK121" s="5"/>
      <c r="OPL121" s="2"/>
      <c r="OPM121" s="4"/>
      <c r="OPN121" s="2"/>
      <c r="OPO121" s="3"/>
      <c r="OPP121" s="2"/>
      <c r="OPQ121" s="2"/>
      <c r="OPR121" s="5"/>
      <c r="OPS121" s="2"/>
      <c r="OPT121" s="4"/>
      <c r="OPU121" s="2"/>
      <c r="OPV121" s="3"/>
      <c r="OPW121" s="2"/>
      <c r="OPX121" s="2"/>
      <c r="OPY121" s="5"/>
      <c r="OPZ121" s="2"/>
      <c r="OQA121" s="4"/>
      <c r="OQB121" s="2"/>
      <c r="OQC121" s="3"/>
      <c r="OQD121" s="2"/>
      <c r="OQE121" s="2"/>
      <c r="OQF121" s="5"/>
      <c r="OQG121" s="2"/>
      <c r="OQH121" s="4"/>
      <c r="OQI121" s="2"/>
      <c r="OQJ121" s="3"/>
      <c r="OQK121" s="2"/>
      <c r="OQL121" s="2"/>
      <c r="OQM121" s="5"/>
      <c r="OQN121" s="2"/>
      <c r="OQO121" s="4"/>
      <c r="OQP121" s="2"/>
      <c r="OQQ121" s="3"/>
      <c r="OQR121" s="2"/>
      <c r="OQS121" s="2"/>
      <c r="OQT121" s="5"/>
      <c r="OQU121" s="2"/>
      <c r="OQV121" s="4"/>
      <c r="OQW121" s="2"/>
      <c r="OQX121" s="3"/>
      <c r="OQY121" s="2"/>
      <c r="OQZ121" s="2"/>
      <c r="ORA121" s="5"/>
      <c r="ORB121" s="2"/>
      <c r="ORC121" s="4"/>
      <c r="ORD121" s="2"/>
      <c r="ORE121" s="3"/>
      <c r="ORF121" s="2"/>
      <c r="ORG121" s="2"/>
      <c r="ORH121" s="5"/>
      <c r="ORI121" s="2"/>
      <c r="ORJ121" s="4"/>
      <c r="ORK121" s="2"/>
      <c r="ORL121" s="3"/>
      <c r="ORM121" s="2"/>
      <c r="ORN121" s="2"/>
      <c r="ORO121" s="5"/>
      <c r="ORP121" s="2"/>
      <c r="ORQ121" s="4"/>
      <c r="ORR121" s="2"/>
      <c r="ORS121" s="3"/>
      <c r="ORT121" s="2"/>
      <c r="ORU121" s="2"/>
      <c r="ORV121" s="5"/>
      <c r="ORW121" s="2"/>
      <c r="ORX121" s="4"/>
      <c r="ORY121" s="2"/>
      <c r="ORZ121" s="3"/>
      <c r="OSA121" s="2"/>
      <c r="OSB121" s="2"/>
      <c r="OSC121" s="5"/>
      <c r="OSD121" s="2"/>
      <c r="OSE121" s="4"/>
      <c r="OSF121" s="2"/>
      <c r="OSG121" s="3"/>
      <c r="OSH121" s="2"/>
      <c r="OSI121" s="2"/>
      <c r="OSJ121" s="5"/>
      <c r="OSK121" s="2"/>
      <c r="OSL121" s="4"/>
      <c r="OSM121" s="2"/>
      <c r="OSN121" s="3"/>
      <c r="OSO121" s="2"/>
      <c r="OSP121" s="2"/>
      <c r="OSQ121" s="5"/>
      <c r="OSR121" s="2"/>
      <c r="OSS121" s="4"/>
      <c r="OST121" s="2"/>
      <c r="OSU121" s="3"/>
      <c r="OSV121" s="2"/>
      <c r="OSW121" s="2"/>
      <c r="OSX121" s="5"/>
      <c r="OSY121" s="2"/>
      <c r="OSZ121" s="4"/>
      <c r="OTA121" s="2"/>
      <c r="OTB121" s="3"/>
      <c r="OTC121" s="2"/>
      <c r="OTD121" s="2"/>
      <c r="OTE121" s="5"/>
      <c r="OTF121" s="2"/>
      <c r="OTG121" s="4"/>
      <c r="OTH121" s="2"/>
      <c r="OTI121" s="3"/>
      <c r="OTJ121" s="2"/>
      <c r="OTK121" s="2"/>
      <c r="OTL121" s="5"/>
      <c r="OTM121" s="2"/>
      <c r="OTN121" s="4"/>
      <c r="OTO121" s="2"/>
      <c r="OTP121" s="3"/>
      <c r="OTQ121" s="2"/>
      <c r="OTR121" s="2"/>
      <c r="OTS121" s="5"/>
      <c r="OTT121" s="2"/>
      <c r="OTU121" s="4"/>
      <c r="OTV121" s="2"/>
      <c r="OTW121" s="3"/>
      <c r="OTX121" s="2"/>
      <c r="OTY121" s="2"/>
      <c r="OTZ121" s="5"/>
      <c r="OUA121" s="2"/>
      <c r="OUB121" s="4"/>
      <c r="OUC121" s="2"/>
      <c r="OUD121" s="3"/>
      <c r="OUE121" s="2"/>
      <c r="OUF121" s="2"/>
      <c r="OUG121" s="5"/>
      <c r="OUH121" s="2"/>
      <c r="OUI121" s="4"/>
      <c r="OUJ121" s="2"/>
      <c r="OUK121" s="3"/>
      <c r="OUL121" s="2"/>
      <c r="OUM121" s="2"/>
      <c r="OUN121" s="5"/>
      <c r="OUO121" s="2"/>
      <c r="OUP121" s="4"/>
      <c r="OUQ121" s="2"/>
      <c r="OUR121" s="3"/>
      <c r="OUS121" s="2"/>
      <c r="OUT121" s="2"/>
      <c r="OUU121" s="5"/>
      <c r="OUV121" s="2"/>
      <c r="OUW121" s="4"/>
      <c r="OUX121" s="2"/>
      <c r="OUY121" s="3"/>
      <c r="OUZ121" s="2"/>
      <c r="OVA121" s="2"/>
      <c r="OVB121" s="5"/>
      <c r="OVC121" s="2"/>
      <c r="OVD121" s="4"/>
      <c r="OVE121" s="2"/>
      <c r="OVF121" s="3"/>
      <c r="OVG121" s="2"/>
      <c r="OVH121" s="2"/>
      <c r="OVI121" s="5"/>
      <c r="OVJ121" s="2"/>
      <c r="OVK121" s="4"/>
      <c r="OVL121" s="2"/>
      <c r="OVM121" s="3"/>
      <c r="OVN121" s="2"/>
      <c r="OVO121" s="2"/>
      <c r="OVP121" s="5"/>
      <c r="OVQ121" s="2"/>
      <c r="OVR121" s="4"/>
      <c r="OVS121" s="2"/>
      <c r="OVT121" s="3"/>
      <c r="OVU121" s="2"/>
      <c r="OVV121" s="2"/>
      <c r="OVW121" s="5"/>
      <c r="OVX121" s="2"/>
      <c r="OVY121" s="4"/>
      <c r="OVZ121" s="2"/>
      <c r="OWA121" s="3"/>
      <c r="OWB121" s="2"/>
      <c r="OWC121" s="2"/>
      <c r="OWD121" s="5"/>
      <c r="OWE121" s="2"/>
      <c r="OWF121" s="4"/>
      <c r="OWG121" s="2"/>
      <c r="OWH121" s="3"/>
      <c r="OWI121" s="2"/>
      <c r="OWJ121" s="2"/>
      <c r="OWK121" s="5"/>
      <c r="OWL121" s="2"/>
      <c r="OWM121" s="4"/>
      <c r="OWN121" s="2"/>
      <c r="OWO121" s="3"/>
      <c r="OWP121" s="2"/>
      <c r="OWQ121" s="2"/>
      <c r="OWR121" s="5"/>
      <c r="OWS121" s="2"/>
      <c r="OWT121" s="4"/>
      <c r="OWU121" s="2"/>
      <c r="OWV121" s="3"/>
      <c r="OWW121" s="2"/>
      <c r="OWX121" s="2"/>
      <c r="OWY121" s="5"/>
      <c r="OWZ121" s="2"/>
      <c r="OXA121" s="4"/>
      <c r="OXB121" s="2"/>
      <c r="OXC121" s="3"/>
      <c r="OXD121" s="2"/>
      <c r="OXE121" s="2"/>
      <c r="OXF121" s="5"/>
      <c r="OXG121" s="2"/>
      <c r="OXH121" s="4"/>
      <c r="OXI121" s="2"/>
      <c r="OXJ121" s="3"/>
      <c r="OXK121" s="2"/>
      <c r="OXL121" s="2"/>
      <c r="OXM121" s="5"/>
      <c r="OXN121" s="2"/>
      <c r="OXO121" s="4"/>
      <c r="OXP121" s="2"/>
      <c r="OXQ121" s="3"/>
      <c r="OXR121" s="2"/>
      <c r="OXS121" s="2"/>
      <c r="OXT121" s="5"/>
      <c r="OXU121" s="2"/>
      <c r="OXV121" s="4"/>
      <c r="OXW121" s="2"/>
      <c r="OXX121" s="3"/>
      <c r="OXY121" s="2"/>
      <c r="OXZ121" s="2"/>
      <c r="OYA121" s="5"/>
      <c r="OYB121" s="2"/>
      <c r="OYC121" s="4"/>
      <c r="OYD121" s="2"/>
      <c r="OYE121" s="3"/>
      <c r="OYF121" s="2"/>
      <c r="OYG121" s="2"/>
      <c r="OYH121" s="5"/>
      <c r="OYI121" s="2"/>
      <c r="OYJ121" s="4"/>
      <c r="OYK121" s="2"/>
      <c r="OYL121" s="3"/>
      <c r="OYM121" s="2"/>
      <c r="OYN121" s="2"/>
      <c r="OYO121" s="5"/>
      <c r="OYP121" s="2"/>
      <c r="OYQ121" s="4"/>
      <c r="OYR121" s="2"/>
      <c r="OYS121" s="3"/>
      <c r="OYT121" s="2"/>
      <c r="OYU121" s="2"/>
      <c r="OYV121" s="5"/>
      <c r="OYW121" s="2"/>
      <c r="OYX121" s="4"/>
      <c r="OYY121" s="2"/>
      <c r="OYZ121" s="3"/>
      <c r="OZA121" s="2"/>
      <c r="OZB121" s="2"/>
      <c r="OZC121" s="5"/>
      <c r="OZD121" s="2"/>
      <c r="OZE121" s="4"/>
      <c r="OZF121" s="2"/>
      <c r="OZG121" s="3"/>
      <c r="OZH121" s="2"/>
      <c r="OZI121" s="2"/>
      <c r="OZJ121" s="5"/>
      <c r="OZK121" s="2"/>
      <c r="OZL121" s="4"/>
      <c r="OZM121" s="2"/>
      <c r="OZN121" s="3"/>
      <c r="OZO121" s="2"/>
      <c r="OZP121" s="2"/>
      <c r="OZQ121" s="5"/>
      <c r="OZR121" s="2"/>
      <c r="OZS121" s="4"/>
      <c r="OZT121" s="2"/>
      <c r="OZU121" s="3"/>
      <c r="OZV121" s="2"/>
      <c r="OZW121" s="2"/>
      <c r="OZX121" s="5"/>
      <c r="OZY121" s="2"/>
      <c r="OZZ121" s="4"/>
      <c r="PAA121" s="2"/>
      <c r="PAB121" s="3"/>
      <c r="PAC121" s="2"/>
      <c r="PAD121" s="2"/>
      <c r="PAE121" s="5"/>
      <c r="PAF121" s="2"/>
      <c r="PAG121" s="4"/>
      <c r="PAH121" s="2"/>
      <c r="PAI121" s="3"/>
      <c r="PAJ121" s="2"/>
      <c r="PAK121" s="2"/>
      <c r="PAL121" s="5"/>
      <c r="PAM121" s="2"/>
      <c r="PAN121" s="4"/>
      <c r="PAO121" s="2"/>
      <c r="PAP121" s="3"/>
      <c r="PAQ121" s="2"/>
      <c r="PAR121" s="2"/>
      <c r="PAS121" s="5"/>
      <c r="PAT121" s="2"/>
      <c r="PAU121" s="4"/>
      <c r="PAV121" s="2"/>
      <c r="PAW121" s="3"/>
      <c r="PAX121" s="2"/>
      <c r="PAY121" s="2"/>
      <c r="PAZ121" s="5"/>
      <c r="PBA121" s="2"/>
      <c r="PBB121" s="4"/>
      <c r="PBC121" s="2"/>
      <c r="PBD121" s="3"/>
      <c r="PBE121" s="2"/>
      <c r="PBF121" s="2"/>
      <c r="PBG121" s="5"/>
      <c r="PBH121" s="2"/>
      <c r="PBI121" s="4"/>
      <c r="PBJ121" s="2"/>
      <c r="PBK121" s="3"/>
      <c r="PBL121" s="2"/>
      <c r="PBM121" s="2"/>
      <c r="PBN121" s="5"/>
      <c r="PBO121" s="2"/>
      <c r="PBP121" s="4"/>
      <c r="PBQ121" s="2"/>
      <c r="PBR121" s="3"/>
      <c r="PBS121" s="2"/>
      <c r="PBT121" s="2"/>
      <c r="PBU121" s="5"/>
      <c r="PBV121" s="2"/>
      <c r="PBW121" s="4"/>
      <c r="PBX121" s="2"/>
      <c r="PBY121" s="3"/>
      <c r="PBZ121" s="2"/>
      <c r="PCA121" s="2"/>
      <c r="PCB121" s="5"/>
      <c r="PCC121" s="2"/>
      <c r="PCD121" s="4"/>
      <c r="PCE121" s="2"/>
      <c r="PCF121" s="3"/>
      <c r="PCG121" s="2"/>
      <c r="PCH121" s="2"/>
      <c r="PCI121" s="5"/>
      <c r="PCJ121" s="2"/>
      <c r="PCK121" s="4"/>
      <c r="PCL121" s="2"/>
      <c r="PCM121" s="3"/>
      <c r="PCN121" s="2"/>
      <c r="PCO121" s="2"/>
      <c r="PCP121" s="5"/>
      <c r="PCQ121" s="2"/>
      <c r="PCR121" s="4"/>
      <c r="PCS121" s="2"/>
      <c r="PCT121" s="3"/>
      <c r="PCU121" s="2"/>
      <c r="PCV121" s="2"/>
      <c r="PCW121" s="5"/>
      <c r="PCX121" s="2"/>
      <c r="PCY121" s="4"/>
      <c r="PCZ121" s="2"/>
      <c r="PDA121" s="3"/>
      <c r="PDB121" s="2"/>
      <c r="PDC121" s="2"/>
      <c r="PDD121" s="5"/>
      <c r="PDE121" s="2"/>
      <c r="PDF121" s="4"/>
      <c r="PDG121" s="2"/>
      <c r="PDH121" s="3"/>
      <c r="PDI121" s="2"/>
      <c r="PDJ121" s="2"/>
      <c r="PDK121" s="5"/>
      <c r="PDL121" s="2"/>
      <c r="PDM121" s="4"/>
      <c r="PDN121" s="2"/>
      <c r="PDO121" s="3"/>
      <c r="PDP121" s="2"/>
      <c r="PDQ121" s="2"/>
      <c r="PDR121" s="5"/>
      <c r="PDS121" s="2"/>
      <c r="PDT121" s="4"/>
      <c r="PDU121" s="2"/>
      <c r="PDV121" s="3"/>
      <c r="PDW121" s="2"/>
      <c r="PDX121" s="2"/>
      <c r="PDY121" s="5"/>
      <c r="PDZ121" s="2"/>
      <c r="PEA121" s="4"/>
      <c r="PEB121" s="2"/>
      <c r="PEC121" s="3"/>
      <c r="PED121" s="2"/>
      <c r="PEE121" s="2"/>
      <c r="PEF121" s="5"/>
      <c r="PEG121" s="2"/>
      <c r="PEH121" s="4"/>
      <c r="PEI121" s="2"/>
      <c r="PEJ121" s="3"/>
      <c r="PEK121" s="2"/>
      <c r="PEL121" s="2"/>
      <c r="PEM121" s="5"/>
      <c r="PEN121" s="2"/>
      <c r="PEO121" s="4"/>
      <c r="PEP121" s="2"/>
      <c r="PEQ121" s="3"/>
      <c r="PER121" s="2"/>
      <c r="PES121" s="2"/>
      <c r="PET121" s="5"/>
      <c r="PEU121" s="2"/>
      <c r="PEV121" s="4"/>
      <c r="PEW121" s="2"/>
      <c r="PEX121" s="3"/>
      <c r="PEY121" s="2"/>
      <c r="PEZ121" s="2"/>
      <c r="PFA121" s="5"/>
      <c r="PFB121" s="2"/>
      <c r="PFC121" s="4"/>
      <c r="PFD121" s="2"/>
      <c r="PFE121" s="3"/>
      <c r="PFF121" s="2"/>
      <c r="PFG121" s="2"/>
      <c r="PFH121" s="5"/>
      <c r="PFI121" s="2"/>
      <c r="PFJ121" s="4"/>
      <c r="PFK121" s="2"/>
      <c r="PFL121" s="3"/>
      <c r="PFM121" s="2"/>
      <c r="PFN121" s="2"/>
      <c r="PFO121" s="5"/>
      <c r="PFP121" s="2"/>
      <c r="PFQ121" s="4"/>
      <c r="PFR121" s="2"/>
      <c r="PFS121" s="3"/>
      <c r="PFT121" s="2"/>
      <c r="PFU121" s="2"/>
      <c r="PFV121" s="5"/>
      <c r="PFW121" s="2"/>
      <c r="PFX121" s="4"/>
      <c r="PFY121" s="2"/>
      <c r="PFZ121" s="3"/>
      <c r="PGA121" s="2"/>
      <c r="PGB121" s="2"/>
      <c r="PGC121" s="5"/>
      <c r="PGD121" s="2"/>
      <c r="PGE121" s="4"/>
      <c r="PGF121" s="2"/>
      <c r="PGG121" s="3"/>
      <c r="PGH121" s="2"/>
      <c r="PGI121" s="2"/>
      <c r="PGJ121" s="5"/>
      <c r="PGK121" s="2"/>
      <c r="PGL121" s="4"/>
      <c r="PGM121" s="2"/>
      <c r="PGN121" s="3"/>
      <c r="PGO121" s="2"/>
      <c r="PGP121" s="2"/>
      <c r="PGQ121" s="5"/>
      <c r="PGR121" s="2"/>
      <c r="PGS121" s="4"/>
      <c r="PGT121" s="2"/>
      <c r="PGU121" s="3"/>
      <c r="PGV121" s="2"/>
      <c r="PGW121" s="2"/>
      <c r="PGX121" s="5"/>
      <c r="PGY121" s="2"/>
      <c r="PGZ121" s="4"/>
      <c r="PHA121" s="2"/>
      <c r="PHB121" s="3"/>
      <c r="PHC121" s="2"/>
      <c r="PHD121" s="2"/>
      <c r="PHE121" s="5"/>
      <c r="PHF121" s="2"/>
      <c r="PHG121" s="4"/>
      <c r="PHH121" s="2"/>
      <c r="PHI121" s="3"/>
      <c r="PHJ121" s="2"/>
      <c r="PHK121" s="2"/>
      <c r="PHL121" s="5"/>
      <c r="PHM121" s="2"/>
      <c r="PHN121" s="4"/>
      <c r="PHO121" s="2"/>
      <c r="PHP121" s="3"/>
      <c r="PHQ121" s="2"/>
      <c r="PHR121" s="2"/>
      <c r="PHS121" s="5"/>
      <c r="PHT121" s="2"/>
      <c r="PHU121" s="4"/>
      <c r="PHV121" s="2"/>
      <c r="PHW121" s="3"/>
      <c r="PHX121" s="2"/>
      <c r="PHY121" s="2"/>
      <c r="PHZ121" s="5"/>
      <c r="PIA121" s="2"/>
      <c r="PIB121" s="4"/>
      <c r="PIC121" s="2"/>
      <c r="PID121" s="3"/>
      <c r="PIE121" s="2"/>
      <c r="PIF121" s="2"/>
      <c r="PIG121" s="5"/>
      <c r="PIH121" s="2"/>
      <c r="PII121" s="4"/>
      <c r="PIJ121" s="2"/>
      <c r="PIK121" s="3"/>
      <c r="PIL121" s="2"/>
      <c r="PIM121" s="2"/>
      <c r="PIN121" s="5"/>
      <c r="PIO121" s="2"/>
      <c r="PIP121" s="4"/>
      <c r="PIQ121" s="2"/>
      <c r="PIR121" s="3"/>
      <c r="PIS121" s="2"/>
      <c r="PIT121" s="2"/>
      <c r="PIU121" s="5"/>
      <c r="PIV121" s="2"/>
      <c r="PIW121" s="4"/>
      <c r="PIX121" s="2"/>
      <c r="PIY121" s="3"/>
      <c r="PIZ121" s="2"/>
      <c r="PJA121" s="2"/>
      <c r="PJB121" s="5"/>
      <c r="PJC121" s="2"/>
      <c r="PJD121" s="4"/>
      <c r="PJE121" s="2"/>
      <c r="PJF121" s="3"/>
      <c r="PJG121" s="2"/>
      <c r="PJH121" s="2"/>
      <c r="PJI121" s="5"/>
      <c r="PJJ121" s="2"/>
      <c r="PJK121" s="4"/>
      <c r="PJL121" s="2"/>
      <c r="PJM121" s="3"/>
      <c r="PJN121" s="2"/>
      <c r="PJO121" s="2"/>
      <c r="PJP121" s="5"/>
      <c r="PJQ121" s="2"/>
      <c r="PJR121" s="4"/>
      <c r="PJS121" s="2"/>
      <c r="PJT121" s="3"/>
      <c r="PJU121" s="2"/>
      <c r="PJV121" s="2"/>
      <c r="PJW121" s="5"/>
      <c r="PJX121" s="2"/>
      <c r="PJY121" s="4"/>
      <c r="PJZ121" s="2"/>
      <c r="PKA121" s="3"/>
      <c r="PKB121" s="2"/>
      <c r="PKC121" s="2"/>
      <c r="PKD121" s="5"/>
      <c r="PKE121" s="2"/>
      <c r="PKF121" s="4"/>
      <c r="PKG121" s="2"/>
      <c r="PKH121" s="3"/>
      <c r="PKI121" s="2"/>
      <c r="PKJ121" s="2"/>
      <c r="PKK121" s="5"/>
      <c r="PKL121" s="2"/>
      <c r="PKM121" s="4"/>
      <c r="PKN121" s="2"/>
      <c r="PKO121" s="3"/>
      <c r="PKP121" s="2"/>
      <c r="PKQ121" s="2"/>
      <c r="PKR121" s="5"/>
      <c r="PKS121" s="2"/>
      <c r="PKT121" s="4"/>
      <c r="PKU121" s="2"/>
      <c r="PKV121" s="3"/>
      <c r="PKW121" s="2"/>
      <c r="PKX121" s="2"/>
      <c r="PKY121" s="5"/>
      <c r="PKZ121" s="2"/>
      <c r="PLA121" s="4"/>
      <c r="PLB121" s="2"/>
      <c r="PLC121" s="3"/>
      <c r="PLD121" s="2"/>
      <c r="PLE121" s="2"/>
      <c r="PLF121" s="5"/>
      <c r="PLG121" s="2"/>
      <c r="PLH121" s="4"/>
      <c r="PLI121" s="2"/>
      <c r="PLJ121" s="3"/>
      <c r="PLK121" s="2"/>
      <c r="PLL121" s="2"/>
      <c r="PLM121" s="5"/>
      <c r="PLN121" s="2"/>
      <c r="PLO121" s="4"/>
      <c r="PLP121" s="2"/>
      <c r="PLQ121" s="3"/>
      <c r="PLR121" s="2"/>
      <c r="PLS121" s="2"/>
      <c r="PLT121" s="5"/>
      <c r="PLU121" s="2"/>
      <c r="PLV121" s="4"/>
      <c r="PLW121" s="2"/>
      <c r="PLX121" s="3"/>
      <c r="PLY121" s="2"/>
      <c r="PLZ121" s="2"/>
      <c r="PMA121" s="5"/>
      <c r="PMB121" s="2"/>
      <c r="PMC121" s="4"/>
      <c r="PMD121" s="2"/>
      <c r="PME121" s="3"/>
      <c r="PMF121" s="2"/>
      <c r="PMG121" s="2"/>
      <c r="PMH121" s="5"/>
      <c r="PMI121" s="2"/>
      <c r="PMJ121" s="4"/>
      <c r="PMK121" s="2"/>
      <c r="PML121" s="3"/>
      <c r="PMM121" s="2"/>
      <c r="PMN121" s="2"/>
      <c r="PMO121" s="5"/>
      <c r="PMP121" s="2"/>
      <c r="PMQ121" s="4"/>
      <c r="PMR121" s="2"/>
      <c r="PMS121" s="3"/>
      <c r="PMT121" s="2"/>
      <c r="PMU121" s="2"/>
      <c r="PMV121" s="5"/>
      <c r="PMW121" s="2"/>
      <c r="PMX121" s="4"/>
      <c r="PMY121" s="2"/>
      <c r="PMZ121" s="3"/>
      <c r="PNA121" s="2"/>
      <c r="PNB121" s="2"/>
      <c r="PNC121" s="5"/>
      <c r="PND121" s="2"/>
      <c r="PNE121" s="4"/>
      <c r="PNF121" s="2"/>
      <c r="PNG121" s="3"/>
      <c r="PNH121" s="2"/>
      <c r="PNI121" s="2"/>
      <c r="PNJ121" s="5"/>
      <c r="PNK121" s="2"/>
      <c r="PNL121" s="4"/>
      <c r="PNM121" s="2"/>
      <c r="PNN121" s="3"/>
      <c r="PNO121" s="2"/>
      <c r="PNP121" s="2"/>
      <c r="PNQ121" s="5"/>
      <c r="PNR121" s="2"/>
      <c r="PNS121" s="4"/>
      <c r="PNT121" s="2"/>
      <c r="PNU121" s="3"/>
      <c r="PNV121" s="2"/>
      <c r="PNW121" s="2"/>
      <c r="PNX121" s="5"/>
      <c r="PNY121" s="2"/>
      <c r="PNZ121" s="4"/>
      <c r="POA121" s="2"/>
      <c r="POB121" s="3"/>
      <c r="POC121" s="2"/>
      <c r="POD121" s="2"/>
      <c r="POE121" s="5"/>
      <c r="POF121" s="2"/>
      <c r="POG121" s="4"/>
      <c r="POH121" s="2"/>
      <c r="POI121" s="3"/>
      <c r="POJ121" s="2"/>
      <c r="POK121" s="2"/>
      <c r="POL121" s="5"/>
      <c r="POM121" s="2"/>
      <c r="PON121" s="4"/>
      <c r="POO121" s="2"/>
      <c r="POP121" s="3"/>
      <c r="POQ121" s="2"/>
      <c r="POR121" s="2"/>
      <c r="POS121" s="5"/>
      <c r="POT121" s="2"/>
      <c r="POU121" s="4"/>
      <c r="POV121" s="2"/>
      <c r="POW121" s="3"/>
      <c r="POX121" s="2"/>
      <c r="POY121" s="2"/>
      <c r="POZ121" s="5"/>
      <c r="PPA121" s="2"/>
      <c r="PPB121" s="4"/>
      <c r="PPC121" s="2"/>
      <c r="PPD121" s="3"/>
      <c r="PPE121" s="2"/>
      <c r="PPF121" s="2"/>
      <c r="PPG121" s="5"/>
      <c r="PPH121" s="2"/>
      <c r="PPI121" s="4"/>
      <c r="PPJ121" s="2"/>
      <c r="PPK121" s="3"/>
      <c r="PPL121" s="2"/>
      <c r="PPM121" s="2"/>
      <c r="PPN121" s="5"/>
      <c r="PPO121" s="2"/>
      <c r="PPP121" s="4"/>
      <c r="PPQ121" s="2"/>
      <c r="PPR121" s="3"/>
      <c r="PPS121" s="2"/>
      <c r="PPT121" s="2"/>
      <c r="PPU121" s="5"/>
      <c r="PPV121" s="2"/>
      <c r="PPW121" s="4"/>
      <c r="PPX121" s="2"/>
      <c r="PPY121" s="3"/>
      <c r="PPZ121" s="2"/>
      <c r="PQA121" s="2"/>
      <c r="PQB121" s="5"/>
      <c r="PQC121" s="2"/>
      <c r="PQD121" s="4"/>
      <c r="PQE121" s="2"/>
      <c r="PQF121" s="3"/>
      <c r="PQG121" s="2"/>
      <c r="PQH121" s="2"/>
      <c r="PQI121" s="5"/>
      <c r="PQJ121" s="2"/>
      <c r="PQK121" s="4"/>
      <c r="PQL121" s="2"/>
      <c r="PQM121" s="3"/>
      <c r="PQN121" s="2"/>
      <c r="PQO121" s="2"/>
      <c r="PQP121" s="5"/>
      <c r="PQQ121" s="2"/>
      <c r="PQR121" s="4"/>
      <c r="PQS121" s="2"/>
      <c r="PQT121" s="3"/>
      <c r="PQU121" s="2"/>
      <c r="PQV121" s="2"/>
      <c r="PQW121" s="5"/>
      <c r="PQX121" s="2"/>
      <c r="PQY121" s="4"/>
      <c r="PQZ121" s="2"/>
      <c r="PRA121" s="3"/>
      <c r="PRB121" s="2"/>
      <c r="PRC121" s="2"/>
      <c r="PRD121" s="5"/>
      <c r="PRE121" s="2"/>
      <c r="PRF121" s="4"/>
      <c r="PRG121" s="2"/>
      <c r="PRH121" s="3"/>
      <c r="PRI121" s="2"/>
      <c r="PRJ121" s="2"/>
      <c r="PRK121" s="5"/>
      <c r="PRL121" s="2"/>
      <c r="PRM121" s="4"/>
      <c r="PRN121" s="2"/>
      <c r="PRO121" s="3"/>
      <c r="PRP121" s="2"/>
      <c r="PRQ121" s="2"/>
      <c r="PRR121" s="5"/>
      <c r="PRS121" s="2"/>
      <c r="PRT121" s="4"/>
      <c r="PRU121" s="2"/>
      <c r="PRV121" s="3"/>
      <c r="PRW121" s="2"/>
      <c r="PRX121" s="2"/>
      <c r="PRY121" s="5"/>
      <c r="PRZ121" s="2"/>
      <c r="PSA121" s="4"/>
      <c r="PSB121" s="2"/>
      <c r="PSC121" s="3"/>
      <c r="PSD121" s="2"/>
      <c r="PSE121" s="2"/>
      <c r="PSF121" s="5"/>
      <c r="PSG121" s="2"/>
      <c r="PSH121" s="4"/>
      <c r="PSI121" s="2"/>
      <c r="PSJ121" s="3"/>
      <c r="PSK121" s="2"/>
      <c r="PSL121" s="2"/>
      <c r="PSM121" s="5"/>
      <c r="PSN121" s="2"/>
      <c r="PSO121" s="4"/>
      <c r="PSP121" s="2"/>
      <c r="PSQ121" s="3"/>
      <c r="PSR121" s="2"/>
      <c r="PSS121" s="2"/>
      <c r="PST121" s="5"/>
      <c r="PSU121" s="2"/>
      <c r="PSV121" s="4"/>
      <c r="PSW121" s="2"/>
      <c r="PSX121" s="3"/>
      <c r="PSY121" s="2"/>
      <c r="PSZ121" s="2"/>
      <c r="PTA121" s="5"/>
      <c r="PTB121" s="2"/>
      <c r="PTC121" s="4"/>
      <c r="PTD121" s="2"/>
      <c r="PTE121" s="3"/>
      <c r="PTF121" s="2"/>
      <c r="PTG121" s="2"/>
      <c r="PTH121" s="5"/>
      <c r="PTI121" s="2"/>
      <c r="PTJ121" s="4"/>
      <c r="PTK121" s="2"/>
      <c r="PTL121" s="3"/>
      <c r="PTM121" s="2"/>
      <c r="PTN121" s="2"/>
      <c r="PTO121" s="5"/>
      <c r="PTP121" s="2"/>
      <c r="PTQ121" s="4"/>
      <c r="PTR121" s="2"/>
      <c r="PTS121" s="3"/>
      <c r="PTT121" s="2"/>
      <c r="PTU121" s="2"/>
      <c r="PTV121" s="5"/>
      <c r="PTW121" s="2"/>
      <c r="PTX121" s="4"/>
      <c r="PTY121" s="2"/>
      <c r="PTZ121" s="3"/>
      <c r="PUA121" s="2"/>
      <c r="PUB121" s="2"/>
      <c r="PUC121" s="5"/>
      <c r="PUD121" s="2"/>
      <c r="PUE121" s="4"/>
      <c r="PUF121" s="2"/>
      <c r="PUG121" s="3"/>
      <c r="PUH121" s="2"/>
      <c r="PUI121" s="2"/>
      <c r="PUJ121" s="5"/>
      <c r="PUK121" s="2"/>
      <c r="PUL121" s="4"/>
      <c r="PUM121" s="2"/>
      <c r="PUN121" s="3"/>
      <c r="PUO121" s="2"/>
      <c r="PUP121" s="2"/>
      <c r="PUQ121" s="5"/>
      <c r="PUR121" s="2"/>
      <c r="PUS121" s="4"/>
      <c r="PUT121" s="2"/>
      <c r="PUU121" s="3"/>
      <c r="PUV121" s="2"/>
      <c r="PUW121" s="2"/>
      <c r="PUX121" s="5"/>
      <c r="PUY121" s="2"/>
      <c r="PUZ121" s="4"/>
      <c r="PVA121" s="2"/>
      <c r="PVB121" s="3"/>
      <c r="PVC121" s="2"/>
      <c r="PVD121" s="2"/>
      <c r="PVE121" s="5"/>
      <c r="PVF121" s="2"/>
      <c r="PVG121" s="4"/>
      <c r="PVH121" s="2"/>
      <c r="PVI121" s="3"/>
      <c r="PVJ121" s="2"/>
      <c r="PVK121" s="2"/>
      <c r="PVL121" s="5"/>
      <c r="PVM121" s="2"/>
      <c r="PVN121" s="4"/>
      <c r="PVO121" s="2"/>
      <c r="PVP121" s="3"/>
      <c r="PVQ121" s="2"/>
      <c r="PVR121" s="2"/>
      <c r="PVS121" s="5"/>
      <c r="PVT121" s="2"/>
      <c r="PVU121" s="4"/>
      <c r="PVV121" s="2"/>
      <c r="PVW121" s="3"/>
      <c r="PVX121" s="2"/>
      <c r="PVY121" s="2"/>
      <c r="PVZ121" s="5"/>
      <c r="PWA121" s="2"/>
      <c r="PWB121" s="4"/>
      <c r="PWC121" s="2"/>
      <c r="PWD121" s="3"/>
      <c r="PWE121" s="2"/>
      <c r="PWF121" s="2"/>
      <c r="PWG121" s="5"/>
      <c r="PWH121" s="2"/>
      <c r="PWI121" s="4"/>
      <c r="PWJ121" s="2"/>
      <c r="PWK121" s="3"/>
      <c r="PWL121" s="2"/>
      <c r="PWM121" s="2"/>
      <c r="PWN121" s="5"/>
      <c r="PWO121" s="2"/>
      <c r="PWP121" s="4"/>
      <c r="PWQ121" s="2"/>
      <c r="PWR121" s="3"/>
      <c r="PWS121" s="2"/>
      <c r="PWT121" s="2"/>
      <c r="PWU121" s="5"/>
      <c r="PWV121" s="2"/>
      <c r="PWW121" s="4"/>
      <c r="PWX121" s="2"/>
      <c r="PWY121" s="3"/>
      <c r="PWZ121" s="2"/>
      <c r="PXA121" s="2"/>
      <c r="PXB121" s="5"/>
      <c r="PXC121" s="2"/>
      <c r="PXD121" s="4"/>
      <c r="PXE121" s="2"/>
      <c r="PXF121" s="3"/>
      <c r="PXG121" s="2"/>
      <c r="PXH121" s="2"/>
      <c r="PXI121" s="5"/>
      <c r="PXJ121" s="2"/>
      <c r="PXK121" s="4"/>
      <c r="PXL121" s="2"/>
      <c r="PXM121" s="3"/>
      <c r="PXN121" s="2"/>
      <c r="PXO121" s="2"/>
      <c r="PXP121" s="5"/>
      <c r="PXQ121" s="2"/>
      <c r="PXR121" s="4"/>
      <c r="PXS121" s="2"/>
      <c r="PXT121" s="3"/>
      <c r="PXU121" s="2"/>
      <c r="PXV121" s="2"/>
      <c r="PXW121" s="5"/>
      <c r="PXX121" s="2"/>
      <c r="PXY121" s="4"/>
      <c r="PXZ121" s="2"/>
      <c r="PYA121" s="3"/>
      <c r="PYB121" s="2"/>
      <c r="PYC121" s="2"/>
      <c r="PYD121" s="5"/>
      <c r="PYE121" s="2"/>
      <c r="PYF121" s="4"/>
      <c r="PYG121" s="2"/>
      <c r="PYH121" s="3"/>
      <c r="PYI121" s="2"/>
      <c r="PYJ121" s="2"/>
      <c r="PYK121" s="5"/>
      <c r="PYL121" s="2"/>
      <c r="PYM121" s="4"/>
      <c r="PYN121" s="2"/>
      <c r="PYO121" s="3"/>
      <c r="PYP121" s="2"/>
      <c r="PYQ121" s="2"/>
      <c r="PYR121" s="5"/>
      <c r="PYS121" s="2"/>
      <c r="PYT121" s="4"/>
      <c r="PYU121" s="2"/>
      <c r="PYV121" s="3"/>
      <c r="PYW121" s="2"/>
      <c r="PYX121" s="2"/>
      <c r="PYY121" s="5"/>
      <c r="PYZ121" s="2"/>
      <c r="PZA121" s="4"/>
      <c r="PZB121" s="2"/>
      <c r="PZC121" s="3"/>
      <c r="PZD121" s="2"/>
      <c r="PZE121" s="2"/>
      <c r="PZF121" s="5"/>
      <c r="PZG121" s="2"/>
      <c r="PZH121" s="4"/>
      <c r="PZI121" s="2"/>
      <c r="PZJ121" s="3"/>
      <c r="PZK121" s="2"/>
      <c r="PZL121" s="2"/>
      <c r="PZM121" s="5"/>
      <c r="PZN121" s="2"/>
      <c r="PZO121" s="4"/>
      <c r="PZP121" s="2"/>
      <c r="PZQ121" s="3"/>
      <c r="PZR121" s="2"/>
      <c r="PZS121" s="2"/>
      <c r="PZT121" s="5"/>
      <c r="PZU121" s="2"/>
      <c r="PZV121" s="4"/>
      <c r="PZW121" s="2"/>
      <c r="PZX121" s="3"/>
      <c r="PZY121" s="2"/>
      <c r="PZZ121" s="2"/>
      <c r="QAA121" s="5"/>
      <c r="QAB121" s="2"/>
      <c r="QAC121" s="4"/>
      <c r="QAD121" s="2"/>
      <c r="QAE121" s="3"/>
      <c r="QAF121" s="2"/>
      <c r="QAG121" s="2"/>
      <c r="QAH121" s="5"/>
      <c r="QAI121" s="2"/>
      <c r="QAJ121" s="4"/>
      <c r="QAK121" s="2"/>
      <c r="QAL121" s="3"/>
      <c r="QAM121" s="2"/>
      <c r="QAN121" s="2"/>
      <c r="QAO121" s="5"/>
      <c r="QAP121" s="2"/>
      <c r="QAQ121" s="4"/>
      <c r="QAR121" s="2"/>
      <c r="QAS121" s="3"/>
      <c r="QAT121" s="2"/>
      <c r="QAU121" s="2"/>
      <c r="QAV121" s="5"/>
      <c r="QAW121" s="2"/>
      <c r="QAX121" s="4"/>
      <c r="QAY121" s="2"/>
      <c r="QAZ121" s="3"/>
      <c r="QBA121" s="2"/>
      <c r="QBB121" s="2"/>
      <c r="QBC121" s="5"/>
      <c r="QBD121" s="2"/>
      <c r="QBE121" s="4"/>
      <c r="QBF121" s="2"/>
      <c r="QBG121" s="3"/>
      <c r="QBH121" s="2"/>
      <c r="QBI121" s="2"/>
      <c r="QBJ121" s="5"/>
      <c r="QBK121" s="2"/>
      <c r="QBL121" s="4"/>
      <c r="QBM121" s="2"/>
      <c r="QBN121" s="3"/>
      <c r="QBO121" s="2"/>
      <c r="QBP121" s="2"/>
      <c r="QBQ121" s="5"/>
      <c r="QBR121" s="2"/>
      <c r="QBS121" s="4"/>
      <c r="QBT121" s="2"/>
      <c r="QBU121" s="3"/>
      <c r="QBV121" s="2"/>
      <c r="QBW121" s="2"/>
      <c r="QBX121" s="5"/>
      <c r="QBY121" s="2"/>
      <c r="QBZ121" s="4"/>
      <c r="QCA121" s="2"/>
      <c r="QCB121" s="3"/>
      <c r="QCC121" s="2"/>
      <c r="QCD121" s="2"/>
      <c r="QCE121" s="5"/>
      <c r="QCF121" s="2"/>
      <c r="QCG121" s="4"/>
      <c r="QCH121" s="2"/>
      <c r="QCI121" s="3"/>
      <c r="QCJ121" s="2"/>
      <c r="QCK121" s="2"/>
      <c r="QCL121" s="5"/>
      <c r="QCM121" s="2"/>
      <c r="QCN121" s="4"/>
      <c r="QCO121" s="2"/>
      <c r="QCP121" s="3"/>
      <c r="QCQ121" s="2"/>
      <c r="QCR121" s="2"/>
      <c r="QCS121" s="5"/>
      <c r="QCT121" s="2"/>
      <c r="QCU121" s="4"/>
      <c r="QCV121" s="2"/>
      <c r="QCW121" s="3"/>
      <c r="QCX121" s="2"/>
      <c r="QCY121" s="2"/>
      <c r="QCZ121" s="5"/>
      <c r="QDA121" s="2"/>
      <c r="QDB121" s="4"/>
      <c r="QDC121" s="2"/>
      <c r="QDD121" s="3"/>
      <c r="QDE121" s="2"/>
      <c r="QDF121" s="2"/>
      <c r="QDG121" s="5"/>
      <c r="QDH121" s="2"/>
      <c r="QDI121" s="4"/>
      <c r="QDJ121" s="2"/>
      <c r="QDK121" s="3"/>
      <c r="QDL121" s="2"/>
      <c r="QDM121" s="2"/>
      <c r="QDN121" s="5"/>
      <c r="QDO121" s="2"/>
      <c r="QDP121" s="4"/>
      <c r="QDQ121" s="2"/>
      <c r="QDR121" s="3"/>
      <c r="QDS121" s="2"/>
      <c r="QDT121" s="2"/>
      <c r="QDU121" s="5"/>
      <c r="QDV121" s="2"/>
      <c r="QDW121" s="4"/>
      <c r="QDX121" s="2"/>
      <c r="QDY121" s="3"/>
      <c r="QDZ121" s="2"/>
      <c r="QEA121" s="2"/>
      <c r="QEB121" s="5"/>
      <c r="QEC121" s="2"/>
      <c r="QED121" s="4"/>
      <c r="QEE121" s="2"/>
      <c r="QEF121" s="3"/>
      <c r="QEG121" s="2"/>
      <c r="QEH121" s="2"/>
      <c r="QEI121" s="5"/>
      <c r="QEJ121" s="2"/>
      <c r="QEK121" s="4"/>
      <c r="QEL121" s="2"/>
      <c r="QEM121" s="3"/>
      <c r="QEN121" s="2"/>
      <c r="QEO121" s="2"/>
      <c r="QEP121" s="5"/>
      <c r="QEQ121" s="2"/>
      <c r="QER121" s="4"/>
      <c r="QES121" s="2"/>
      <c r="QET121" s="3"/>
      <c r="QEU121" s="2"/>
      <c r="QEV121" s="2"/>
      <c r="QEW121" s="5"/>
      <c r="QEX121" s="2"/>
      <c r="QEY121" s="4"/>
      <c r="QEZ121" s="2"/>
      <c r="QFA121" s="3"/>
      <c r="QFB121" s="2"/>
      <c r="QFC121" s="2"/>
      <c r="QFD121" s="5"/>
      <c r="QFE121" s="2"/>
      <c r="QFF121" s="4"/>
      <c r="QFG121" s="2"/>
      <c r="QFH121" s="3"/>
      <c r="QFI121" s="2"/>
      <c r="QFJ121" s="2"/>
      <c r="QFK121" s="5"/>
      <c r="QFL121" s="2"/>
      <c r="QFM121" s="4"/>
      <c r="QFN121" s="2"/>
      <c r="QFO121" s="3"/>
      <c r="QFP121" s="2"/>
      <c r="QFQ121" s="2"/>
      <c r="QFR121" s="5"/>
      <c r="QFS121" s="2"/>
      <c r="QFT121" s="4"/>
      <c r="QFU121" s="2"/>
      <c r="QFV121" s="3"/>
      <c r="QFW121" s="2"/>
      <c r="QFX121" s="2"/>
      <c r="QFY121" s="5"/>
      <c r="QFZ121" s="2"/>
      <c r="QGA121" s="4"/>
      <c r="QGB121" s="2"/>
      <c r="QGC121" s="3"/>
      <c r="QGD121" s="2"/>
      <c r="QGE121" s="2"/>
      <c r="QGF121" s="5"/>
      <c r="QGG121" s="2"/>
      <c r="QGH121" s="4"/>
      <c r="QGI121" s="2"/>
      <c r="QGJ121" s="3"/>
      <c r="QGK121" s="2"/>
      <c r="QGL121" s="2"/>
      <c r="QGM121" s="5"/>
      <c r="QGN121" s="2"/>
      <c r="QGO121" s="4"/>
      <c r="QGP121" s="2"/>
      <c r="QGQ121" s="3"/>
      <c r="QGR121" s="2"/>
      <c r="QGS121" s="2"/>
      <c r="QGT121" s="5"/>
      <c r="QGU121" s="2"/>
      <c r="QGV121" s="4"/>
      <c r="QGW121" s="2"/>
      <c r="QGX121" s="3"/>
      <c r="QGY121" s="2"/>
      <c r="QGZ121" s="2"/>
      <c r="QHA121" s="5"/>
      <c r="QHB121" s="2"/>
      <c r="QHC121" s="4"/>
      <c r="QHD121" s="2"/>
      <c r="QHE121" s="3"/>
      <c r="QHF121" s="2"/>
      <c r="QHG121" s="2"/>
      <c r="QHH121" s="5"/>
      <c r="QHI121" s="2"/>
      <c r="QHJ121" s="4"/>
      <c r="QHK121" s="2"/>
      <c r="QHL121" s="3"/>
      <c r="QHM121" s="2"/>
      <c r="QHN121" s="2"/>
      <c r="QHO121" s="5"/>
      <c r="QHP121" s="2"/>
      <c r="QHQ121" s="4"/>
      <c r="QHR121" s="2"/>
      <c r="QHS121" s="3"/>
      <c r="QHT121" s="2"/>
      <c r="QHU121" s="2"/>
      <c r="QHV121" s="5"/>
      <c r="QHW121" s="2"/>
      <c r="QHX121" s="4"/>
      <c r="QHY121" s="2"/>
      <c r="QHZ121" s="3"/>
      <c r="QIA121" s="2"/>
      <c r="QIB121" s="2"/>
      <c r="QIC121" s="5"/>
      <c r="QID121" s="2"/>
      <c r="QIE121" s="4"/>
      <c r="QIF121" s="2"/>
      <c r="QIG121" s="3"/>
      <c r="QIH121" s="2"/>
      <c r="QII121" s="2"/>
      <c r="QIJ121" s="5"/>
      <c r="QIK121" s="2"/>
      <c r="QIL121" s="4"/>
      <c r="QIM121" s="2"/>
      <c r="QIN121" s="3"/>
      <c r="QIO121" s="2"/>
      <c r="QIP121" s="2"/>
      <c r="QIQ121" s="5"/>
      <c r="QIR121" s="2"/>
      <c r="QIS121" s="4"/>
      <c r="QIT121" s="2"/>
      <c r="QIU121" s="3"/>
      <c r="QIV121" s="2"/>
      <c r="QIW121" s="2"/>
      <c r="QIX121" s="5"/>
      <c r="QIY121" s="2"/>
      <c r="QIZ121" s="4"/>
      <c r="QJA121" s="2"/>
      <c r="QJB121" s="3"/>
      <c r="QJC121" s="2"/>
      <c r="QJD121" s="2"/>
      <c r="QJE121" s="5"/>
      <c r="QJF121" s="2"/>
      <c r="QJG121" s="4"/>
      <c r="QJH121" s="2"/>
      <c r="QJI121" s="3"/>
      <c r="QJJ121" s="2"/>
      <c r="QJK121" s="2"/>
      <c r="QJL121" s="5"/>
      <c r="QJM121" s="2"/>
      <c r="QJN121" s="4"/>
      <c r="QJO121" s="2"/>
      <c r="QJP121" s="3"/>
      <c r="QJQ121" s="2"/>
      <c r="QJR121" s="2"/>
      <c r="QJS121" s="5"/>
      <c r="QJT121" s="2"/>
      <c r="QJU121" s="4"/>
      <c r="QJV121" s="2"/>
      <c r="QJW121" s="3"/>
      <c r="QJX121" s="2"/>
      <c r="QJY121" s="2"/>
      <c r="QJZ121" s="5"/>
      <c r="QKA121" s="2"/>
      <c r="QKB121" s="4"/>
      <c r="QKC121" s="2"/>
      <c r="QKD121" s="3"/>
      <c r="QKE121" s="2"/>
      <c r="QKF121" s="2"/>
      <c r="QKG121" s="5"/>
      <c r="QKH121" s="2"/>
      <c r="QKI121" s="4"/>
      <c r="QKJ121" s="2"/>
      <c r="QKK121" s="3"/>
      <c r="QKL121" s="2"/>
      <c r="QKM121" s="2"/>
      <c r="QKN121" s="5"/>
      <c r="QKO121" s="2"/>
      <c r="QKP121" s="4"/>
      <c r="QKQ121" s="2"/>
      <c r="QKR121" s="3"/>
      <c r="QKS121" s="2"/>
      <c r="QKT121" s="2"/>
      <c r="QKU121" s="5"/>
      <c r="QKV121" s="2"/>
      <c r="QKW121" s="4"/>
      <c r="QKX121" s="2"/>
      <c r="QKY121" s="3"/>
      <c r="QKZ121" s="2"/>
      <c r="QLA121" s="2"/>
      <c r="QLB121" s="5"/>
      <c r="QLC121" s="2"/>
      <c r="QLD121" s="4"/>
      <c r="QLE121" s="2"/>
      <c r="QLF121" s="3"/>
      <c r="QLG121" s="2"/>
      <c r="QLH121" s="2"/>
      <c r="QLI121" s="5"/>
      <c r="QLJ121" s="2"/>
      <c r="QLK121" s="4"/>
      <c r="QLL121" s="2"/>
      <c r="QLM121" s="3"/>
      <c r="QLN121" s="2"/>
      <c r="QLO121" s="2"/>
      <c r="QLP121" s="5"/>
      <c r="QLQ121" s="2"/>
      <c r="QLR121" s="4"/>
      <c r="QLS121" s="2"/>
      <c r="QLT121" s="3"/>
      <c r="QLU121" s="2"/>
      <c r="QLV121" s="2"/>
      <c r="QLW121" s="5"/>
      <c r="QLX121" s="2"/>
      <c r="QLY121" s="4"/>
      <c r="QLZ121" s="2"/>
      <c r="QMA121" s="3"/>
      <c r="QMB121" s="2"/>
      <c r="QMC121" s="2"/>
      <c r="QMD121" s="5"/>
      <c r="QME121" s="2"/>
      <c r="QMF121" s="4"/>
      <c r="QMG121" s="2"/>
      <c r="QMH121" s="3"/>
      <c r="QMI121" s="2"/>
      <c r="QMJ121" s="2"/>
      <c r="QMK121" s="5"/>
      <c r="QML121" s="2"/>
      <c r="QMM121" s="4"/>
      <c r="QMN121" s="2"/>
      <c r="QMO121" s="3"/>
      <c r="QMP121" s="2"/>
      <c r="QMQ121" s="2"/>
      <c r="QMR121" s="5"/>
      <c r="QMS121" s="2"/>
      <c r="QMT121" s="4"/>
      <c r="QMU121" s="2"/>
      <c r="QMV121" s="3"/>
      <c r="QMW121" s="2"/>
      <c r="QMX121" s="2"/>
      <c r="QMY121" s="5"/>
      <c r="QMZ121" s="2"/>
      <c r="QNA121" s="4"/>
      <c r="QNB121" s="2"/>
      <c r="QNC121" s="3"/>
      <c r="QND121" s="2"/>
      <c r="QNE121" s="2"/>
      <c r="QNF121" s="5"/>
      <c r="QNG121" s="2"/>
      <c r="QNH121" s="4"/>
      <c r="QNI121" s="2"/>
      <c r="QNJ121" s="3"/>
      <c r="QNK121" s="2"/>
      <c r="QNL121" s="2"/>
      <c r="QNM121" s="5"/>
      <c r="QNN121" s="2"/>
      <c r="QNO121" s="4"/>
      <c r="QNP121" s="2"/>
      <c r="QNQ121" s="3"/>
      <c r="QNR121" s="2"/>
      <c r="QNS121" s="2"/>
      <c r="QNT121" s="5"/>
      <c r="QNU121" s="2"/>
      <c r="QNV121" s="4"/>
      <c r="QNW121" s="2"/>
      <c r="QNX121" s="3"/>
      <c r="QNY121" s="2"/>
      <c r="QNZ121" s="2"/>
      <c r="QOA121" s="5"/>
      <c r="QOB121" s="2"/>
      <c r="QOC121" s="4"/>
      <c r="QOD121" s="2"/>
      <c r="QOE121" s="3"/>
      <c r="QOF121" s="2"/>
      <c r="QOG121" s="2"/>
      <c r="QOH121" s="5"/>
      <c r="QOI121" s="2"/>
      <c r="QOJ121" s="4"/>
      <c r="QOK121" s="2"/>
      <c r="QOL121" s="3"/>
      <c r="QOM121" s="2"/>
      <c r="QON121" s="2"/>
      <c r="QOO121" s="5"/>
      <c r="QOP121" s="2"/>
      <c r="QOQ121" s="4"/>
      <c r="QOR121" s="2"/>
      <c r="QOS121" s="3"/>
      <c r="QOT121" s="2"/>
      <c r="QOU121" s="2"/>
      <c r="QOV121" s="5"/>
      <c r="QOW121" s="2"/>
      <c r="QOX121" s="4"/>
      <c r="QOY121" s="2"/>
      <c r="QOZ121" s="3"/>
      <c r="QPA121" s="2"/>
      <c r="QPB121" s="2"/>
      <c r="QPC121" s="5"/>
      <c r="QPD121" s="2"/>
      <c r="QPE121" s="4"/>
      <c r="QPF121" s="2"/>
      <c r="QPG121" s="3"/>
      <c r="QPH121" s="2"/>
      <c r="QPI121" s="2"/>
      <c r="QPJ121" s="5"/>
      <c r="QPK121" s="2"/>
      <c r="QPL121" s="4"/>
      <c r="QPM121" s="2"/>
      <c r="QPN121" s="3"/>
      <c r="QPO121" s="2"/>
      <c r="QPP121" s="2"/>
      <c r="QPQ121" s="5"/>
      <c r="QPR121" s="2"/>
      <c r="QPS121" s="4"/>
      <c r="QPT121" s="2"/>
      <c r="QPU121" s="3"/>
      <c r="QPV121" s="2"/>
      <c r="QPW121" s="2"/>
      <c r="QPX121" s="5"/>
      <c r="QPY121" s="2"/>
      <c r="QPZ121" s="4"/>
      <c r="QQA121" s="2"/>
      <c r="QQB121" s="3"/>
      <c r="QQC121" s="2"/>
      <c r="QQD121" s="2"/>
      <c r="QQE121" s="5"/>
      <c r="QQF121" s="2"/>
      <c r="QQG121" s="4"/>
      <c r="QQH121" s="2"/>
      <c r="QQI121" s="3"/>
      <c r="QQJ121" s="2"/>
      <c r="QQK121" s="2"/>
      <c r="QQL121" s="5"/>
      <c r="QQM121" s="2"/>
      <c r="QQN121" s="4"/>
      <c r="QQO121" s="2"/>
      <c r="QQP121" s="3"/>
      <c r="QQQ121" s="2"/>
      <c r="QQR121" s="2"/>
      <c r="QQS121" s="5"/>
      <c r="QQT121" s="2"/>
      <c r="QQU121" s="4"/>
      <c r="QQV121" s="2"/>
      <c r="QQW121" s="3"/>
      <c r="QQX121" s="2"/>
      <c r="QQY121" s="2"/>
      <c r="QQZ121" s="5"/>
      <c r="QRA121" s="2"/>
      <c r="QRB121" s="4"/>
      <c r="QRC121" s="2"/>
      <c r="QRD121" s="3"/>
      <c r="QRE121" s="2"/>
      <c r="QRF121" s="2"/>
      <c r="QRG121" s="5"/>
      <c r="QRH121" s="2"/>
      <c r="QRI121" s="4"/>
      <c r="QRJ121" s="2"/>
      <c r="QRK121" s="3"/>
      <c r="QRL121" s="2"/>
      <c r="QRM121" s="2"/>
      <c r="QRN121" s="5"/>
      <c r="QRO121" s="2"/>
      <c r="QRP121" s="4"/>
      <c r="QRQ121" s="2"/>
      <c r="QRR121" s="3"/>
      <c r="QRS121" s="2"/>
      <c r="QRT121" s="2"/>
      <c r="QRU121" s="5"/>
      <c r="QRV121" s="2"/>
      <c r="QRW121" s="4"/>
      <c r="QRX121" s="2"/>
      <c r="QRY121" s="3"/>
      <c r="QRZ121" s="2"/>
      <c r="QSA121" s="2"/>
      <c r="QSB121" s="5"/>
      <c r="QSC121" s="2"/>
      <c r="QSD121" s="4"/>
      <c r="QSE121" s="2"/>
      <c r="QSF121" s="3"/>
      <c r="QSG121" s="2"/>
      <c r="QSH121" s="2"/>
      <c r="QSI121" s="5"/>
      <c r="QSJ121" s="2"/>
      <c r="QSK121" s="4"/>
      <c r="QSL121" s="2"/>
      <c r="QSM121" s="3"/>
      <c r="QSN121" s="2"/>
      <c r="QSO121" s="2"/>
      <c r="QSP121" s="5"/>
      <c r="QSQ121" s="2"/>
      <c r="QSR121" s="4"/>
      <c r="QSS121" s="2"/>
      <c r="QST121" s="3"/>
      <c r="QSU121" s="2"/>
      <c r="QSV121" s="2"/>
      <c r="QSW121" s="5"/>
      <c r="QSX121" s="2"/>
      <c r="QSY121" s="4"/>
      <c r="QSZ121" s="2"/>
      <c r="QTA121" s="3"/>
      <c r="QTB121" s="2"/>
      <c r="QTC121" s="2"/>
      <c r="QTD121" s="5"/>
      <c r="QTE121" s="2"/>
      <c r="QTF121" s="4"/>
      <c r="QTG121" s="2"/>
      <c r="QTH121" s="3"/>
      <c r="QTI121" s="2"/>
      <c r="QTJ121" s="2"/>
      <c r="QTK121" s="5"/>
      <c r="QTL121" s="2"/>
      <c r="QTM121" s="4"/>
      <c r="QTN121" s="2"/>
      <c r="QTO121" s="3"/>
      <c r="QTP121" s="2"/>
      <c r="QTQ121" s="2"/>
      <c r="QTR121" s="5"/>
      <c r="QTS121" s="2"/>
      <c r="QTT121" s="4"/>
      <c r="QTU121" s="2"/>
      <c r="QTV121" s="3"/>
      <c r="QTW121" s="2"/>
      <c r="QTX121" s="2"/>
      <c r="QTY121" s="5"/>
      <c r="QTZ121" s="2"/>
      <c r="QUA121" s="4"/>
      <c r="QUB121" s="2"/>
      <c r="QUC121" s="3"/>
      <c r="QUD121" s="2"/>
      <c r="QUE121" s="2"/>
      <c r="QUF121" s="5"/>
      <c r="QUG121" s="2"/>
      <c r="QUH121" s="4"/>
      <c r="QUI121" s="2"/>
      <c r="QUJ121" s="3"/>
      <c r="QUK121" s="2"/>
      <c r="QUL121" s="2"/>
      <c r="QUM121" s="5"/>
      <c r="QUN121" s="2"/>
      <c r="QUO121" s="4"/>
      <c r="QUP121" s="2"/>
      <c r="QUQ121" s="3"/>
      <c r="QUR121" s="2"/>
      <c r="QUS121" s="2"/>
      <c r="QUT121" s="5"/>
      <c r="QUU121" s="2"/>
      <c r="QUV121" s="4"/>
      <c r="QUW121" s="2"/>
      <c r="QUX121" s="3"/>
      <c r="QUY121" s="2"/>
      <c r="QUZ121" s="2"/>
      <c r="QVA121" s="5"/>
      <c r="QVB121" s="2"/>
      <c r="QVC121" s="4"/>
      <c r="QVD121" s="2"/>
      <c r="QVE121" s="3"/>
      <c r="QVF121" s="2"/>
      <c r="QVG121" s="2"/>
      <c r="QVH121" s="5"/>
      <c r="QVI121" s="2"/>
      <c r="QVJ121" s="4"/>
      <c r="QVK121" s="2"/>
      <c r="QVL121" s="3"/>
      <c r="QVM121" s="2"/>
      <c r="QVN121" s="2"/>
      <c r="QVO121" s="5"/>
      <c r="QVP121" s="2"/>
      <c r="QVQ121" s="4"/>
      <c r="QVR121" s="2"/>
      <c r="QVS121" s="3"/>
      <c r="QVT121" s="2"/>
      <c r="QVU121" s="2"/>
      <c r="QVV121" s="5"/>
      <c r="QVW121" s="2"/>
      <c r="QVX121" s="4"/>
      <c r="QVY121" s="2"/>
      <c r="QVZ121" s="3"/>
      <c r="QWA121" s="2"/>
      <c r="QWB121" s="2"/>
      <c r="QWC121" s="5"/>
      <c r="QWD121" s="2"/>
      <c r="QWE121" s="4"/>
      <c r="QWF121" s="2"/>
      <c r="QWG121" s="3"/>
      <c r="QWH121" s="2"/>
      <c r="QWI121" s="2"/>
      <c r="QWJ121" s="5"/>
      <c r="QWK121" s="2"/>
      <c r="QWL121" s="4"/>
      <c r="QWM121" s="2"/>
      <c r="QWN121" s="3"/>
      <c r="QWO121" s="2"/>
      <c r="QWP121" s="2"/>
      <c r="QWQ121" s="5"/>
      <c r="QWR121" s="2"/>
      <c r="QWS121" s="4"/>
      <c r="QWT121" s="2"/>
      <c r="QWU121" s="3"/>
      <c r="QWV121" s="2"/>
      <c r="QWW121" s="2"/>
      <c r="QWX121" s="5"/>
      <c r="QWY121" s="2"/>
      <c r="QWZ121" s="4"/>
      <c r="QXA121" s="2"/>
      <c r="QXB121" s="3"/>
      <c r="QXC121" s="2"/>
      <c r="QXD121" s="2"/>
      <c r="QXE121" s="5"/>
      <c r="QXF121" s="2"/>
      <c r="QXG121" s="4"/>
      <c r="QXH121" s="2"/>
      <c r="QXI121" s="3"/>
      <c r="QXJ121" s="2"/>
      <c r="QXK121" s="2"/>
      <c r="QXL121" s="5"/>
      <c r="QXM121" s="2"/>
      <c r="QXN121" s="4"/>
      <c r="QXO121" s="2"/>
      <c r="QXP121" s="3"/>
      <c r="QXQ121" s="2"/>
      <c r="QXR121" s="2"/>
      <c r="QXS121" s="5"/>
      <c r="QXT121" s="2"/>
      <c r="QXU121" s="4"/>
      <c r="QXV121" s="2"/>
      <c r="QXW121" s="3"/>
      <c r="QXX121" s="2"/>
      <c r="QXY121" s="2"/>
      <c r="QXZ121" s="5"/>
      <c r="QYA121" s="2"/>
      <c r="QYB121" s="4"/>
      <c r="QYC121" s="2"/>
      <c r="QYD121" s="3"/>
      <c r="QYE121" s="2"/>
      <c r="QYF121" s="2"/>
      <c r="QYG121" s="5"/>
      <c r="QYH121" s="2"/>
      <c r="QYI121" s="4"/>
      <c r="QYJ121" s="2"/>
      <c r="QYK121" s="3"/>
      <c r="QYL121" s="2"/>
      <c r="QYM121" s="2"/>
      <c r="QYN121" s="5"/>
      <c r="QYO121" s="2"/>
      <c r="QYP121" s="4"/>
      <c r="QYQ121" s="2"/>
      <c r="QYR121" s="3"/>
      <c r="QYS121" s="2"/>
      <c r="QYT121" s="2"/>
      <c r="QYU121" s="5"/>
      <c r="QYV121" s="2"/>
      <c r="QYW121" s="4"/>
      <c r="QYX121" s="2"/>
      <c r="QYY121" s="3"/>
      <c r="QYZ121" s="2"/>
      <c r="QZA121" s="2"/>
      <c r="QZB121" s="5"/>
      <c r="QZC121" s="2"/>
      <c r="QZD121" s="4"/>
      <c r="QZE121" s="2"/>
      <c r="QZF121" s="3"/>
      <c r="QZG121" s="2"/>
      <c r="QZH121" s="2"/>
      <c r="QZI121" s="5"/>
      <c r="QZJ121" s="2"/>
      <c r="QZK121" s="4"/>
      <c r="QZL121" s="2"/>
      <c r="QZM121" s="3"/>
      <c r="QZN121" s="2"/>
      <c r="QZO121" s="2"/>
      <c r="QZP121" s="5"/>
      <c r="QZQ121" s="2"/>
      <c r="QZR121" s="4"/>
      <c r="QZS121" s="2"/>
      <c r="QZT121" s="3"/>
      <c r="QZU121" s="2"/>
      <c r="QZV121" s="2"/>
      <c r="QZW121" s="5"/>
      <c r="QZX121" s="2"/>
      <c r="QZY121" s="4"/>
      <c r="QZZ121" s="2"/>
      <c r="RAA121" s="3"/>
      <c r="RAB121" s="2"/>
      <c r="RAC121" s="2"/>
      <c r="RAD121" s="5"/>
      <c r="RAE121" s="2"/>
      <c r="RAF121" s="4"/>
      <c r="RAG121" s="2"/>
      <c r="RAH121" s="3"/>
      <c r="RAI121" s="2"/>
      <c r="RAJ121" s="2"/>
      <c r="RAK121" s="5"/>
      <c r="RAL121" s="2"/>
      <c r="RAM121" s="4"/>
      <c r="RAN121" s="2"/>
      <c r="RAO121" s="3"/>
      <c r="RAP121" s="2"/>
      <c r="RAQ121" s="2"/>
      <c r="RAR121" s="5"/>
      <c r="RAS121" s="2"/>
      <c r="RAT121" s="4"/>
      <c r="RAU121" s="2"/>
      <c r="RAV121" s="3"/>
      <c r="RAW121" s="2"/>
      <c r="RAX121" s="2"/>
      <c r="RAY121" s="5"/>
      <c r="RAZ121" s="2"/>
      <c r="RBA121" s="4"/>
      <c r="RBB121" s="2"/>
      <c r="RBC121" s="3"/>
      <c r="RBD121" s="2"/>
      <c r="RBE121" s="2"/>
      <c r="RBF121" s="5"/>
      <c r="RBG121" s="2"/>
      <c r="RBH121" s="4"/>
      <c r="RBI121" s="2"/>
      <c r="RBJ121" s="3"/>
      <c r="RBK121" s="2"/>
      <c r="RBL121" s="2"/>
      <c r="RBM121" s="5"/>
      <c r="RBN121" s="2"/>
      <c r="RBO121" s="4"/>
      <c r="RBP121" s="2"/>
      <c r="RBQ121" s="3"/>
      <c r="RBR121" s="2"/>
      <c r="RBS121" s="2"/>
      <c r="RBT121" s="5"/>
      <c r="RBU121" s="2"/>
      <c r="RBV121" s="4"/>
      <c r="RBW121" s="2"/>
      <c r="RBX121" s="3"/>
      <c r="RBY121" s="2"/>
      <c r="RBZ121" s="2"/>
      <c r="RCA121" s="5"/>
      <c r="RCB121" s="2"/>
      <c r="RCC121" s="4"/>
      <c r="RCD121" s="2"/>
      <c r="RCE121" s="3"/>
      <c r="RCF121" s="2"/>
      <c r="RCG121" s="2"/>
      <c r="RCH121" s="5"/>
      <c r="RCI121" s="2"/>
      <c r="RCJ121" s="4"/>
      <c r="RCK121" s="2"/>
      <c r="RCL121" s="3"/>
      <c r="RCM121" s="2"/>
      <c r="RCN121" s="2"/>
      <c r="RCO121" s="5"/>
      <c r="RCP121" s="2"/>
      <c r="RCQ121" s="4"/>
      <c r="RCR121" s="2"/>
      <c r="RCS121" s="3"/>
      <c r="RCT121" s="2"/>
      <c r="RCU121" s="2"/>
      <c r="RCV121" s="5"/>
      <c r="RCW121" s="2"/>
      <c r="RCX121" s="4"/>
      <c r="RCY121" s="2"/>
      <c r="RCZ121" s="3"/>
      <c r="RDA121" s="2"/>
      <c r="RDB121" s="2"/>
      <c r="RDC121" s="5"/>
      <c r="RDD121" s="2"/>
      <c r="RDE121" s="4"/>
      <c r="RDF121" s="2"/>
      <c r="RDG121" s="3"/>
      <c r="RDH121" s="2"/>
      <c r="RDI121" s="2"/>
      <c r="RDJ121" s="5"/>
      <c r="RDK121" s="2"/>
      <c r="RDL121" s="4"/>
      <c r="RDM121" s="2"/>
      <c r="RDN121" s="3"/>
      <c r="RDO121" s="2"/>
      <c r="RDP121" s="2"/>
      <c r="RDQ121" s="5"/>
      <c r="RDR121" s="2"/>
      <c r="RDS121" s="4"/>
      <c r="RDT121" s="2"/>
      <c r="RDU121" s="3"/>
      <c r="RDV121" s="2"/>
      <c r="RDW121" s="2"/>
      <c r="RDX121" s="5"/>
      <c r="RDY121" s="2"/>
      <c r="RDZ121" s="4"/>
      <c r="REA121" s="2"/>
      <c r="REB121" s="3"/>
      <c r="REC121" s="2"/>
      <c r="RED121" s="2"/>
      <c r="REE121" s="5"/>
      <c r="REF121" s="2"/>
      <c r="REG121" s="4"/>
      <c r="REH121" s="2"/>
      <c r="REI121" s="3"/>
      <c r="REJ121" s="2"/>
      <c r="REK121" s="2"/>
      <c r="REL121" s="5"/>
      <c r="REM121" s="2"/>
      <c r="REN121" s="4"/>
      <c r="REO121" s="2"/>
      <c r="REP121" s="3"/>
      <c r="REQ121" s="2"/>
      <c r="RER121" s="2"/>
      <c r="RES121" s="5"/>
      <c r="RET121" s="2"/>
      <c r="REU121" s="4"/>
      <c r="REV121" s="2"/>
      <c r="REW121" s="3"/>
      <c r="REX121" s="2"/>
      <c r="REY121" s="2"/>
      <c r="REZ121" s="5"/>
      <c r="RFA121" s="2"/>
      <c r="RFB121" s="4"/>
      <c r="RFC121" s="2"/>
      <c r="RFD121" s="3"/>
      <c r="RFE121" s="2"/>
      <c r="RFF121" s="2"/>
      <c r="RFG121" s="5"/>
      <c r="RFH121" s="2"/>
      <c r="RFI121" s="4"/>
      <c r="RFJ121" s="2"/>
      <c r="RFK121" s="3"/>
      <c r="RFL121" s="2"/>
      <c r="RFM121" s="2"/>
      <c r="RFN121" s="5"/>
      <c r="RFO121" s="2"/>
      <c r="RFP121" s="4"/>
      <c r="RFQ121" s="2"/>
      <c r="RFR121" s="3"/>
      <c r="RFS121" s="2"/>
      <c r="RFT121" s="2"/>
      <c r="RFU121" s="5"/>
      <c r="RFV121" s="2"/>
      <c r="RFW121" s="4"/>
      <c r="RFX121" s="2"/>
      <c r="RFY121" s="3"/>
      <c r="RFZ121" s="2"/>
      <c r="RGA121" s="2"/>
      <c r="RGB121" s="5"/>
      <c r="RGC121" s="2"/>
      <c r="RGD121" s="4"/>
      <c r="RGE121" s="2"/>
      <c r="RGF121" s="3"/>
      <c r="RGG121" s="2"/>
      <c r="RGH121" s="2"/>
      <c r="RGI121" s="5"/>
      <c r="RGJ121" s="2"/>
      <c r="RGK121" s="4"/>
      <c r="RGL121" s="2"/>
      <c r="RGM121" s="3"/>
      <c r="RGN121" s="2"/>
      <c r="RGO121" s="2"/>
      <c r="RGP121" s="5"/>
      <c r="RGQ121" s="2"/>
      <c r="RGR121" s="4"/>
      <c r="RGS121" s="2"/>
      <c r="RGT121" s="3"/>
      <c r="RGU121" s="2"/>
      <c r="RGV121" s="2"/>
      <c r="RGW121" s="5"/>
      <c r="RGX121" s="2"/>
      <c r="RGY121" s="4"/>
      <c r="RGZ121" s="2"/>
      <c r="RHA121" s="3"/>
      <c r="RHB121" s="2"/>
      <c r="RHC121" s="2"/>
      <c r="RHD121" s="5"/>
      <c r="RHE121" s="2"/>
      <c r="RHF121" s="4"/>
      <c r="RHG121" s="2"/>
      <c r="RHH121" s="3"/>
      <c r="RHI121" s="2"/>
      <c r="RHJ121" s="2"/>
      <c r="RHK121" s="5"/>
      <c r="RHL121" s="2"/>
      <c r="RHM121" s="4"/>
      <c r="RHN121" s="2"/>
      <c r="RHO121" s="3"/>
      <c r="RHP121" s="2"/>
      <c r="RHQ121" s="2"/>
      <c r="RHR121" s="5"/>
      <c r="RHS121" s="2"/>
      <c r="RHT121" s="4"/>
      <c r="RHU121" s="2"/>
      <c r="RHV121" s="3"/>
      <c r="RHW121" s="2"/>
      <c r="RHX121" s="2"/>
      <c r="RHY121" s="5"/>
      <c r="RHZ121" s="2"/>
      <c r="RIA121" s="4"/>
      <c r="RIB121" s="2"/>
      <c r="RIC121" s="3"/>
      <c r="RID121" s="2"/>
      <c r="RIE121" s="2"/>
      <c r="RIF121" s="5"/>
      <c r="RIG121" s="2"/>
      <c r="RIH121" s="4"/>
      <c r="RII121" s="2"/>
      <c r="RIJ121" s="3"/>
      <c r="RIK121" s="2"/>
      <c r="RIL121" s="2"/>
      <c r="RIM121" s="5"/>
      <c r="RIN121" s="2"/>
      <c r="RIO121" s="4"/>
      <c r="RIP121" s="2"/>
      <c r="RIQ121" s="3"/>
      <c r="RIR121" s="2"/>
      <c r="RIS121" s="2"/>
      <c r="RIT121" s="5"/>
      <c r="RIU121" s="2"/>
      <c r="RIV121" s="4"/>
      <c r="RIW121" s="2"/>
      <c r="RIX121" s="3"/>
      <c r="RIY121" s="2"/>
      <c r="RIZ121" s="2"/>
      <c r="RJA121" s="5"/>
      <c r="RJB121" s="2"/>
      <c r="RJC121" s="4"/>
      <c r="RJD121" s="2"/>
      <c r="RJE121" s="3"/>
      <c r="RJF121" s="2"/>
      <c r="RJG121" s="2"/>
      <c r="RJH121" s="5"/>
      <c r="RJI121" s="2"/>
      <c r="RJJ121" s="4"/>
      <c r="RJK121" s="2"/>
      <c r="RJL121" s="3"/>
      <c r="RJM121" s="2"/>
      <c r="RJN121" s="2"/>
      <c r="RJO121" s="5"/>
      <c r="RJP121" s="2"/>
      <c r="RJQ121" s="4"/>
      <c r="RJR121" s="2"/>
      <c r="RJS121" s="3"/>
      <c r="RJT121" s="2"/>
      <c r="RJU121" s="2"/>
      <c r="RJV121" s="5"/>
      <c r="RJW121" s="2"/>
      <c r="RJX121" s="4"/>
      <c r="RJY121" s="2"/>
      <c r="RJZ121" s="3"/>
      <c r="RKA121" s="2"/>
      <c r="RKB121" s="2"/>
      <c r="RKC121" s="5"/>
      <c r="RKD121" s="2"/>
      <c r="RKE121" s="4"/>
      <c r="RKF121" s="2"/>
      <c r="RKG121" s="3"/>
      <c r="RKH121" s="2"/>
      <c r="RKI121" s="2"/>
      <c r="RKJ121" s="5"/>
      <c r="RKK121" s="2"/>
      <c r="RKL121" s="4"/>
      <c r="RKM121" s="2"/>
      <c r="RKN121" s="3"/>
      <c r="RKO121" s="2"/>
      <c r="RKP121" s="2"/>
      <c r="RKQ121" s="5"/>
      <c r="RKR121" s="2"/>
      <c r="RKS121" s="4"/>
      <c r="RKT121" s="2"/>
      <c r="RKU121" s="3"/>
      <c r="RKV121" s="2"/>
      <c r="RKW121" s="2"/>
      <c r="RKX121" s="5"/>
      <c r="RKY121" s="2"/>
      <c r="RKZ121" s="4"/>
      <c r="RLA121" s="2"/>
      <c r="RLB121" s="3"/>
      <c r="RLC121" s="2"/>
      <c r="RLD121" s="2"/>
      <c r="RLE121" s="5"/>
      <c r="RLF121" s="2"/>
      <c r="RLG121" s="4"/>
      <c r="RLH121" s="2"/>
      <c r="RLI121" s="3"/>
      <c r="RLJ121" s="2"/>
      <c r="RLK121" s="2"/>
      <c r="RLL121" s="5"/>
      <c r="RLM121" s="2"/>
      <c r="RLN121" s="4"/>
      <c r="RLO121" s="2"/>
      <c r="RLP121" s="3"/>
      <c r="RLQ121" s="2"/>
      <c r="RLR121" s="2"/>
      <c r="RLS121" s="5"/>
      <c r="RLT121" s="2"/>
      <c r="RLU121" s="4"/>
      <c r="RLV121" s="2"/>
      <c r="RLW121" s="3"/>
      <c r="RLX121" s="2"/>
      <c r="RLY121" s="2"/>
      <c r="RLZ121" s="5"/>
      <c r="RMA121" s="2"/>
      <c r="RMB121" s="4"/>
      <c r="RMC121" s="2"/>
      <c r="RMD121" s="3"/>
      <c r="RME121" s="2"/>
      <c r="RMF121" s="2"/>
      <c r="RMG121" s="5"/>
      <c r="RMH121" s="2"/>
      <c r="RMI121" s="4"/>
      <c r="RMJ121" s="2"/>
      <c r="RMK121" s="3"/>
      <c r="RML121" s="2"/>
      <c r="RMM121" s="2"/>
      <c r="RMN121" s="5"/>
      <c r="RMO121" s="2"/>
      <c r="RMP121" s="4"/>
      <c r="RMQ121" s="2"/>
      <c r="RMR121" s="3"/>
      <c r="RMS121" s="2"/>
      <c r="RMT121" s="2"/>
      <c r="RMU121" s="5"/>
      <c r="RMV121" s="2"/>
      <c r="RMW121" s="4"/>
      <c r="RMX121" s="2"/>
      <c r="RMY121" s="3"/>
      <c r="RMZ121" s="2"/>
      <c r="RNA121" s="2"/>
      <c r="RNB121" s="5"/>
      <c r="RNC121" s="2"/>
      <c r="RND121" s="4"/>
      <c r="RNE121" s="2"/>
      <c r="RNF121" s="3"/>
      <c r="RNG121" s="2"/>
      <c r="RNH121" s="2"/>
      <c r="RNI121" s="5"/>
      <c r="RNJ121" s="2"/>
      <c r="RNK121" s="4"/>
      <c r="RNL121" s="2"/>
      <c r="RNM121" s="3"/>
      <c r="RNN121" s="2"/>
      <c r="RNO121" s="2"/>
      <c r="RNP121" s="5"/>
      <c r="RNQ121" s="2"/>
      <c r="RNR121" s="4"/>
      <c r="RNS121" s="2"/>
      <c r="RNT121" s="3"/>
      <c r="RNU121" s="2"/>
      <c r="RNV121" s="2"/>
      <c r="RNW121" s="5"/>
      <c r="RNX121" s="2"/>
      <c r="RNY121" s="4"/>
      <c r="RNZ121" s="2"/>
      <c r="ROA121" s="3"/>
      <c r="ROB121" s="2"/>
      <c r="ROC121" s="2"/>
      <c r="ROD121" s="5"/>
      <c r="ROE121" s="2"/>
      <c r="ROF121" s="4"/>
      <c r="ROG121" s="2"/>
      <c r="ROH121" s="3"/>
      <c r="ROI121" s="2"/>
      <c r="ROJ121" s="2"/>
      <c r="ROK121" s="5"/>
      <c r="ROL121" s="2"/>
      <c r="ROM121" s="4"/>
      <c r="RON121" s="2"/>
      <c r="ROO121" s="3"/>
      <c r="ROP121" s="2"/>
      <c r="ROQ121" s="2"/>
      <c r="ROR121" s="5"/>
      <c r="ROS121" s="2"/>
      <c r="ROT121" s="4"/>
      <c r="ROU121" s="2"/>
      <c r="ROV121" s="3"/>
      <c r="ROW121" s="2"/>
      <c r="ROX121" s="2"/>
      <c r="ROY121" s="5"/>
      <c r="ROZ121" s="2"/>
      <c r="RPA121" s="4"/>
      <c r="RPB121" s="2"/>
      <c r="RPC121" s="3"/>
      <c r="RPD121" s="2"/>
      <c r="RPE121" s="2"/>
      <c r="RPF121" s="5"/>
      <c r="RPG121" s="2"/>
      <c r="RPH121" s="4"/>
      <c r="RPI121" s="2"/>
      <c r="RPJ121" s="3"/>
      <c r="RPK121" s="2"/>
      <c r="RPL121" s="2"/>
      <c r="RPM121" s="5"/>
      <c r="RPN121" s="2"/>
      <c r="RPO121" s="4"/>
      <c r="RPP121" s="2"/>
      <c r="RPQ121" s="3"/>
      <c r="RPR121" s="2"/>
      <c r="RPS121" s="2"/>
      <c r="RPT121" s="5"/>
      <c r="RPU121" s="2"/>
      <c r="RPV121" s="4"/>
      <c r="RPW121" s="2"/>
      <c r="RPX121" s="3"/>
      <c r="RPY121" s="2"/>
      <c r="RPZ121" s="2"/>
      <c r="RQA121" s="5"/>
      <c r="RQB121" s="2"/>
      <c r="RQC121" s="4"/>
      <c r="RQD121" s="2"/>
      <c r="RQE121" s="3"/>
      <c r="RQF121" s="2"/>
      <c r="RQG121" s="2"/>
      <c r="RQH121" s="5"/>
      <c r="RQI121" s="2"/>
      <c r="RQJ121" s="4"/>
      <c r="RQK121" s="2"/>
      <c r="RQL121" s="3"/>
      <c r="RQM121" s="2"/>
      <c r="RQN121" s="2"/>
      <c r="RQO121" s="5"/>
      <c r="RQP121" s="2"/>
      <c r="RQQ121" s="4"/>
      <c r="RQR121" s="2"/>
      <c r="RQS121" s="3"/>
      <c r="RQT121" s="2"/>
      <c r="RQU121" s="2"/>
      <c r="RQV121" s="5"/>
      <c r="RQW121" s="2"/>
      <c r="RQX121" s="4"/>
      <c r="RQY121" s="2"/>
      <c r="RQZ121" s="3"/>
      <c r="RRA121" s="2"/>
      <c r="RRB121" s="2"/>
      <c r="RRC121" s="5"/>
      <c r="RRD121" s="2"/>
      <c r="RRE121" s="4"/>
      <c r="RRF121" s="2"/>
      <c r="RRG121" s="3"/>
      <c r="RRH121" s="2"/>
      <c r="RRI121" s="2"/>
      <c r="RRJ121" s="5"/>
      <c r="RRK121" s="2"/>
      <c r="RRL121" s="4"/>
      <c r="RRM121" s="2"/>
      <c r="RRN121" s="3"/>
      <c r="RRO121" s="2"/>
      <c r="RRP121" s="2"/>
      <c r="RRQ121" s="5"/>
      <c r="RRR121" s="2"/>
      <c r="RRS121" s="4"/>
      <c r="RRT121" s="2"/>
      <c r="RRU121" s="3"/>
      <c r="RRV121" s="2"/>
      <c r="RRW121" s="2"/>
      <c r="RRX121" s="5"/>
      <c r="RRY121" s="2"/>
      <c r="RRZ121" s="4"/>
      <c r="RSA121" s="2"/>
      <c r="RSB121" s="3"/>
      <c r="RSC121" s="2"/>
      <c r="RSD121" s="2"/>
      <c r="RSE121" s="5"/>
      <c r="RSF121" s="2"/>
      <c r="RSG121" s="4"/>
      <c r="RSH121" s="2"/>
      <c r="RSI121" s="3"/>
      <c r="RSJ121" s="2"/>
      <c r="RSK121" s="2"/>
      <c r="RSL121" s="5"/>
      <c r="RSM121" s="2"/>
      <c r="RSN121" s="4"/>
      <c r="RSO121" s="2"/>
      <c r="RSP121" s="3"/>
      <c r="RSQ121" s="2"/>
      <c r="RSR121" s="2"/>
      <c r="RSS121" s="5"/>
      <c r="RST121" s="2"/>
      <c r="RSU121" s="4"/>
      <c r="RSV121" s="2"/>
      <c r="RSW121" s="3"/>
      <c r="RSX121" s="2"/>
      <c r="RSY121" s="2"/>
      <c r="RSZ121" s="5"/>
      <c r="RTA121" s="2"/>
      <c r="RTB121" s="4"/>
      <c r="RTC121" s="2"/>
      <c r="RTD121" s="3"/>
      <c r="RTE121" s="2"/>
      <c r="RTF121" s="2"/>
      <c r="RTG121" s="5"/>
      <c r="RTH121" s="2"/>
      <c r="RTI121" s="4"/>
      <c r="RTJ121" s="2"/>
      <c r="RTK121" s="3"/>
      <c r="RTL121" s="2"/>
      <c r="RTM121" s="2"/>
      <c r="RTN121" s="5"/>
      <c r="RTO121" s="2"/>
      <c r="RTP121" s="4"/>
      <c r="RTQ121" s="2"/>
      <c r="RTR121" s="3"/>
      <c r="RTS121" s="2"/>
      <c r="RTT121" s="2"/>
      <c r="RTU121" s="5"/>
      <c r="RTV121" s="2"/>
      <c r="RTW121" s="4"/>
      <c r="RTX121" s="2"/>
      <c r="RTY121" s="3"/>
      <c r="RTZ121" s="2"/>
      <c r="RUA121" s="2"/>
      <c r="RUB121" s="5"/>
      <c r="RUC121" s="2"/>
      <c r="RUD121" s="4"/>
      <c r="RUE121" s="2"/>
      <c r="RUF121" s="3"/>
      <c r="RUG121" s="2"/>
      <c r="RUH121" s="2"/>
      <c r="RUI121" s="5"/>
      <c r="RUJ121" s="2"/>
      <c r="RUK121" s="4"/>
      <c r="RUL121" s="2"/>
      <c r="RUM121" s="3"/>
      <c r="RUN121" s="2"/>
      <c r="RUO121" s="2"/>
      <c r="RUP121" s="5"/>
      <c r="RUQ121" s="2"/>
      <c r="RUR121" s="4"/>
      <c r="RUS121" s="2"/>
      <c r="RUT121" s="3"/>
      <c r="RUU121" s="2"/>
      <c r="RUV121" s="2"/>
      <c r="RUW121" s="5"/>
      <c r="RUX121" s="2"/>
      <c r="RUY121" s="4"/>
      <c r="RUZ121" s="2"/>
      <c r="RVA121" s="3"/>
      <c r="RVB121" s="2"/>
      <c r="RVC121" s="2"/>
      <c r="RVD121" s="5"/>
      <c r="RVE121" s="2"/>
      <c r="RVF121" s="4"/>
      <c r="RVG121" s="2"/>
      <c r="RVH121" s="3"/>
      <c r="RVI121" s="2"/>
      <c r="RVJ121" s="2"/>
      <c r="RVK121" s="5"/>
      <c r="RVL121" s="2"/>
      <c r="RVM121" s="4"/>
      <c r="RVN121" s="2"/>
      <c r="RVO121" s="3"/>
      <c r="RVP121" s="2"/>
      <c r="RVQ121" s="2"/>
      <c r="RVR121" s="5"/>
      <c r="RVS121" s="2"/>
      <c r="RVT121" s="4"/>
      <c r="RVU121" s="2"/>
      <c r="RVV121" s="3"/>
      <c r="RVW121" s="2"/>
      <c r="RVX121" s="2"/>
      <c r="RVY121" s="5"/>
      <c r="RVZ121" s="2"/>
      <c r="RWA121" s="4"/>
      <c r="RWB121" s="2"/>
      <c r="RWC121" s="3"/>
      <c r="RWD121" s="2"/>
      <c r="RWE121" s="2"/>
      <c r="RWF121" s="5"/>
      <c r="RWG121" s="2"/>
      <c r="RWH121" s="4"/>
      <c r="RWI121" s="2"/>
      <c r="RWJ121" s="3"/>
      <c r="RWK121" s="2"/>
      <c r="RWL121" s="2"/>
      <c r="RWM121" s="5"/>
      <c r="RWN121" s="2"/>
      <c r="RWO121" s="4"/>
      <c r="RWP121" s="2"/>
      <c r="RWQ121" s="3"/>
      <c r="RWR121" s="2"/>
      <c r="RWS121" s="2"/>
      <c r="RWT121" s="5"/>
      <c r="RWU121" s="2"/>
      <c r="RWV121" s="4"/>
      <c r="RWW121" s="2"/>
      <c r="RWX121" s="3"/>
      <c r="RWY121" s="2"/>
      <c r="RWZ121" s="2"/>
      <c r="RXA121" s="5"/>
      <c r="RXB121" s="2"/>
      <c r="RXC121" s="4"/>
      <c r="RXD121" s="2"/>
      <c r="RXE121" s="3"/>
      <c r="RXF121" s="2"/>
      <c r="RXG121" s="2"/>
      <c r="RXH121" s="5"/>
      <c r="RXI121" s="2"/>
      <c r="RXJ121" s="4"/>
      <c r="RXK121" s="2"/>
      <c r="RXL121" s="3"/>
      <c r="RXM121" s="2"/>
      <c r="RXN121" s="2"/>
      <c r="RXO121" s="5"/>
      <c r="RXP121" s="2"/>
      <c r="RXQ121" s="4"/>
      <c r="RXR121" s="2"/>
      <c r="RXS121" s="3"/>
      <c r="RXT121" s="2"/>
      <c r="RXU121" s="2"/>
      <c r="RXV121" s="5"/>
      <c r="RXW121" s="2"/>
      <c r="RXX121" s="4"/>
      <c r="RXY121" s="2"/>
      <c r="RXZ121" s="3"/>
      <c r="RYA121" s="2"/>
      <c r="RYB121" s="2"/>
      <c r="RYC121" s="5"/>
      <c r="RYD121" s="2"/>
      <c r="RYE121" s="4"/>
      <c r="RYF121" s="2"/>
      <c r="RYG121" s="3"/>
      <c r="RYH121" s="2"/>
      <c r="RYI121" s="2"/>
      <c r="RYJ121" s="5"/>
      <c r="RYK121" s="2"/>
      <c r="RYL121" s="4"/>
      <c r="RYM121" s="2"/>
      <c r="RYN121" s="3"/>
      <c r="RYO121" s="2"/>
      <c r="RYP121" s="2"/>
      <c r="RYQ121" s="5"/>
      <c r="RYR121" s="2"/>
      <c r="RYS121" s="4"/>
      <c r="RYT121" s="2"/>
      <c r="RYU121" s="3"/>
      <c r="RYV121" s="2"/>
      <c r="RYW121" s="2"/>
      <c r="RYX121" s="5"/>
      <c r="RYY121" s="2"/>
      <c r="RYZ121" s="4"/>
      <c r="RZA121" s="2"/>
      <c r="RZB121" s="3"/>
      <c r="RZC121" s="2"/>
      <c r="RZD121" s="2"/>
      <c r="RZE121" s="5"/>
      <c r="RZF121" s="2"/>
      <c r="RZG121" s="4"/>
      <c r="RZH121" s="2"/>
      <c r="RZI121" s="3"/>
      <c r="RZJ121" s="2"/>
      <c r="RZK121" s="2"/>
      <c r="RZL121" s="5"/>
      <c r="RZM121" s="2"/>
      <c r="RZN121" s="4"/>
      <c r="RZO121" s="2"/>
      <c r="RZP121" s="3"/>
      <c r="RZQ121" s="2"/>
      <c r="RZR121" s="2"/>
      <c r="RZS121" s="5"/>
      <c r="RZT121" s="2"/>
      <c r="RZU121" s="4"/>
      <c r="RZV121" s="2"/>
      <c r="RZW121" s="3"/>
      <c r="RZX121" s="2"/>
      <c r="RZY121" s="2"/>
      <c r="RZZ121" s="5"/>
      <c r="SAA121" s="2"/>
      <c r="SAB121" s="4"/>
      <c r="SAC121" s="2"/>
      <c r="SAD121" s="3"/>
      <c r="SAE121" s="2"/>
      <c r="SAF121" s="2"/>
      <c r="SAG121" s="5"/>
      <c r="SAH121" s="2"/>
      <c r="SAI121" s="4"/>
      <c r="SAJ121" s="2"/>
      <c r="SAK121" s="3"/>
      <c r="SAL121" s="2"/>
      <c r="SAM121" s="2"/>
      <c r="SAN121" s="5"/>
      <c r="SAO121" s="2"/>
      <c r="SAP121" s="4"/>
      <c r="SAQ121" s="2"/>
      <c r="SAR121" s="3"/>
      <c r="SAS121" s="2"/>
      <c r="SAT121" s="2"/>
      <c r="SAU121" s="5"/>
      <c r="SAV121" s="2"/>
      <c r="SAW121" s="4"/>
      <c r="SAX121" s="2"/>
      <c r="SAY121" s="3"/>
      <c r="SAZ121" s="2"/>
      <c r="SBA121" s="2"/>
      <c r="SBB121" s="5"/>
      <c r="SBC121" s="2"/>
      <c r="SBD121" s="4"/>
      <c r="SBE121" s="2"/>
      <c r="SBF121" s="3"/>
      <c r="SBG121" s="2"/>
      <c r="SBH121" s="2"/>
      <c r="SBI121" s="5"/>
      <c r="SBJ121" s="2"/>
      <c r="SBK121" s="4"/>
      <c r="SBL121" s="2"/>
      <c r="SBM121" s="3"/>
      <c r="SBN121" s="2"/>
      <c r="SBO121" s="2"/>
      <c r="SBP121" s="5"/>
      <c r="SBQ121" s="2"/>
      <c r="SBR121" s="4"/>
      <c r="SBS121" s="2"/>
      <c r="SBT121" s="3"/>
      <c r="SBU121" s="2"/>
      <c r="SBV121" s="2"/>
      <c r="SBW121" s="5"/>
      <c r="SBX121" s="2"/>
      <c r="SBY121" s="4"/>
      <c r="SBZ121" s="2"/>
      <c r="SCA121" s="3"/>
      <c r="SCB121" s="2"/>
      <c r="SCC121" s="2"/>
      <c r="SCD121" s="5"/>
      <c r="SCE121" s="2"/>
      <c r="SCF121" s="4"/>
      <c r="SCG121" s="2"/>
      <c r="SCH121" s="3"/>
      <c r="SCI121" s="2"/>
      <c r="SCJ121" s="2"/>
      <c r="SCK121" s="5"/>
      <c r="SCL121" s="2"/>
      <c r="SCM121" s="4"/>
      <c r="SCN121" s="2"/>
      <c r="SCO121" s="3"/>
      <c r="SCP121" s="2"/>
      <c r="SCQ121" s="2"/>
      <c r="SCR121" s="5"/>
      <c r="SCS121" s="2"/>
      <c r="SCT121" s="4"/>
      <c r="SCU121" s="2"/>
      <c r="SCV121" s="3"/>
      <c r="SCW121" s="2"/>
      <c r="SCX121" s="2"/>
      <c r="SCY121" s="5"/>
      <c r="SCZ121" s="2"/>
      <c r="SDA121" s="4"/>
      <c r="SDB121" s="2"/>
      <c r="SDC121" s="3"/>
      <c r="SDD121" s="2"/>
      <c r="SDE121" s="2"/>
      <c r="SDF121" s="5"/>
      <c r="SDG121" s="2"/>
      <c r="SDH121" s="4"/>
      <c r="SDI121" s="2"/>
      <c r="SDJ121" s="3"/>
      <c r="SDK121" s="2"/>
      <c r="SDL121" s="2"/>
      <c r="SDM121" s="5"/>
      <c r="SDN121" s="2"/>
      <c r="SDO121" s="4"/>
      <c r="SDP121" s="2"/>
      <c r="SDQ121" s="3"/>
      <c r="SDR121" s="2"/>
      <c r="SDS121" s="2"/>
      <c r="SDT121" s="5"/>
      <c r="SDU121" s="2"/>
      <c r="SDV121" s="4"/>
      <c r="SDW121" s="2"/>
      <c r="SDX121" s="3"/>
      <c r="SDY121" s="2"/>
      <c r="SDZ121" s="2"/>
      <c r="SEA121" s="5"/>
      <c r="SEB121" s="2"/>
      <c r="SEC121" s="4"/>
      <c r="SED121" s="2"/>
      <c r="SEE121" s="3"/>
      <c r="SEF121" s="2"/>
      <c r="SEG121" s="2"/>
      <c r="SEH121" s="5"/>
      <c r="SEI121" s="2"/>
      <c r="SEJ121" s="4"/>
      <c r="SEK121" s="2"/>
      <c r="SEL121" s="3"/>
      <c r="SEM121" s="2"/>
      <c r="SEN121" s="2"/>
      <c r="SEO121" s="5"/>
      <c r="SEP121" s="2"/>
      <c r="SEQ121" s="4"/>
      <c r="SER121" s="2"/>
      <c r="SES121" s="3"/>
      <c r="SET121" s="2"/>
      <c r="SEU121" s="2"/>
      <c r="SEV121" s="5"/>
      <c r="SEW121" s="2"/>
      <c r="SEX121" s="4"/>
      <c r="SEY121" s="2"/>
      <c r="SEZ121" s="3"/>
      <c r="SFA121" s="2"/>
      <c r="SFB121" s="2"/>
      <c r="SFC121" s="5"/>
      <c r="SFD121" s="2"/>
      <c r="SFE121" s="4"/>
      <c r="SFF121" s="2"/>
      <c r="SFG121" s="3"/>
      <c r="SFH121" s="2"/>
      <c r="SFI121" s="2"/>
      <c r="SFJ121" s="5"/>
      <c r="SFK121" s="2"/>
      <c r="SFL121" s="4"/>
      <c r="SFM121" s="2"/>
      <c r="SFN121" s="3"/>
      <c r="SFO121" s="2"/>
      <c r="SFP121" s="2"/>
      <c r="SFQ121" s="5"/>
      <c r="SFR121" s="2"/>
      <c r="SFS121" s="4"/>
      <c r="SFT121" s="2"/>
      <c r="SFU121" s="3"/>
      <c r="SFV121" s="2"/>
      <c r="SFW121" s="2"/>
      <c r="SFX121" s="5"/>
      <c r="SFY121" s="2"/>
      <c r="SFZ121" s="4"/>
      <c r="SGA121" s="2"/>
      <c r="SGB121" s="3"/>
      <c r="SGC121" s="2"/>
      <c r="SGD121" s="2"/>
      <c r="SGE121" s="5"/>
      <c r="SGF121" s="2"/>
      <c r="SGG121" s="4"/>
      <c r="SGH121" s="2"/>
      <c r="SGI121" s="3"/>
      <c r="SGJ121" s="2"/>
      <c r="SGK121" s="2"/>
      <c r="SGL121" s="5"/>
      <c r="SGM121" s="2"/>
      <c r="SGN121" s="4"/>
      <c r="SGO121" s="2"/>
      <c r="SGP121" s="3"/>
      <c r="SGQ121" s="2"/>
      <c r="SGR121" s="2"/>
      <c r="SGS121" s="5"/>
      <c r="SGT121" s="2"/>
      <c r="SGU121" s="4"/>
      <c r="SGV121" s="2"/>
      <c r="SGW121" s="3"/>
      <c r="SGX121" s="2"/>
      <c r="SGY121" s="2"/>
      <c r="SGZ121" s="5"/>
      <c r="SHA121" s="2"/>
      <c r="SHB121" s="4"/>
      <c r="SHC121" s="2"/>
      <c r="SHD121" s="3"/>
      <c r="SHE121" s="2"/>
      <c r="SHF121" s="2"/>
      <c r="SHG121" s="5"/>
      <c r="SHH121" s="2"/>
      <c r="SHI121" s="4"/>
      <c r="SHJ121" s="2"/>
      <c r="SHK121" s="3"/>
      <c r="SHL121" s="2"/>
      <c r="SHM121" s="2"/>
      <c r="SHN121" s="5"/>
      <c r="SHO121" s="2"/>
      <c r="SHP121" s="4"/>
      <c r="SHQ121" s="2"/>
      <c r="SHR121" s="3"/>
      <c r="SHS121" s="2"/>
      <c r="SHT121" s="2"/>
      <c r="SHU121" s="5"/>
      <c r="SHV121" s="2"/>
      <c r="SHW121" s="4"/>
      <c r="SHX121" s="2"/>
      <c r="SHY121" s="3"/>
      <c r="SHZ121" s="2"/>
      <c r="SIA121" s="2"/>
      <c r="SIB121" s="5"/>
      <c r="SIC121" s="2"/>
      <c r="SID121" s="4"/>
      <c r="SIE121" s="2"/>
      <c r="SIF121" s="3"/>
      <c r="SIG121" s="2"/>
      <c r="SIH121" s="2"/>
      <c r="SII121" s="5"/>
      <c r="SIJ121" s="2"/>
      <c r="SIK121" s="4"/>
      <c r="SIL121" s="2"/>
      <c r="SIM121" s="3"/>
      <c r="SIN121" s="2"/>
      <c r="SIO121" s="2"/>
      <c r="SIP121" s="5"/>
      <c r="SIQ121" s="2"/>
      <c r="SIR121" s="4"/>
      <c r="SIS121" s="2"/>
      <c r="SIT121" s="3"/>
      <c r="SIU121" s="2"/>
      <c r="SIV121" s="2"/>
      <c r="SIW121" s="5"/>
      <c r="SIX121" s="2"/>
      <c r="SIY121" s="4"/>
      <c r="SIZ121" s="2"/>
      <c r="SJA121" s="3"/>
      <c r="SJB121" s="2"/>
      <c r="SJC121" s="2"/>
      <c r="SJD121" s="5"/>
      <c r="SJE121" s="2"/>
      <c r="SJF121" s="4"/>
      <c r="SJG121" s="2"/>
      <c r="SJH121" s="3"/>
      <c r="SJI121" s="2"/>
      <c r="SJJ121" s="2"/>
      <c r="SJK121" s="5"/>
      <c r="SJL121" s="2"/>
      <c r="SJM121" s="4"/>
      <c r="SJN121" s="2"/>
      <c r="SJO121" s="3"/>
      <c r="SJP121" s="2"/>
      <c r="SJQ121" s="2"/>
      <c r="SJR121" s="5"/>
      <c r="SJS121" s="2"/>
      <c r="SJT121" s="4"/>
      <c r="SJU121" s="2"/>
      <c r="SJV121" s="3"/>
      <c r="SJW121" s="2"/>
      <c r="SJX121" s="2"/>
      <c r="SJY121" s="5"/>
      <c r="SJZ121" s="2"/>
      <c r="SKA121" s="4"/>
      <c r="SKB121" s="2"/>
      <c r="SKC121" s="3"/>
      <c r="SKD121" s="2"/>
      <c r="SKE121" s="2"/>
      <c r="SKF121" s="5"/>
      <c r="SKG121" s="2"/>
      <c r="SKH121" s="4"/>
      <c r="SKI121" s="2"/>
      <c r="SKJ121" s="3"/>
      <c r="SKK121" s="2"/>
      <c r="SKL121" s="2"/>
      <c r="SKM121" s="5"/>
      <c r="SKN121" s="2"/>
      <c r="SKO121" s="4"/>
      <c r="SKP121" s="2"/>
      <c r="SKQ121" s="3"/>
      <c r="SKR121" s="2"/>
      <c r="SKS121" s="2"/>
      <c r="SKT121" s="5"/>
      <c r="SKU121" s="2"/>
      <c r="SKV121" s="4"/>
      <c r="SKW121" s="2"/>
      <c r="SKX121" s="3"/>
      <c r="SKY121" s="2"/>
      <c r="SKZ121" s="2"/>
      <c r="SLA121" s="5"/>
      <c r="SLB121" s="2"/>
      <c r="SLC121" s="4"/>
      <c r="SLD121" s="2"/>
      <c r="SLE121" s="3"/>
      <c r="SLF121" s="2"/>
      <c r="SLG121" s="2"/>
      <c r="SLH121" s="5"/>
      <c r="SLI121" s="2"/>
      <c r="SLJ121" s="4"/>
      <c r="SLK121" s="2"/>
      <c r="SLL121" s="3"/>
      <c r="SLM121" s="2"/>
      <c r="SLN121" s="2"/>
      <c r="SLO121" s="5"/>
      <c r="SLP121" s="2"/>
      <c r="SLQ121" s="4"/>
      <c r="SLR121" s="2"/>
      <c r="SLS121" s="3"/>
      <c r="SLT121" s="2"/>
      <c r="SLU121" s="2"/>
      <c r="SLV121" s="5"/>
      <c r="SLW121" s="2"/>
      <c r="SLX121" s="4"/>
      <c r="SLY121" s="2"/>
      <c r="SLZ121" s="3"/>
      <c r="SMA121" s="2"/>
      <c r="SMB121" s="2"/>
      <c r="SMC121" s="5"/>
      <c r="SMD121" s="2"/>
      <c r="SME121" s="4"/>
      <c r="SMF121" s="2"/>
      <c r="SMG121" s="3"/>
      <c r="SMH121" s="2"/>
      <c r="SMI121" s="2"/>
      <c r="SMJ121" s="5"/>
      <c r="SMK121" s="2"/>
      <c r="SML121" s="4"/>
      <c r="SMM121" s="2"/>
      <c r="SMN121" s="3"/>
      <c r="SMO121" s="2"/>
      <c r="SMP121" s="2"/>
      <c r="SMQ121" s="5"/>
      <c r="SMR121" s="2"/>
      <c r="SMS121" s="4"/>
      <c r="SMT121" s="2"/>
      <c r="SMU121" s="3"/>
      <c r="SMV121" s="2"/>
      <c r="SMW121" s="2"/>
      <c r="SMX121" s="5"/>
      <c r="SMY121" s="2"/>
      <c r="SMZ121" s="4"/>
      <c r="SNA121" s="2"/>
      <c r="SNB121" s="3"/>
      <c r="SNC121" s="2"/>
      <c r="SND121" s="2"/>
      <c r="SNE121" s="5"/>
      <c r="SNF121" s="2"/>
      <c r="SNG121" s="4"/>
      <c r="SNH121" s="2"/>
      <c r="SNI121" s="3"/>
      <c r="SNJ121" s="2"/>
      <c r="SNK121" s="2"/>
      <c r="SNL121" s="5"/>
      <c r="SNM121" s="2"/>
      <c r="SNN121" s="4"/>
      <c r="SNO121" s="2"/>
      <c r="SNP121" s="3"/>
      <c r="SNQ121" s="2"/>
      <c r="SNR121" s="2"/>
      <c r="SNS121" s="5"/>
      <c r="SNT121" s="2"/>
      <c r="SNU121" s="4"/>
      <c r="SNV121" s="2"/>
      <c r="SNW121" s="3"/>
      <c r="SNX121" s="2"/>
      <c r="SNY121" s="2"/>
      <c r="SNZ121" s="5"/>
      <c r="SOA121" s="2"/>
      <c r="SOB121" s="4"/>
      <c r="SOC121" s="2"/>
      <c r="SOD121" s="3"/>
      <c r="SOE121" s="2"/>
      <c r="SOF121" s="2"/>
      <c r="SOG121" s="5"/>
      <c r="SOH121" s="2"/>
      <c r="SOI121" s="4"/>
      <c r="SOJ121" s="2"/>
      <c r="SOK121" s="3"/>
      <c r="SOL121" s="2"/>
      <c r="SOM121" s="2"/>
      <c r="SON121" s="5"/>
      <c r="SOO121" s="2"/>
      <c r="SOP121" s="4"/>
      <c r="SOQ121" s="2"/>
      <c r="SOR121" s="3"/>
      <c r="SOS121" s="2"/>
      <c r="SOT121" s="2"/>
      <c r="SOU121" s="5"/>
      <c r="SOV121" s="2"/>
      <c r="SOW121" s="4"/>
      <c r="SOX121" s="2"/>
      <c r="SOY121" s="3"/>
      <c r="SOZ121" s="2"/>
      <c r="SPA121" s="2"/>
      <c r="SPB121" s="5"/>
      <c r="SPC121" s="2"/>
      <c r="SPD121" s="4"/>
      <c r="SPE121" s="2"/>
      <c r="SPF121" s="3"/>
      <c r="SPG121" s="2"/>
      <c r="SPH121" s="2"/>
      <c r="SPI121" s="5"/>
      <c r="SPJ121" s="2"/>
      <c r="SPK121" s="4"/>
      <c r="SPL121" s="2"/>
      <c r="SPM121" s="3"/>
      <c r="SPN121" s="2"/>
      <c r="SPO121" s="2"/>
      <c r="SPP121" s="5"/>
      <c r="SPQ121" s="2"/>
      <c r="SPR121" s="4"/>
      <c r="SPS121" s="2"/>
      <c r="SPT121" s="3"/>
      <c r="SPU121" s="2"/>
      <c r="SPV121" s="2"/>
      <c r="SPW121" s="5"/>
      <c r="SPX121" s="2"/>
      <c r="SPY121" s="4"/>
      <c r="SPZ121" s="2"/>
      <c r="SQA121" s="3"/>
      <c r="SQB121" s="2"/>
      <c r="SQC121" s="2"/>
      <c r="SQD121" s="5"/>
      <c r="SQE121" s="2"/>
      <c r="SQF121" s="4"/>
      <c r="SQG121" s="2"/>
      <c r="SQH121" s="3"/>
      <c r="SQI121" s="2"/>
      <c r="SQJ121" s="2"/>
      <c r="SQK121" s="5"/>
      <c r="SQL121" s="2"/>
      <c r="SQM121" s="4"/>
      <c r="SQN121" s="2"/>
      <c r="SQO121" s="3"/>
      <c r="SQP121" s="2"/>
      <c r="SQQ121" s="2"/>
      <c r="SQR121" s="5"/>
      <c r="SQS121" s="2"/>
      <c r="SQT121" s="4"/>
      <c r="SQU121" s="2"/>
      <c r="SQV121" s="3"/>
      <c r="SQW121" s="2"/>
      <c r="SQX121" s="2"/>
      <c r="SQY121" s="5"/>
      <c r="SQZ121" s="2"/>
      <c r="SRA121" s="4"/>
      <c r="SRB121" s="2"/>
      <c r="SRC121" s="3"/>
      <c r="SRD121" s="2"/>
      <c r="SRE121" s="2"/>
      <c r="SRF121" s="5"/>
      <c r="SRG121" s="2"/>
      <c r="SRH121" s="4"/>
      <c r="SRI121" s="2"/>
      <c r="SRJ121" s="3"/>
      <c r="SRK121" s="2"/>
      <c r="SRL121" s="2"/>
      <c r="SRM121" s="5"/>
      <c r="SRN121" s="2"/>
      <c r="SRO121" s="4"/>
      <c r="SRP121" s="2"/>
      <c r="SRQ121" s="3"/>
      <c r="SRR121" s="2"/>
      <c r="SRS121" s="2"/>
      <c r="SRT121" s="5"/>
      <c r="SRU121" s="2"/>
      <c r="SRV121" s="4"/>
      <c r="SRW121" s="2"/>
      <c r="SRX121" s="3"/>
      <c r="SRY121" s="2"/>
      <c r="SRZ121" s="2"/>
      <c r="SSA121" s="5"/>
      <c r="SSB121" s="2"/>
      <c r="SSC121" s="4"/>
      <c r="SSD121" s="2"/>
      <c r="SSE121" s="3"/>
      <c r="SSF121" s="2"/>
      <c r="SSG121" s="2"/>
      <c r="SSH121" s="5"/>
      <c r="SSI121" s="2"/>
      <c r="SSJ121" s="4"/>
      <c r="SSK121" s="2"/>
      <c r="SSL121" s="3"/>
      <c r="SSM121" s="2"/>
      <c r="SSN121" s="2"/>
      <c r="SSO121" s="5"/>
      <c r="SSP121" s="2"/>
      <c r="SSQ121" s="4"/>
      <c r="SSR121" s="2"/>
      <c r="SSS121" s="3"/>
      <c r="SST121" s="2"/>
      <c r="SSU121" s="2"/>
      <c r="SSV121" s="5"/>
      <c r="SSW121" s="2"/>
      <c r="SSX121" s="4"/>
      <c r="SSY121" s="2"/>
      <c r="SSZ121" s="3"/>
      <c r="STA121" s="2"/>
      <c r="STB121" s="2"/>
      <c r="STC121" s="5"/>
      <c r="STD121" s="2"/>
      <c r="STE121" s="4"/>
      <c r="STF121" s="2"/>
      <c r="STG121" s="3"/>
      <c r="STH121" s="2"/>
      <c r="STI121" s="2"/>
      <c r="STJ121" s="5"/>
      <c r="STK121" s="2"/>
      <c r="STL121" s="4"/>
      <c r="STM121" s="2"/>
      <c r="STN121" s="3"/>
      <c r="STO121" s="2"/>
      <c r="STP121" s="2"/>
      <c r="STQ121" s="5"/>
      <c r="STR121" s="2"/>
      <c r="STS121" s="4"/>
      <c r="STT121" s="2"/>
      <c r="STU121" s="3"/>
      <c r="STV121" s="2"/>
      <c r="STW121" s="2"/>
      <c r="STX121" s="5"/>
      <c r="STY121" s="2"/>
      <c r="STZ121" s="4"/>
      <c r="SUA121" s="2"/>
      <c r="SUB121" s="3"/>
      <c r="SUC121" s="2"/>
      <c r="SUD121" s="2"/>
      <c r="SUE121" s="5"/>
      <c r="SUF121" s="2"/>
      <c r="SUG121" s="4"/>
      <c r="SUH121" s="2"/>
      <c r="SUI121" s="3"/>
      <c r="SUJ121" s="2"/>
      <c r="SUK121" s="2"/>
      <c r="SUL121" s="5"/>
      <c r="SUM121" s="2"/>
      <c r="SUN121" s="4"/>
      <c r="SUO121" s="2"/>
      <c r="SUP121" s="3"/>
      <c r="SUQ121" s="2"/>
      <c r="SUR121" s="2"/>
      <c r="SUS121" s="5"/>
      <c r="SUT121" s="2"/>
      <c r="SUU121" s="4"/>
      <c r="SUV121" s="2"/>
      <c r="SUW121" s="3"/>
      <c r="SUX121" s="2"/>
      <c r="SUY121" s="2"/>
      <c r="SUZ121" s="5"/>
      <c r="SVA121" s="2"/>
      <c r="SVB121" s="4"/>
      <c r="SVC121" s="2"/>
      <c r="SVD121" s="3"/>
      <c r="SVE121" s="2"/>
      <c r="SVF121" s="2"/>
      <c r="SVG121" s="5"/>
      <c r="SVH121" s="2"/>
      <c r="SVI121" s="4"/>
      <c r="SVJ121" s="2"/>
      <c r="SVK121" s="3"/>
      <c r="SVL121" s="2"/>
      <c r="SVM121" s="2"/>
      <c r="SVN121" s="5"/>
      <c r="SVO121" s="2"/>
      <c r="SVP121" s="4"/>
      <c r="SVQ121" s="2"/>
      <c r="SVR121" s="3"/>
      <c r="SVS121" s="2"/>
      <c r="SVT121" s="2"/>
      <c r="SVU121" s="5"/>
      <c r="SVV121" s="2"/>
      <c r="SVW121" s="4"/>
      <c r="SVX121" s="2"/>
      <c r="SVY121" s="3"/>
      <c r="SVZ121" s="2"/>
      <c r="SWA121" s="2"/>
      <c r="SWB121" s="5"/>
      <c r="SWC121" s="2"/>
      <c r="SWD121" s="4"/>
      <c r="SWE121" s="2"/>
      <c r="SWF121" s="3"/>
      <c r="SWG121" s="2"/>
      <c r="SWH121" s="2"/>
      <c r="SWI121" s="5"/>
      <c r="SWJ121" s="2"/>
      <c r="SWK121" s="4"/>
      <c r="SWL121" s="2"/>
      <c r="SWM121" s="3"/>
      <c r="SWN121" s="2"/>
      <c r="SWO121" s="2"/>
      <c r="SWP121" s="5"/>
      <c r="SWQ121" s="2"/>
      <c r="SWR121" s="4"/>
      <c r="SWS121" s="2"/>
      <c r="SWT121" s="3"/>
      <c r="SWU121" s="2"/>
      <c r="SWV121" s="2"/>
      <c r="SWW121" s="5"/>
      <c r="SWX121" s="2"/>
      <c r="SWY121" s="4"/>
      <c r="SWZ121" s="2"/>
      <c r="SXA121" s="3"/>
      <c r="SXB121" s="2"/>
      <c r="SXC121" s="2"/>
      <c r="SXD121" s="5"/>
      <c r="SXE121" s="2"/>
      <c r="SXF121" s="4"/>
      <c r="SXG121" s="2"/>
      <c r="SXH121" s="3"/>
      <c r="SXI121" s="2"/>
      <c r="SXJ121" s="2"/>
      <c r="SXK121" s="5"/>
      <c r="SXL121" s="2"/>
      <c r="SXM121" s="4"/>
      <c r="SXN121" s="2"/>
      <c r="SXO121" s="3"/>
      <c r="SXP121" s="2"/>
      <c r="SXQ121" s="2"/>
      <c r="SXR121" s="5"/>
      <c r="SXS121" s="2"/>
      <c r="SXT121" s="4"/>
      <c r="SXU121" s="2"/>
      <c r="SXV121" s="3"/>
      <c r="SXW121" s="2"/>
      <c r="SXX121" s="2"/>
      <c r="SXY121" s="5"/>
      <c r="SXZ121" s="2"/>
      <c r="SYA121" s="4"/>
      <c r="SYB121" s="2"/>
      <c r="SYC121" s="3"/>
      <c r="SYD121" s="2"/>
      <c r="SYE121" s="2"/>
      <c r="SYF121" s="5"/>
      <c r="SYG121" s="2"/>
      <c r="SYH121" s="4"/>
      <c r="SYI121" s="2"/>
      <c r="SYJ121" s="3"/>
      <c r="SYK121" s="2"/>
      <c r="SYL121" s="2"/>
      <c r="SYM121" s="5"/>
      <c r="SYN121" s="2"/>
      <c r="SYO121" s="4"/>
      <c r="SYP121" s="2"/>
      <c r="SYQ121" s="3"/>
      <c r="SYR121" s="2"/>
      <c r="SYS121" s="2"/>
      <c r="SYT121" s="5"/>
      <c r="SYU121" s="2"/>
      <c r="SYV121" s="4"/>
      <c r="SYW121" s="2"/>
      <c r="SYX121" s="3"/>
      <c r="SYY121" s="2"/>
      <c r="SYZ121" s="2"/>
      <c r="SZA121" s="5"/>
      <c r="SZB121" s="2"/>
      <c r="SZC121" s="4"/>
      <c r="SZD121" s="2"/>
      <c r="SZE121" s="3"/>
      <c r="SZF121" s="2"/>
      <c r="SZG121" s="2"/>
      <c r="SZH121" s="5"/>
      <c r="SZI121" s="2"/>
      <c r="SZJ121" s="4"/>
      <c r="SZK121" s="2"/>
      <c r="SZL121" s="3"/>
      <c r="SZM121" s="2"/>
      <c r="SZN121" s="2"/>
      <c r="SZO121" s="5"/>
      <c r="SZP121" s="2"/>
      <c r="SZQ121" s="4"/>
      <c r="SZR121" s="2"/>
      <c r="SZS121" s="3"/>
      <c r="SZT121" s="2"/>
      <c r="SZU121" s="2"/>
      <c r="SZV121" s="5"/>
      <c r="SZW121" s="2"/>
      <c r="SZX121" s="4"/>
      <c r="SZY121" s="2"/>
      <c r="SZZ121" s="3"/>
      <c r="TAA121" s="2"/>
      <c r="TAB121" s="2"/>
      <c r="TAC121" s="5"/>
      <c r="TAD121" s="2"/>
      <c r="TAE121" s="4"/>
      <c r="TAF121" s="2"/>
      <c r="TAG121" s="3"/>
      <c r="TAH121" s="2"/>
      <c r="TAI121" s="2"/>
      <c r="TAJ121" s="5"/>
      <c r="TAK121" s="2"/>
      <c r="TAL121" s="4"/>
      <c r="TAM121" s="2"/>
      <c r="TAN121" s="3"/>
      <c r="TAO121" s="2"/>
      <c r="TAP121" s="2"/>
      <c r="TAQ121" s="5"/>
      <c r="TAR121" s="2"/>
      <c r="TAS121" s="4"/>
      <c r="TAT121" s="2"/>
      <c r="TAU121" s="3"/>
      <c r="TAV121" s="2"/>
      <c r="TAW121" s="2"/>
      <c r="TAX121" s="5"/>
      <c r="TAY121" s="2"/>
      <c r="TAZ121" s="4"/>
      <c r="TBA121" s="2"/>
      <c r="TBB121" s="3"/>
      <c r="TBC121" s="2"/>
      <c r="TBD121" s="2"/>
      <c r="TBE121" s="5"/>
      <c r="TBF121" s="2"/>
      <c r="TBG121" s="4"/>
      <c r="TBH121" s="2"/>
      <c r="TBI121" s="3"/>
      <c r="TBJ121" s="2"/>
      <c r="TBK121" s="2"/>
      <c r="TBL121" s="5"/>
      <c r="TBM121" s="2"/>
      <c r="TBN121" s="4"/>
      <c r="TBO121" s="2"/>
      <c r="TBP121" s="3"/>
      <c r="TBQ121" s="2"/>
      <c r="TBR121" s="2"/>
      <c r="TBS121" s="5"/>
      <c r="TBT121" s="2"/>
      <c r="TBU121" s="4"/>
      <c r="TBV121" s="2"/>
      <c r="TBW121" s="3"/>
      <c r="TBX121" s="2"/>
      <c r="TBY121" s="2"/>
      <c r="TBZ121" s="5"/>
      <c r="TCA121" s="2"/>
      <c r="TCB121" s="4"/>
      <c r="TCC121" s="2"/>
      <c r="TCD121" s="3"/>
      <c r="TCE121" s="2"/>
      <c r="TCF121" s="2"/>
      <c r="TCG121" s="5"/>
      <c r="TCH121" s="2"/>
      <c r="TCI121" s="4"/>
      <c r="TCJ121" s="2"/>
      <c r="TCK121" s="3"/>
      <c r="TCL121" s="2"/>
      <c r="TCM121" s="2"/>
      <c r="TCN121" s="5"/>
      <c r="TCO121" s="2"/>
      <c r="TCP121" s="4"/>
      <c r="TCQ121" s="2"/>
      <c r="TCR121" s="3"/>
      <c r="TCS121" s="2"/>
      <c r="TCT121" s="2"/>
      <c r="TCU121" s="5"/>
      <c r="TCV121" s="2"/>
      <c r="TCW121" s="4"/>
      <c r="TCX121" s="2"/>
      <c r="TCY121" s="3"/>
      <c r="TCZ121" s="2"/>
      <c r="TDA121" s="2"/>
      <c r="TDB121" s="5"/>
      <c r="TDC121" s="2"/>
      <c r="TDD121" s="4"/>
      <c r="TDE121" s="2"/>
      <c r="TDF121" s="3"/>
      <c r="TDG121" s="2"/>
      <c r="TDH121" s="2"/>
      <c r="TDI121" s="5"/>
      <c r="TDJ121" s="2"/>
      <c r="TDK121" s="4"/>
      <c r="TDL121" s="2"/>
      <c r="TDM121" s="3"/>
      <c r="TDN121" s="2"/>
      <c r="TDO121" s="2"/>
      <c r="TDP121" s="5"/>
      <c r="TDQ121" s="2"/>
      <c r="TDR121" s="4"/>
      <c r="TDS121" s="2"/>
      <c r="TDT121" s="3"/>
      <c r="TDU121" s="2"/>
      <c r="TDV121" s="2"/>
      <c r="TDW121" s="5"/>
      <c r="TDX121" s="2"/>
      <c r="TDY121" s="4"/>
      <c r="TDZ121" s="2"/>
      <c r="TEA121" s="3"/>
      <c r="TEB121" s="2"/>
      <c r="TEC121" s="2"/>
      <c r="TED121" s="5"/>
      <c r="TEE121" s="2"/>
      <c r="TEF121" s="4"/>
      <c r="TEG121" s="2"/>
      <c r="TEH121" s="3"/>
      <c r="TEI121" s="2"/>
      <c r="TEJ121" s="2"/>
      <c r="TEK121" s="5"/>
      <c r="TEL121" s="2"/>
      <c r="TEM121" s="4"/>
      <c r="TEN121" s="2"/>
      <c r="TEO121" s="3"/>
      <c r="TEP121" s="2"/>
      <c r="TEQ121" s="2"/>
      <c r="TER121" s="5"/>
      <c r="TES121" s="2"/>
      <c r="TET121" s="4"/>
      <c r="TEU121" s="2"/>
      <c r="TEV121" s="3"/>
      <c r="TEW121" s="2"/>
      <c r="TEX121" s="2"/>
      <c r="TEY121" s="5"/>
      <c r="TEZ121" s="2"/>
      <c r="TFA121" s="4"/>
      <c r="TFB121" s="2"/>
      <c r="TFC121" s="3"/>
      <c r="TFD121" s="2"/>
      <c r="TFE121" s="2"/>
      <c r="TFF121" s="5"/>
      <c r="TFG121" s="2"/>
      <c r="TFH121" s="4"/>
      <c r="TFI121" s="2"/>
      <c r="TFJ121" s="3"/>
      <c r="TFK121" s="2"/>
      <c r="TFL121" s="2"/>
      <c r="TFM121" s="5"/>
      <c r="TFN121" s="2"/>
      <c r="TFO121" s="4"/>
      <c r="TFP121" s="2"/>
      <c r="TFQ121" s="3"/>
      <c r="TFR121" s="2"/>
      <c r="TFS121" s="2"/>
      <c r="TFT121" s="5"/>
      <c r="TFU121" s="2"/>
      <c r="TFV121" s="4"/>
      <c r="TFW121" s="2"/>
      <c r="TFX121" s="3"/>
      <c r="TFY121" s="2"/>
      <c r="TFZ121" s="2"/>
      <c r="TGA121" s="5"/>
      <c r="TGB121" s="2"/>
      <c r="TGC121" s="4"/>
      <c r="TGD121" s="2"/>
      <c r="TGE121" s="3"/>
      <c r="TGF121" s="2"/>
      <c r="TGG121" s="2"/>
      <c r="TGH121" s="5"/>
      <c r="TGI121" s="2"/>
      <c r="TGJ121" s="4"/>
      <c r="TGK121" s="2"/>
      <c r="TGL121" s="3"/>
      <c r="TGM121" s="2"/>
      <c r="TGN121" s="2"/>
      <c r="TGO121" s="5"/>
      <c r="TGP121" s="2"/>
      <c r="TGQ121" s="4"/>
      <c r="TGR121" s="2"/>
      <c r="TGS121" s="3"/>
      <c r="TGT121" s="2"/>
      <c r="TGU121" s="2"/>
      <c r="TGV121" s="5"/>
      <c r="TGW121" s="2"/>
      <c r="TGX121" s="4"/>
      <c r="TGY121" s="2"/>
      <c r="TGZ121" s="3"/>
      <c r="THA121" s="2"/>
      <c r="THB121" s="2"/>
      <c r="THC121" s="5"/>
      <c r="THD121" s="2"/>
      <c r="THE121" s="4"/>
      <c r="THF121" s="2"/>
      <c r="THG121" s="3"/>
      <c r="THH121" s="2"/>
      <c r="THI121" s="2"/>
      <c r="THJ121" s="5"/>
      <c r="THK121" s="2"/>
      <c r="THL121" s="4"/>
      <c r="THM121" s="2"/>
      <c r="THN121" s="3"/>
      <c r="THO121" s="2"/>
      <c r="THP121" s="2"/>
      <c r="THQ121" s="5"/>
      <c r="THR121" s="2"/>
      <c r="THS121" s="4"/>
      <c r="THT121" s="2"/>
      <c r="THU121" s="3"/>
      <c r="THV121" s="2"/>
      <c r="THW121" s="2"/>
      <c r="THX121" s="5"/>
      <c r="THY121" s="2"/>
      <c r="THZ121" s="4"/>
      <c r="TIA121" s="2"/>
      <c r="TIB121" s="3"/>
      <c r="TIC121" s="2"/>
      <c r="TID121" s="2"/>
      <c r="TIE121" s="5"/>
      <c r="TIF121" s="2"/>
      <c r="TIG121" s="4"/>
      <c r="TIH121" s="2"/>
      <c r="TII121" s="3"/>
      <c r="TIJ121" s="2"/>
      <c r="TIK121" s="2"/>
      <c r="TIL121" s="5"/>
      <c r="TIM121" s="2"/>
      <c r="TIN121" s="4"/>
      <c r="TIO121" s="2"/>
      <c r="TIP121" s="3"/>
      <c r="TIQ121" s="2"/>
      <c r="TIR121" s="2"/>
      <c r="TIS121" s="5"/>
      <c r="TIT121" s="2"/>
      <c r="TIU121" s="4"/>
      <c r="TIV121" s="2"/>
      <c r="TIW121" s="3"/>
      <c r="TIX121" s="2"/>
      <c r="TIY121" s="2"/>
      <c r="TIZ121" s="5"/>
      <c r="TJA121" s="2"/>
      <c r="TJB121" s="4"/>
      <c r="TJC121" s="2"/>
      <c r="TJD121" s="3"/>
      <c r="TJE121" s="2"/>
      <c r="TJF121" s="2"/>
      <c r="TJG121" s="5"/>
      <c r="TJH121" s="2"/>
      <c r="TJI121" s="4"/>
      <c r="TJJ121" s="2"/>
      <c r="TJK121" s="3"/>
      <c r="TJL121" s="2"/>
      <c r="TJM121" s="2"/>
      <c r="TJN121" s="5"/>
      <c r="TJO121" s="2"/>
      <c r="TJP121" s="4"/>
      <c r="TJQ121" s="2"/>
      <c r="TJR121" s="3"/>
      <c r="TJS121" s="2"/>
      <c r="TJT121" s="2"/>
      <c r="TJU121" s="5"/>
      <c r="TJV121" s="2"/>
      <c r="TJW121" s="4"/>
      <c r="TJX121" s="2"/>
      <c r="TJY121" s="3"/>
      <c r="TJZ121" s="2"/>
      <c r="TKA121" s="2"/>
      <c r="TKB121" s="5"/>
      <c r="TKC121" s="2"/>
      <c r="TKD121" s="4"/>
      <c r="TKE121" s="2"/>
      <c r="TKF121" s="3"/>
      <c r="TKG121" s="2"/>
      <c r="TKH121" s="2"/>
      <c r="TKI121" s="5"/>
      <c r="TKJ121" s="2"/>
      <c r="TKK121" s="4"/>
      <c r="TKL121" s="2"/>
      <c r="TKM121" s="3"/>
      <c r="TKN121" s="2"/>
      <c r="TKO121" s="2"/>
      <c r="TKP121" s="5"/>
      <c r="TKQ121" s="2"/>
      <c r="TKR121" s="4"/>
      <c r="TKS121" s="2"/>
      <c r="TKT121" s="3"/>
      <c r="TKU121" s="2"/>
      <c r="TKV121" s="2"/>
      <c r="TKW121" s="5"/>
      <c r="TKX121" s="2"/>
      <c r="TKY121" s="4"/>
      <c r="TKZ121" s="2"/>
      <c r="TLA121" s="3"/>
      <c r="TLB121" s="2"/>
      <c r="TLC121" s="2"/>
      <c r="TLD121" s="5"/>
      <c r="TLE121" s="2"/>
      <c r="TLF121" s="4"/>
      <c r="TLG121" s="2"/>
      <c r="TLH121" s="3"/>
      <c r="TLI121" s="2"/>
      <c r="TLJ121" s="2"/>
      <c r="TLK121" s="5"/>
      <c r="TLL121" s="2"/>
      <c r="TLM121" s="4"/>
      <c r="TLN121" s="2"/>
      <c r="TLO121" s="3"/>
      <c r="TLP121" s="2"/>
      <c r="TLQ121" s="2"/>
      <c r="TLR121" s="5"/>
      <c r="TLS121" s="2"/>
      <c r="TLT121" s="4"/>
      <c r="TLU121" s="2"/>
      <c r="TLV121" s="3"/>
      <c r="TLW121" s="2"/>
      <c r="TLX121" s="2"/>
      <c r="TLY121" s="5"/>
      <c r="TLZ121" s="2"/>
      <c r="TMA121" s="4"/>
      <c r="TMB121" s="2"/>
      <c r="TMC121" s="3"/>
      <c r="TMD121" s="2"/>
      <c r="TME121" s="2"/>
      <c r="TMF121" s="5"/>
      <c r="TMG121" s="2"/>
      <c r="TMH121" s="4"/>
      <c r="TMI121" s="2"/>
      <c r="TMJ121" s="3"/>
      <c r="TMK121" s="2"/>
      <c r="TML121" s="2"/>
      <c r="TMM121" s="5"/>
      <c r="TMN121" s="2"/>
      <c r="TMO121" s="4"/>
      <c r="TMP121" s="2"/>
      <c r="TMQ121" s="3"/>
      <c r="TMR121" s="2"/>
      <c r="TMS121" s="2"/>
      <c r="TMT121" s="5"/>
      <c r="TMU121" s="2"/>
      <c r="TMV121" s="4"/>
      <c r="TMW121" s="2"/>
      <c r="TMX121" s="3"/>
      <c r="TMY121" s="2"/>
      <c r="TMZ121" s="2"/>
      <c r="TNA121" s="5"/>
      <c r="TNB121" s="2"/>
      <c r="TNC121" s="4"/>
      <c r="TND121" s="2"/>
      <c r="TNE121" s="3"/>
      <c r="TNF121" s="2"/>
      <c r="TNG121" s="2"/>
      <c r="TNH121" s="5"/>
      <c r="TNI121" s="2"/>
      <c r="TNJ121" s="4"/>
      <c r="TNK121" s="2"/>
      <c r="TNL121" s="3"/>
      <c r="TNM121" s="2"/>
      <c r="TNN121" s="2"/>
      <c r="TNO121" s="5"/>
      <c r="TNP121" s="2"/>
      <c r="TNQ121" s="4"/>
      <c r="TNR121" s="2"/>
      <c r="TNS121" s="3"/>
      <c r="TNT121" s="2"/>
      <c r="TNU121" s="2"/>
      <c r="TNV121" s="5"/>
      <c r="TNW121" s="2"/>
      <c r="TNX121" s="4"/>
      <c r="TNY121" s="2"/>
      <c r="TNZ121" s="3"/>
      <c r="TOA121" s="2"/>
      <c r="TOB121" s="2"/>
      <c r="TOC121" s="5"/>
      <c r="TOD121" s="2"/>
      <c r="TOE121" s="4"/>
      <c r="TOF121" s="2"/>
      <c r="TOG121" s="3"/>
      <c r="TOH121" s="2"/>
      <c r="TOI121" s="2"/>
      <c r="TOJ121" s="5"/>
      <c r="TOK121" s="2"/>
      <c r="TOL121" s="4"/>
      <c r="TOM121" s="2"/>
      <c r="TON121" s="3"/>
      <c r="TOO121" s="2"/>
      <c r="TOP121" s="2"/>
      <c r="TOQ121" s="5"/>
      <c r="TOR121" s="2"/>
      <c r="TOS121" s="4"/>
      <c r="TOT121" s="2"/>
      <c r="TOU121" s="3"/>
      <c r="TOV121" s="2"/>
      <c r="TOW121" s="2"/>
      <c r="TOX121" s="5"/>
      <c r="TOY121" s="2"/>
      <c r="TOZ121" s="4"/>
      <c r="TPA121" s="2"/>
      <c r="TPB121" s="3"/>
      <c r="TPC121" s="2"/>
      <c r="TPD121" s="2"/>
      <c r="TPE121" s="5"/>
      <c r="TPF121" s="2"/>
      <c r="TPG121" s="4"/>
      <c r="TPH121" s="2"/>
      <c r="TPI121" s="3"/>
      <c r="TPJ121" s="2"/>
      <c r="TPK121" s="2"/>
      <c r="TPL121" s="5"/>
      <c r="TPM121" s="2"/>
      <c r="TPN121" s="4"/>
      <c r="TPO121" s="2"/>
      <c r="TPP121" s="3"/>
      <c r="TPQ121" s="2"/>
      <c r="TPR121" s="2"/>
      <c r="TPS121" s="5"/>
      <c r="TPT121" s="2"/>
      <c r="TPU121" s="4"/>
      <c r="TPV121" s="2"/>
      <c r="TPW121" s="3"/>
      <c r="TPX121" s="2"/>
      <c r="TPY121" s="2"/>
      <c r="TPZ121" s="5"/>
      <c r="TQA121" s="2"/>
      <c r="TQB121" s="4"/>
      <c r="TQC121" s="2"/>
      <c r="TQD121" s="3"/>
      <c r="TQE121" s="2"/>
      <c r="TQF121" s="2"/>
      <c r="TQG121" s="5"/>
      <c r="TQH121" s="2"/>
      <c r="TQI121" s="4"/>
      <c r="TQJ121" s="2"/>
      <c r="TQK121" s="3"/>
      <c r="TQL121" s="2"/>
      <c r="TQM121" s="2"/>
      <c r="TQN121" s="5"/>
      <c r="TQO121" s="2"/>
      <c r="TQP121" s="4"/>
      <c r="TQQ121" s="2"/>
      <c r="TQR121" s="3"/>
      <c r="TQS121" s="2"/>
      <c r="TQT121" s="2"/>
      <c r="TQU121" s="5"/>
      <c r="TQV121" s="2"/>
      <c r="TQW121" s="4"/>
      <c r="TQX121" s="2"/>
      <c r="TQY121" s="3"/>
      <c r="TQZ121" s="2"/>
      <c r="TRA121" s="2"/>
      <c r="TRB121" s="5"/>
      <c r="TRC121" s="2"/>
      <c r="TRD121" s="4"/>
      <c r="TRE121" s="2"/>
      <c r="TRF121" s="3"/>
      <c r="TRG121" s="2"/>
      <c r="TRH121" s="2"/>
      <c r="TRI121" s="5"/>
      <c r="TRJ121" s="2"/>
      <c r="TRK121" s="4"/>
      <c r="TRL121" s="2"/>
      <c r="TRM121" s="3"/>
      <c r="TRN121" s="2"/>
      <c r="TRO121" s="2"/>
      <c r="TRP121" s="5"/>
      <c r="TRQ121" s="2"/>
      <c r="TRR121" s="4"/>
      <c r="TRS121" s="2"/>
      <c r="TRT121" s="3"/>
      <c r="TRU121" s="2"/>
      <c r="TRV121" s="2"/>
      <c r="TRW121" s="5"/>
      <c r="TRX121" s="2"/>
      <c r="TRY121" s="4"/>
      <c r="TRZ121" s="2"/>
      <c r="TSA121" s="3"/>
      <c r="TSB121" s="2"/>
      <c r="TSC121" s="2"/>
      <c r="TSD121" s="5"/>
      <c r="TSE121" s="2"/>
      <c r="TSF121" s="4"/>
      <c r="TSG121" s="2"/>
      <c r="TSH121" s="3"/>
      <c r="TSI121" s="2"/>
      <c r="TSJ121" s="2"/>
      <c r="TSK121" s="5"/>
      <c r="TSL121" s="2"/>
      <c r="TSM121" s="4"/>
      <c r="TSN121" s="2"/>
      <c r="TSO121" s="3"/>
      <c r="TSP121" s="2"/>
      <c r="TSQ121" s="2"/>
      <c r="TSR121" s="5"/>
      <c r="TSS121" s="2"/>
      <c r="TST121" s="4"/>
      <c r="TSU121" s="2"/>
      <c r="TSV121" s="3"/>
      <c r="TSW121" s="2"/>
      <c r="TSX121" s="2"/>
      <c r="TSY121" s="5"/>
      <c r="TSZ121" s="2"/>
      <c r="TTA121" s="4"/>
      <c r="TTB121" s="2"/>
      <c r="TTC121" s="3"/>
      <c r="TTD121" s="2"/>
      <c r="TTE121" s="2"/>
      <c r="TTF121" s="5"/>
      <c r="TTG121" s="2"/>
      <c r="TTH121" s="4"/>
      <c r="TTI121" s="2"/>
      <c r="TTJ121" s="3"/>
      <c r="TTK121" s="2"/>
      <c r="TTL121" s="2"/>
      <c r="TTM121" s="5"/>
      <c r="TTN121" s="2"/>
      <c r="TTO121" s="4"/>
      <c r="TTP121" s="2"/>
      <c r="TTQ121" s="3"/>
      <c r="TTR121" s="2"/>
      <c r="TTS121" s="2"/>
      <c r="TTT121" s="5"/>
      <c r="TTU121" s="2"/>
      <c r="TTV121" s="4"/>
      <c r="TTW121" s="2"/>
      <c r="TTX121" s="3"/>
      <c r="TTY121" s="2"/>
      <c r="TTZ121" s="2"/>
      <c r="TUA121" s="5"/>
      <c r="TUB121" s="2"/>
      <c r="TUC121" s="4"/>
      <c r="TUD121" s="2"/>
      <c r="TUE121" s="3"/>
      <c r="TUF121" s="2"/>
      <c r="TUG121" s="2"/>
      <c r="TUH121" s="5"/>
      <c r="TUI121" s="2"/>
      <c r="TUJ121" s="4"/>
      <c r="TUK121" s="2"/>
      <c r="TUL121" s="3"/>
      <c r="TUM121" s="2"/>
      <c r="TUN121" s="2"/>
      <c r="TUO121" s="5"/>
      <c r="TUP121" s="2"/>
      <c r="TUQ121" s="4"/>
      <c r="TUR121" s="2"/>
      <c r="TUS121" s="3"/>
      <c r="TUT121" s="2"/>
      <c r="TUU121" s="2"/>
      <c r="TUV121" s="5"/>
      <c r="TUW121" s="2"/>
      <c r="TUX121" s="4"/>
      <c r="TUY121" s="2"/>
      <c r="TUZ121" s="3"/>
      <c r="TVA121" s="2"/>
      <c r="TVB121" s="2"/>
      <c r="TVC121" s="5"/>
      <c r="TVD121" s="2"/>
      <c r="TVE121" s="4"/>
      <c r="TVF121" s="2"/>
      <c r="TVG121" s="3"/>
      <c r="TVH121" s="2"/>
      <c r="TVI121" s="2"/>
      <c r="TVJ121" s="5"/>
      <c r="TVK121" s="2"/>
      <c r="TVL121" s="4"/>
      <c r="TVM121" s="2"/>
      <c r="TVN121" s="3"/>
      <c r="TVO121" s="2"/>
      <c r="TVP121" s="2"/>
      <c r="TVQ121" s="5"/>
      <c r="TVR121" s="2"/>
      <c r="TVS121" s="4"/>
      <c r="TVT121" s="2"/>
      <c r="TVU121" s="3"/>
      <c r="TVV121" s="2"/>
      <c r="TVW121" s="2"/>
      <c r="TVX121" s="5"/>
      <c r="TVY121" s="2"/>
      <c r="TVZ121" s="4"/>
      <c r="TWA121" s="2"/>
      <c r="TWB121" s="3"/>
      <c r="TWC121" s="2"/>
      <c r="TWD121" s="2"/>
      <c r="TWE121" s="5"/>
      <c r="TWF121" s="2"/>
      <c r="TWG121" s="4"/>
      <c r="TWH121" s="2"/>
      <c r="TWI121" s="3"/>
      <c r="TWJ121" s="2"/>
      <c r="TWK121" s="2"/>
      <c r="TWL121" s="5"/>
      <c r="TWM121" s="2"/>
      <c r="TWN121" s="4"/>
      <c r="TWO121" s="2"/>
      <c r="TWP121" s="3"/>
      <c r="TWQ121" s="2"/>
      <c r="TWR121" s="2"/>
      <c r="TWS121" s="5"/>
      <c r="TWT121" s="2"/>
      <c r="TWU121" s="4"/>
      <c r="TWV121" s="2"/>
      <c r="TWW121" s="3"/>
      <c r="TWX121" s="2"/>
      <c r="TWY121" s="2"/>
      <c r="TWZ121" s="5"/>
      <c r="TXA121" s="2"/>
      <c r="TXB121" s="4"/>
      <c r="TXC121" s="2"/>
      <c r="TXD121" s="3"/>
      <c r="TXE121" s="2"/>
      <c r="TXF121" s="2"/>
      <c r="TXG121" s="5"/>
      <c r="TXH121" s="2"/>
      <c r="TXI121" s="4"/>
      <c r="TXJ121" s="2"/>
      <c r="TXK121" s="3"/>
      <c r="TXL121" s="2"/>
      <c r="TXM121" s="2"/>
      <c r="TXN121" s="5"/>
      <c r="TXO121" s="2"/>
      <c r="TXP121" s="4"/>
      <c r="TXQ121" s="2"/>
      <c r="TXR121" s="3"/>
      <c r="TXS121" s="2"/>
      <c r="TXT121" s="2"/>
      <c r="TXU121" s="5"/>
      <c r="TXV121" s="2"/>
      <c r="TXW121" s="4"/>
      <c r="TXX121" s="2"/>
      <c r="TXY121" s="3"/>
      <c r="TXZ121" s="2"/>
      <c r="TYA121" s="2"/>
      <c r="TYB121" s="5"/>
      <c r="TYC121" s="2"/>
      <c r="TYD121" s="4"/>
      <c r="TYE121" s="2"/>
      <c r="TYF121" s="3"/>
      <c r="TYG121" s="2"/>
      <c r="TYH121" s="2"/>
      <c r="TYI121" s="5"/>
      <c r="TYJ121" s="2"/>
      <c r="TYK121" s="4"/>
      <c r="TYL121" s="2"/>
      <c r="TYM121" s="3"/>
      <c r="TYN121" s="2"/>
      <c r="TYO121" s="2"/>
      <c r="TYP121" s="5"/>
      <c r="TYQ121" s="2"/>
      <c r="TYR121" s="4"/>
      <c r="TYS121" s="2"/>
      <c r="TYT121" s="3"/>
      <c r="TYU121" s="2"/>
      <c r="TYV121" s="2"/>
      <c r="TYW121" s="5"/>
      <c r="TYX121" s="2"/>
      <c r="TYY121" s="4"/>
      <c r="TYZ121" s="2"/>
      <c r="TZA121" s="3"/>
      <c r="TZB121" s="2"/>
      <c r="TZC121" s="2"/>
      <c r="TZD121" s="5"/>
      <c r="TZE121" s="2"/>
      <c r="TZF121" s="4"/>
      <c r="TZG121" s="2"/>
      <c r="TZH121" s="3"/>
      <c r="TZI121" s="2"/>
      <c r="TZJ121" s="2"/>
      <c r="TZK121" s="5"/>
      <c r="TZL121" s="2"/>
      <c r="TZM121" s="4"/>
      <c r="TZN121" s="2"/>
      <c r="TZO121" s="3"/>
      <c r="TZP121" s="2"/>
      <c r="TZQ121" s="2"/>
      <c r="TZR121" s="5"/>
      <c r="TZS121" s="2"/>
      <c r="TZT121" s="4"/>
      <c r="TZU121" s="2"/>
      <c r="TZV121" s="3"/>
      <c r="TZW121" s="2"/>
      <c r="TZX121" s="2"/>
      <c r="TZY121" s="5"/>
      <c r="TZZ121" s="2"/>
      <c r="UAA121" s="4"/>
      <c r="UAB121" s="2"/>
      <c r="UAC121" s="3"/>
      <c r="UAD121" s="2"/>
      <c r="UAE121" s="2"/>
      <c r="UAF121" s="5"/>
      <c r="UAG121" s="2"/>
      <c r="UAH121" s="4"/>
      <c r="UAI121" s="2"/>
      <c r="UAJ121" s="3"/>
      <c r="UAK121" s="2"/>
      <c r="UAL121" s="2"/>
      <c r="UAM121" s="5"/>
      <c r="UAN121" s="2"/>
      <c r="UAO121" s="4"/>
      <c r="UAP121" s="2"/>
      <c r="UAQ121" s="3"/>
      <c r="UAR121" s="2"/>
      <c r="UAS121" s="2"/>
      <c r="UAT121" s="5"/>
      <c r="UAU121" s="2"/>
      <c r="UAV121" s="4"/>
      <c r="UAW121" s="2"/>
      <c r="UAX121" s="3"/>
      <c r="UAY121" s="2"/>
      <c r="UAZ121" s="2"/>
      <c r="UBA121" s="5"/>
      <c r="UBB121" s="2"/>
      <c r="UBC121" s="4"/>
      <c r="UBD121" s="2"/>
      <c r="UBE121" s="3"/>
      <c r="UBF121" s="2"/>
      <c r="UBG121" s="2"/>
      <c r="UBH121" s="5"/>
      <c r="UBI121" s="2"/>
      <c r="UBJ121" s="4"/>
      <c r="UBK121" s="2"/>
      <c r="UBL121" s="3"/>
      <c r="UBM121" s="2"/>
      <c r="UBN121" s="2"/>
      <c r="UBO121" s="5"/>
      <c r="UBP121" s="2"/>
      <c r="UBQ121" s="4"/>
      <c r="UBR121" s="2"/>
      <c r="UBS121" s="3"/>
      <c r="UBT121" s="2"/>
      <c r="UBU121" s="2"/>
      <c r="UBV121" s="5"/>
      <c r="UBW121" s="2"/>
      <c r="UBX121" s="4"/>
      <c r="UBY121" s="2"/>
      <c r="UBZ121" s="3"/>
      <c r="UCA121" s="2"/>
      <c r="UCB121" s="2"/>
      <c r="UCC121" s="5"/>
      <c r="UCD121" s="2"/>
      <c r="UCE121" s="4"/>
      <c r="UCF121" s="2"/>
      <c r="UCG121" s="3"/>
      <c r="UCH121" s="2"/>
      <c r="UCI121" s="2"/>
      <c r="UCJ121" s="5"/>
      <c r="UCK121" s="2"/>
      <c r="UCL121" s="4"/>
      <c r="UCM121" s="2"/>
      <c r="UCN121" s="3"/>
      <c r="UCO121" s="2"/>
      <c r="UCP121" s="2"/>
      <c r="UCQ121" s="5"/>
      <c r="UCR121" s="2"/>
      <c r="UCS121" s="4"/>
      <c r="UCT121" s="2"/>
      <c r="UCU121" s="3"/>
      <c r="UCV121" s="2"/>
      <c r="UCW121" s="2"/>
      <c r="UCX121" s="5"/>
      <c r="UCY121" s="2"/>
      <c r="UCZ121" s="4"/>
      <c r="UDA121" s="2"/>
      <c r="UDB121" s="3"/>
      <c r="UDC121" s="2"/>
      <c r="UDD121" s="2"/>
      <c r="UDE121" s="5"/>
      <c r="UDF121" s="2"/>
      <c r="UDG121" s="4"/>
      <c r="UDH121" s="2"/>
      <c r="UDI121" s="3"/>
      <c r="UDJ121" s="2"/>
      <c r="UDK121" s="2"/>
      <c r="UDL121" s="5"/>
      <c r="UDM121" s="2"/>
      <c r="UDN121" s="4"/>
      <c r="UDO121" s="2"/>
      <c r="UDP121" s="3"/>
      <c r="UDQ121" s="2"/>
      <c r="UDR121" s="2"/>
      <c r="UDS121" s="5"/>
      <c r="UDT121" s="2"/>
      <c r="UDU121" s="4"/>
      <c r="UDV121" s="2"/>
      <c r="UDW121" s="3"/>
      <c r="UDX121" s="2"/>
      <c r="UDY121" s="2"/>
      <c r="UDZ121" s="5"/>
      <c r="UEA121" s="2"/>
      <c r="UEB121" s="4"/>
      <c r="UEC121" s="2"/>
      <c r="UED121" s="3"/>
      <c r="UEE121" s="2"/>
      <c r="UEF121" s="2"/>
      <c r="UEG121" s="5"/>
      <c r="UEH121" s="2"/>
      <c r="UEI121" s="4"/>
      <c r="UEJ121" s="2"/>
      <c r="UEK121" s="3"/>
      <c r="UEL121" s="2"/>
      <c r="UEM121" s="2"/>
      <c r="UEN121" s="5"/>
      <c r="UEO121" s="2"/>
      <c r="UEP121" s="4"/>
      <c r="UEQ121" s="2"/>
      <c r="UER121" s="3"/>
      <c r="UES121" s="2"/>
      <c r="UET121" s="2"/>
      <c r="UEU121" s="5"/>
      <c r="UEV121" s="2"/>
      <c r="UEW121" s="4"/>
      <c r="UEX121" s="2"/>
      <c r="UEY121" s="3"/>
      <c r="UEZ121" s="2"/>
      <c r="UFA121" s="2"/>
      <c r="UFB121" s="5"/>
      <c r="UFC121" s="2"/>
      <c r="UFD121" s="4"/>
      <c r="UFE121" s="2"/>
      <c r="UFF121" s="3"/>
      <c r="UFG121" s="2"/>
      <c r="UFH121" s="2"/>
      <c r="UFI121" s="5"/>
      <c r="UFJ121" s="2"/>
      <c r="UFK121" s="4"/>
      <c r="UFL121" s="2"/>
      <c r="UFM121" s="3"/>
      <c r="UFN121" s="2"/>
      <c r="UFO121" s="2"/>
      <c r="UFP121" s="5"/>
      <c r="UFQ121" s="2"/>
      <c r="UFR121" s="4"/>
      <c r="UFS121" s="2"/>
      <c r="UFT121" s="3"/>
      <c r="UFU121" s="2"/>
      <c r="UFV121" s="2"/>
      <c r="UFW121" s="5"/>
      <c r="UFX121" s="2"/>
      <c r="UFY121" s="4"/>
      <c r="UFZ121" s="2"/>
      <c r="UGA121" s="3"/>
      <c r="UGB121" s="2"/>
      <c r="UGC121" s="2"/>
      <c r="UGD121" s="5"/>
      <c r="UGE121" s="2"/>
      <c r="UGF121" s="4"/>
      <c r="UGG121" s="2"/>
      <c r="UGH121" s="3"/>
      <c r="UGI121" s="2"/>
      <c r="UGJ121" s="2"/>
      <c r="UGK121" s="5"/>
      <c r="UGL121" s="2"/>
      <c r="UGM121" s="4"/>
      <c r="UGN121" s="2"/>
      <c r="UGO121" s="3"/>
      <c r="UGP121" s="2"/>
      <c r="UGQ121" s="2"/>
      <c r="UGR121" s="5"/>
      <c r="UGS121" s="2"/>
      <c r="UGT121" s="4"/>
      <c r="UGU121" s="2"/>
      <c r="UGV121" s="3"/>
      <c r="UGW121" s="2"/>
      <c r="UGX121" s="2"/>
      <c r="UGY121" s="5"/>
      <c r="UGZ121" s="2"/>
      <c r="UHA121" s="4"/>
      <c r="UHB121" s="2"/>
      <c r="UHC121" s="3"/>
      <c r="UHD121" s="2"/>
      <c r="UHE121" s="2"/>
      <c r="UHF121" s="5"/>
      <c r="UHG121" s="2"/>
      <c r="UHH121" s="4"/>
      <c r="UHI121" s="2"/>
      <c r="UHJ121" s="3"/>
      <c r="UHK121" s="2"/>
      <c r="UHL121" s="2"/>
      <c r="UHM121" s="5"/>
      <c r="UHN121" s="2"/>
      <c r="UHO121" s="4"/>
      <c r="UHP121" s="2"/>
      <c r="UHQ121" s="3"/>
      <c r="UHR121" s="2"/>
      <c r="UHS121" s="2"/>
      <c r="UHT121" s="5"/>
      <c r="UHU121" s="2"/>
      <c r="UHV121" s="4"/>
      <c r="UHW121" s="2"/>
      <c r="UHX121" s="3"/>
      <c r="UHY121" s="2"/>
      <c r="UHZ121" s="2"/>
      <c r="UIA121" s="5"/>
      <c r="UIB121" s="2"/>
      <c r="UIC121" s="4"/>
      <c r="UID121" s="2"/>
      <c r="UIE121" s="3"/>
      <c r="UIF121" s="2"/>
      <c r="UIG121" s="2"/>
      <c r="UIH121" s="5"/>
      <c r="UII121" s="2"/>
      <c r="UIJ121" s="4"/>
      <c r="UIK121" s="2"/>
      <c r="UIL121" s="3"/>
      <c r="UIM121" s="2"/>
      <c r="UIN121" s="2"/>
      <c r="UIO121" s="5"/>
      <c r="UIP121" s="2"/>
      <c r="UIQ121" s="4"/>
      <c r="UIR121" s="2"/>
      <c r="UIS121" s="3"/>
      <c r="UIT121" s="2"/>
      <c r="UIU121" s="2"/>
      <c r="UIV121" s="5"/>
      <c r="UIW121" s="2"/>
      <c r="UIX121" s="4"/>
      <c r="UIY121" s="2"/>
      <c r="UIZ121" s="3"/>
      <c r="UJA121" s="2"/>
      <c r="UJB121" s="2"/>
      <c r="UJC121" s="5"/>
      <c r="UJD121" s="2"/>
      <c r="UJE121" s="4"/>
      <c r="UJF121" s="2"/>
      <c r="UJG121" s="3"/>
      <c r="UJH121" s="2"/>
      <c r="UJI121" s="2"/>
      <c r="UJJ121" s="5"/>
      <c r="UJK121" s="2"/>
      <c r="UJL121" s="4"/>
      <c r="UJM121" s="2"/>
      <c r="UJN121" s="3"/>
      <c r="UJO121" s="2"/>
      <c r="UJP121" s="2"/>
      <c r="UJQ121" s="5"/>
      <c r="UJR121" s="2"/>
      <c r="UJS121" s="4"/>
      <c r="UJT121" s="2"/>
      <c r="UJU121" s="3"/>
      <c r="UJV121" s="2"/>
      <c r="UJW121" s="2"/>
      <c r="UJX121" s="5"/>
      <c r="UJY121" s="2"/>
      <c r="UJZ121" s="4"/>
      <c r="UKA121" s="2"/>
      <c r="UKB121" s="3"/>
      <c r="UKC121" s="2"/>
      <c r="UKD121" s="2"/>
      <c r="UKE121" s="5"/>
      <c r="UKF121" s="2"/>
      <c r="UKG121" s="4"/>
      <c r="UKH121" s="2"/>
      <c r="UKI121" s="3"/>
      <c r="UKJ121" s="2"/>
      <c r="UKK121" s="2"/>
      <c r="UKL121" s="5"/>
      <c r="UKM121" s="2"/>
      <c r="UKN121" s="4"/>
      <c r="UKO121" s="2"/>
      <c r="UKP121" s="3"/>
      <c r="UKQ121" s="2"/>
      <c r="UKR121" s="2"/>
      <c r="UKS121" s="5"/>
      <c r="UKT121" s="2"/>
      <c r="UKU121" s="4"/>
      <c r="UKV121" s="2"/>
      <c r="UKW121" s="3"/>
      <c r="UKX121" s="2"/>
      <c r="UKY121" s="2"/>
      <c r="UKZ121" s="5"/>
      <c r="ULA121" s="2"/>
      <c r="ULB121" s="4"/>
      <c r="ULC121" s="2"/>
      <c r="ULD121" s="3"/>
      <c r="ULE121" s="2"/>
      <c r="ULF121" s="2"/>
      <c r="ULG121" s="5"/>
      <c r="ULH121" s="2"/>
      <c r="ULI121" s="4"/>
      <c r="ULJ121" s="2"/>
      <c r="ULK121" s="3"/>
      <c r="ULL121" s="2"/>
      <c r="ULM121" s="2"/>
      <c r="ULN121" s="5"/>
      <c r="ULO121" s="2"/>
      <c r="ULP121" s="4"/>
      <c r="ULQ121" s="2"/>
      <c r="ULR121" s="3"/>
      <c r="ULS121" s="2"/>
      <c r="ULT121" s="2"/>
      <c r="ULU121" s="5"/>
      <c r="ULV121" s="2"/>
      <c r="ULW121" s="4"/>
      <c r="ULX121" s="2"/>
      <c r="ULY121" s="3"/>
      <c r="ULZ121" s="2"/>
      <c r="UMA121" s="2"/>
      <c r="UMB121" s="5"/>
      <c r="UMC121" s="2"/>
      <c r="UMD121" s="4"/>
      <c r="UME121" s="2"/>
      <c r="UMF121" s="3"/>
      <c r="UMG121" s="2"/>
      <c r="UMH121" s="2"/>
      <c r="UMI121" s="5"/>
      <c r="UMJ121" s="2"/>
      <c r="UMK121" s="4"/>
      <c r="UML121" s="2"/>
      <c r="UMM121" s="3"/>
      <c r="UMN121" s="2"/>
      <c r="UMO121" s="2"/>
      <c r="UMP121" s="5"/>
      <c r="UMQ121" s="2"/>
      <c r="UMR121" s="4"/>
      <c r="UMS121" s="2"/>
      <c r="UMT121" s="3"/>
      <c r="UMU121" s="2"/>
      <c r="UMV121" s="2"/>
      <c r="UMW121" s="5"/>
      <c r="UMX121" s="2"/>
      <c r="UMY121" s="4"/>
      <c r="UMZ121" s="2"/>
      <c r="UNA121" s="3"/>
      <c r="UNB121" s="2"/>
      <c r="UNC121" s="2"/>
      <c r="UND121" s="5"/>
      <c r="UNE121" s="2"/>
      <c r="UNF121" s="4"/>
      <c r="UNG121" s="2"/>
      <c r="UNH121" s="3"/>
      <c r="UNI121" s="2"/>
      <c r="UNJ121" s="2"/>
      <c r="UNK121" s="5"/>
      <c r="UNL121" s="2"/>
      <c r="UNM121" s="4"/>
      <c r="UNN121" s="2"/>
      <c r="UNO121" s="3"/>
      <c r="UNP121" s="2"/>
      <c r="UNQ121" s="2"/>
      <c r="UNR121" s="5"/>
      <c r="UNS121" s="2"/>
      <c r="UNT121" s="4"/>
      <c r="UNU121" s="2"/>
      <c r="UNV121" s="3"/>
      <c r="UNW121" s="2"/>
      <c r="UNX121" s="2"/>
      <c r="UNY121" s="5"/>
      <c r="UNZ121" s="2"/>
      <c r="UOA121" s="4"/>
      <c r="UOB121" s="2"/>
      <c r="UOC121" s="3"/>
      <c r="UOD121" s="2"/>
      <c r="UOE121" s="2"/>
      <c r="UOF121" s="5"/>
      <c r="UOG121" s="2"/>
      <c r="UOH121" s="4"/>
      <c r="UOI121" s="2"/>
      <c r="UOJ121" s="3"/>
      <c r="UOK121" s="2"/>
      <c r="UOL121" s="2"/>
      <c r="UOM121" s="5"/>
      <c r="UON121" s="2"/>
      <c r="UOO121" s="4"/>
      <c r="UOP121" s="2"/>
      <c r="UOQ121" s="3"/>
      <c r="UOR121" s="2"/>
      <c r="UOS121" s="2"/>
      <c r="UOT121" s="5"/>
      <c r="UOU121" s="2"/>
      <c r="UOV121" s="4"/>
      <c r="UOW121" s="2"/>
      <c r="UOX121" s="3"/>
      <c r="UOY121" s="2"/>
      <c r="UOZ121" s="2"/>
      <c r="UPA121" s="5"/>
      <c r="UPB121" s="2"/>
      <c r="UPC121" s="4"/>
      <c r="UPD121" s="2"/>
      <c r="UPE121" s="3"/>
      <c r="UPF121" s="2"/>
      <c r="UPG121" s="2"/>
      <c r="UPH121" s="5"/>
      <c r="UPI121" s="2"/>
      <c r="UPJ121" s="4"/>
      <c r="UPK121" s="2"/>
      <c r="UPL121" s="3"/>
      <c r="UPM121" s="2"/>
      <c r="UPN121" s="2"/>
      <c r="UPO121" s="5"/>
      <c r="UPP121" s="2"/>
      <c r="UPQ121" s="4"/>
      <c r="UPR121" s="2"/>
      <c r="UPS121" s="3"/>
      <c r="UPT121" s="2"/>
      <c r="UPU121" s="2"/>
      <c r="UPV121" s="5"/>
      <c r="UPW121" s="2"/>
      <c r="UPX121" s="4"/>
      <c r="UPY121" s="2"/>
      <c r="UPZ121" s="3"/>
      <c r="UQA121" s="2"/>
      <c r="UQB121" s="2"/>
      <c r="UQC121" s="5"/>
      <c r="UQD121" s="2"/>
      <c r="UQE121" s="4"/>
      <c r="UQF121" s="2"/>
      <c r="UQG121" s="3"/>
      <c r="UQH121" s="2"/>
      <c r="UQI121" s="2"/>
      <c r="UQJ121" s="5"/>
      <c r="UQK121" s="2"/>
      <c r="UQL121" s="4"/>
      <c r="UQM121" s="2"/>
      <c r="UQN121" s="3"/>
      <c r="UQO121" s="2"/>
      <c r="UQP121" s="2"/>
      <c r="UQQ121" s="5"/>
      <c r="UQR121" s="2"/>
      <c r="UQS121" s="4"/>
      <c r="UQT121" s="2"/>
      <c r="UQU121" s="3"/>
      <c r="UQV121" s="2"/>
      <c r="UQW121" s="2"/>
      <c r="UQX121" s="5"/>
      <c r="UQY121" s="2"/>
      <c r="UQZ121" s="4"/>
      <c r="URA121" s="2"/>
      <c r="URB121" s="3"/>
      <c r="URC121" s="2"/>
      <c r="URD121" s="2"/>
      <c r="URE121" s="5"/>
      <c r="URF121" s="2"/>
      <c r="URG121" s="4"/>
      <c r="URH121" s="2"/>
      <c r="URI121" s="3"/>
      <c r="URJ121" s="2"/>
      <c r="URK121" s="2"/>
      <c r="URL121" s="5"/>
      <c r="URM121" s="2"/>
      <c r="URN121" s="4"/>
      <c r="URO121" s="2"/>
      <c r="URP121" s="3"/>
      <c r="URQ121" s="2"/>
      <c r="URR121" s="2"/>
      <c r="URS121" s="5"/>
      <c r="URT121" s="2"/>
      <c r="URU121" s="4"/>
      <c r="URV121" s="2"/>
      <c r="URW121" s="3"/>
      <c r="URX121" s="2"/>
      <c r="URY121" s="2"/>
      <c r="URZ121" s="5"/>
      <c r="USA121" s="2"/>
      <c r="USB121" s="4"/>
      <c r="USC121" s="2"/>
      <c r="USD121" s="3"/>
      <c r="USE121" s="2"/>
      <c r="USF121" s="2"/>
      <c r="USG121" s="5"/>
      <c r="USH121" s="2"/>
      <c r="USI121" s="4"/>
      <c r="USJ121" s="2"/>
      <c r="USK121" s="3"/>
      <c r="USL121" s="2"/>
      <c r="USM121" s="2"/>
      <c r="USN121" s="5"/>
      <c r="USO121" s="2"/>
      <c r="USP121" s="4"/>
      <c r="USQ121" s="2"/>
      <c r="USR121" s="3"/>
      <c r="USS121" s="2"/>
      <c r="UST121" s="2"/>
      <c r="USU121" s="5"/>
      <c r="USV121" s="2"/>
      <c r="USW121" s="4"/>
      <c r="USX121" s="2"/>
      <c r="USY121" s="3"/>
      <c r="USZ121" s="2"/>
      <c r="UTA121" s="2"/>
      <c r="UTB121" s="5"/>
      <c r="UTC121" s="2"/>
      <c r="UTD121" s="4"/>
      <c r="UTE121" s="2"/>
      <c r="UTF121" s="3"/>
      <c r="UTG121" s="2"/>
      <c r="UTH121" s="2"/>
      <c r="UTI121" s="5"/>
      <c r="UTJ121" s="2"/>
      <c r="UTK121" s="4"/>
      <c r="UTL121" s="2"/>
      <c r="UTM121" s="3"/>
      <c r="UTN121" s="2"/>
      <c r="UTO121" s="2"/>
      <c r="UTP121" s="5"/>
      <c r="UTQ121" s="2"/>
      <c r="UTR121" s="4"/>
      <c r="UTS121" s="2"/>
      <c r="UTT121" s="3"/>
      <c r="UTU121" s="2"/>
      <c r="UTV121" s="2"/>
      <c r="UTW121" s="5"/>
      <c r="UTX121" s="2"/>
      <c r="UTY121" s="4"/>
      <c r="UTZ121" s="2"/>
      <c r="UUA121" s="3"/>
      <c r="UUB121" s="2"/>
      <c r="UUC121" s="2"/>
      <c r="UUD121" s="5"/>
      <c r="UUE121" s="2"/>
      <c r="UUF121" s="4"/>
      <c r="UUG121" s="2"/>
      <c r="UUH121" s="3"/>
      <c r="UUI121" s="2"/>
      <c r="UUJ121" s="2"/>
      <c r="UUK121" s="5"/>
      <c r="UUL121" s="2"/>
      <c r="UUM121" s="4"/>
      <c r="UUN121" s="2"/>
      <c r="UUO121" s="3"/>
      <c r="UUP121" s="2"/>
      <c r="UUQ121" s="2"/>
      <c r="UUR121" s="5"/>
      <c r="UUS121" s="2"/>
      <c r="UUT121" s="4"/>
      <c r="UUU121" s="2"/>
      <c r="UUV121" s="3"/>
      <c r="UUW121" s="2"/>
      <c r="UUX121" s="2"/>
      <c r="UUY121" s="5"/>
      <c r="UUZ121" s="2"/>
      <c r="UVA121" s="4"/>
      <c r="UVB121" s="2"/>
      <c r="UVC121" s="3"/>
      <c r="UVD121" s="2"/>
      <c r="UVE121" s="2"/>
      <c r="UVF121" s="5"/>
      <c r="UVG121" s="2"/>
      <c r="UVH121" s="4"/>
      <c r="UVI121" s="2"/>
      <c r="UVJ121" s="3"/>
      <c r="UVK121" s="2"/>
      <c r="UVL121" s="2"/>
      <c r="UVM121" s="5"/>
      <c r="UVN121" s="2"/>
      <c r="UVO121" s="4"/>
      <c r="UVP121" s="2"/>
      <c r="UVQ121" s="3"/>
      <c r="UVR121" s="2"/>
      <c r="UVS121" s="2"/>
      <c r="UVT121" s="5"/>
      <c r="UVU121" s="2"/>
      <c r="UVV121" s="4"/>
      <c r="UVW121" s="2"/>
      <c r="UVX121" s="3"/>
      <c r="UVY121" s="2"/>
      <c r="UVZ121" s="2"/>
      <c r="UWA121" s="5"/>
      <c r="UWB121" s="2"/>
      <c r="UWC121" s="4"/>
      <c r="UWD121" s="2"/>
      <c r="UWE121" s="3"/>
      <c r="UWF121" s="2"/>
      <c r="UWG121" s="2"/>
      <c r="UWH121" s="5"/>
      <c r="UWI121" s="2"/>
      <c r="UWJ121" s="4"/>
      <c r="UWK121" s="2"/>
      <c r="UWL121" s="3"/>
      <c r="UWM121" s="2"/>
      <c r="UWN121" s="2"/>
      <c r="UWO121" s="5"/>
      <c r="UWP121" s="2"/>
      <c r="UWQ121" s="4"/>
      <c r="UWR121" s="2"/>
      <c r="UWS121" s="3"/>
      <c r="UWT121" s="2"/>
      <c r="UWU121" s="2"/>
      <c r="UWV121" s="5"/>
      <c r="UWW121" s="2"/>
      <c r="UWX121" s="4"/>
      <c r="UWY121" s="2"/>
      <c r="UWZ121" s="3"/>
      <c r="UXA121" s="2"/>
      <c r="UXB121" s="2"/>
      <c r="UXC121" s="5"/>
      <c r="UXD121" s="2"/>
      <c r="UXE121" s="4"/>
      <c r="UXF121" s="2"/>
      <c r="UXG121" s="3"/>
      <c r="UXH121" s="2"/>
      <c r="UXI121" s="2"/>
      <c r="UXJ121" s="5"/>
      <c r="UXK121" s="2"/>
      <c r="UXL121" s="4"/>
      <c r="UXM121" s="2"/>
      <c r="UXN121" s="3"/>
      <c r="UXO121" s="2"/>
      <c r="UXP121" s="2"/>
      <c r="UXQ121" s="5"/>
      <c r="UXR121" s="2"/>
      <c r="UXS121" s="4"/>
      <c r="UXT121" s="2"/>
      <c r="UXU121" s="3"/>
      <c r="UXV121" s="2"/>
      <c r="UXW121" s="2"/>
      <c r="UXX121" s="5"/>
      <c r="UXY121" s="2"/>
      <c r="UXZ121" s="4"/>
      <c r="UYA121" s="2"/>
      <c r="UYB121" s="3"/>
      <c r="UYC121" s="2"/>
      <c r="UYD121" s="2"/>
      <c r="UYE121" s="5"/>
      <c r="UYF121" s="2"/>
      <c r="UYG121" s="4"/>
      <c r="UYH121" s="2"/>
      <c r="UYI121" s="3"/>
      <c r="UYJ121" s="2"/>
      <c r="UYK121" s="2"/>
      <c r="UYL121" s="5"/>
      <c r="UYM121" s="2"/>
      <c r="UYN121" s="4"/>
      <c r="UYO121" s="2"/>
      <c r="UYP121" s="3"/>
      <c r="UYQ121" s="2"/>
      <c r="UYR121" s="2"/>
      <c r="UYS121" s="5"/>
      <c r="UYT121" s="2"/>
      <c r="UYU121" s="4"/>
      <c r="UYV121" s="2"/>
      <c r="UYW121" s="3"/>
      <c r="UYX121" s="2"/>
      <c r="UYY121" s="2"/>
      <c r="UYZ121" s="5"/>
      <c r="UZA121" s="2"/>
      <c r="UZB121" s="4"/>
      <c r="UZC121" s="2"/>
      <c r="UZD121" s="3"/>
      <c r="UZE121" s="2"/>
      <c r="UZF121" s="2"/>
      <c r="UZG121" s="5"/>
      <c r="UZH121" s="2"/>
      <c r="UZI121" s="4"/>
      <c r="UZJ121" s="2"/>
      <c r="UZK121" s="3"/>
      <c r="UZL121" s="2"/>
      <c r="UZM121" s="2"/>
      <c r="UZN121" s="5"/>
      <c r="UZO121" s="2"/>
      <c r="UZP121" s="4"/>
      <c r="UZQ121" s="2"/>
      <c r="UZR121" s="3"/>
      <c r="UZS121" s="2"/>
      <c r="UZT121" s="2"/>
      <c r="UZU121" s="5"/>
      <c r="UZV121" s="2"/>
      <c r="UZW121" s="4"/>
      <c r="UZX121" s="2"/>
      <c r="UZY121" s="3"/>
      <c r="UZZ121" s="2"/>
      <c r="VAA121" s="2"/>
      <c r="VAB121" s="5"/>
      <c r="VAC121" s="2"/>
      <c r="VAD121" s="4"/>
      <c r="VAE121" s="2"/>
      <c r="VAF121" s="3"/>
      <c r="VAG121" s="2"/>
      <c r="VAH121" s="2"/>
      <c r="VAI121" s="5"/>
      <c r="VAJ121" s="2"/>
      <c r="VAK121" s="4"/>
      <c r="VAL121" s="2"/>
      <c r="VAM121" s="3"/>
      <c r="VAN121" s="2"/>
      <c r="VAO121" s="2"/>
      <c r="VAP121" s="5"/>
      <c r="VAQ121" s="2"/>
      <c r="VAR121" s="4"/>
      <c r="VAS121" s="2"/>
      <c r="VAT121" s="3"/>
      <c r="VAU121" s="2"/>
      <c r="VAV121" s="2"/>
      <c r="VAW121" s="5"/>
      <c r="VAX121" s="2"/>
      <c r="VAY121" s="4"/>
      <c r="VAZ121" s="2"/>
      <c r="VBA121" s="3"/>
      <c r="VBB121" s="2"/>
      <c r="VBC121" s="2"/>
      <c r="VBD121" s="5"/>
      <c r="VBE121" s="2"/>
      <c r="VBF121" s="4"/>
      <c r="VBG121" s="2"/>
      <c r="VBH121" s="3"/>
      <c r="VBI121" s="2"/>
      <c r="VBJ121" s="2"/>
      <c r="VBK121" s="5"/>
      <c r="VBL121" s="2"/>
      <c r="VBM121" s="4"/>
      <c r="VBN121" s="2"/>
      <c r="VBO121" s="3"/>
      <c r="VBP121" s="2"/>
      <c r="VBQ121" s="2"/>
      <c r="VBR121" s="5"/>
      <c r="VBS121" s="2"/>
      <c r="VBT121" s="4"/>
      <c r="VBU121" s="2"/>
      <c r="VBV121" s="3"/>
      <c r="VBW121" s="2"/>
      <c r="VBX121" s="2"/>
      <c r="VBY121" s="5"/>
      <c r="VBZ121" s="2"/>
      <c r="VCA121" s="4"/>
      <c r="VCB121" s="2"/>
      <c r="VCC121" s="3"/>
      <c r="VCD121" s="2"/>
      <c r="VCE121" s="2"/>
      <c r="VCF121" s="5"/>
      <c r="VCG121" s="2"/>
      <c r="VCH121" s="4"/>
      <c r="VCI121" s="2"/>
      <c r="VCJ121" s="3"/>
      <c r="VCK121" s="2"/>
      <c r="VCL121" s="2"/>
      <c r="VCM121" s="5"/>
      <c r="VCN121" s="2"/>
      <c r="VCO121" s="4"/>
      <c r="VCP121" s="2"/>
      <c r="VCQ121" s="3"/>
      <c r="VCR121" s="2"/>
      <c r="VCS121" s="2"/>
      <c r="VCT121" s="5"/>
      <c r="VCU121" s="2"/>
      <c r="VCV121" s="4"/>
      <c r="VCW121" s="2"/>
      <c r="VCX121" s="3"/>
      <c r="VCY121" s="2"/>
      <c r="VCZ121" s="2"/>
      <c r="VDA121" s="5"/>
      <c r="VDB121" s="2"/>
      <c r="VDC121" s="4"/>
      <c r="VDD121" s="2"/>
      <c r="VDE121" s="3"/>
      <c r="VDF121" s="2"/>
      <c r="VDG121" s="2"/>
      <c r="VDH121" s="5"/>
      <c r="VDI121" s="2"/>
      <c r="VDJ121" s="4"/>
      <c r="VDK121" s="2"/>
      <c r="VDL121" s="3"/>
      <c r="VDM121" s="2"/>
      <c r="VDN121" s="2"/>
      <c r="VDO121" s="5"/>
      <c r="VDP121" s="2"/>
      <c r="VDQ121" s="4"/>
      <c r="VDR121" s="2"/>
      <c r="VDS121" s="3"/>
      <c r="VDT121" s="2"/>
      <c r="VDU121" s="2"/>
      <c r="VDV121" s="5"/>
      <c r="VDW121" s="2"/>
      <c r="VDX121" s="4"/>
      <c r="VDY121" s="2"/>
      <c r="VDZ121" s="3"/>
      <c r="VEA121" s="2"/>
      <c r="VEB121" s="2"/>
      <c r="VEC121" s="5"/>
      <c r="VED121" s="2"/>
      <c r="VEE121" s="4"/>
      <c r="VEF121" s="2"/>
      <c r="VEG121" s="3"/>
      <c r="VEH121" s="2"/>
      <c r="VEI121" s="2"/>
      <c r="VEJ121" s="5"/>
      <c r="VEK121" s="2"/>
      <c r="VEL121" s="4"/>
      <c r="VEM121" s="2"/>
      <c r="VEN121" s="3"/>
      <c r="VEO121" s="2"/>
      <c r="VEP121" s="2"/>
      <c r="VEQ121" s="5"/>
      <c r="VER121" s="2"/>
      <c r="VES121" s="4"/>
      <c r="VET121" s="2"/>
      <c r="VEU121" s="3"/>
      <c r="VEV121" s="2"/>
      <c r="VEW121" s="2"/>
      <c r="VEX121" s="5"/>
      <c r="VEY121" s="2"/>
      <c r="VEZ121" s="4"/>
      <c r="VFA121" s="2"/>
      <c r="VFB121" s="3"/>
      <c r="VFC121" s="2"/>
      <c r="VFD121" s="2"/>
      <c r="VFE121" s="5"/>
      <c r="VFF121" s="2"/>
      <c r="VFG121" s="4"/>
      <c r="VFH121" s="2"/>
      <c r="VFI121" s="3"/>
      <c r="VFJ121" s="2"/>
      <c r="VFK121" s="2"/>
      <c r="VFL121" s="5"/>
      <c r="VFM121" s="2"/>
      <c r="VFN121" s="4"/>
      <c r="VFO121" s="2"/>
      <c r="VFP121" s="3"/>
      <c r="VFQ121" s="2"/>
      <c r="VFR121" s="2"/>
      <c r="VFS121" s="5"/>
      <c r="VFT121" s="2"/>
      <c r="VFU121" s="4"/>
      <c r="VFV121" s="2"/>
      <c r="VFW121" s="3"/>
      <c r="VFX121" s="2"/>
      <c r="VFY121" s="2"/>
      <c r="VFZ121" s="5"/>
      <c r="VGA121" s="2"/>
      <c r="VGB121" s="4"/>
      <c r="VGC121" s="2"/>
      <c r="VGD121" s="3"/>
      <c r="VGE121" s="2"/>
      <c r="VGF121" s="2"/>
      <c r="VGG121" s="5"/>
      <c r="VGH121" s="2"/>
      <c r="VGI121" s="4"/>
      <c r="VGJ121" s="2"/>
      <c r="VGK121" s="3"/>
      <c r="VGL121" s="2"/>
      <c r="VGM121" s="2"/>
      <c r="VGN121" s="5"/>
      <c r="VGO121" s="2"/>
      <c r="VGP121" s="4"/>
      <c r="VGQ121" s="2"/>
      <c r="VGR121" s="3"/>
      <c r="VGS121" s="2"/>
      <c r="VGT121" s="2"/>
      <c r="VGU121" s="5"/>
      <c r="VGV121" s="2"/>
      <c r="VGW121" s="4"/>
      <c r="VGX121" s="2"/>
      <c r="VGY121" s="3"/>
      <c r="VGZ121" s="2"/>
      <c r="VHA121" s="2"/>
      <c r="VHB121" s="5"/>
      <c r="VHC121" s="2"/>
      <c r="VHD121" s="4"/>
      <c r="VHE121" s="2"/>
      <c r="VHF121" s="3"/>
      <c r="VHG121" s="2"/>
      <c r="VHH121" s="2"/>
      <c r="VHI121" s="5"/>
      <c r="VHJ121" s="2"/>
      <c r="VHK121" s="4"/>
      <c r="VHL121" s="2"/>
      <c r="VHM121" s="3"/>
      <c r="VHN121" s="2"/>
      <c r="VHO121" s="2"/>
      <c r="VHP121" s="5"/>
      <c r="VHQ121" s="2"/>
      <c r="VHR121" s="4"/>
      <c r="VHS121" s="2"/>
      <c r="VHT121" s="3"/>
      <c r="VHU121" s="2"/>
      <c r="VHV121" s="2"/>
      <c r="VHW121" s="5"/>
      <c r="VHX121" s="2"/>
      <c r="VHY121" s="4"/>
      <c r="VHZ121" s="2"/>
      <c r="VIA121" s="3"/>
      <c r="VIB121" s="2"/>
      <c r="VIC121" s="2"/>
      <c r="VID121" s="5"/>
      <c r="VIE121" s="2"/>
      <c r="VIF121" s="4"/>
      <c r="VIG121" s="2"/>
      <c r="VIH121" s="3"/>
      <c r="VII121" s="2"/>
      <c r="VIJ121" s="2"/>
      <c r="VIK121" s="5"/>
      <c r="VIL121" s="2"/>
      <c r="VIM121" s="4"/>
      <c r="VIN121" s="2"/>
      <c r="VIO121" s="3"/>
      <c r="VIP121" s="2"/>
      <c r="VIQ121" s="2"/>
      <c r="VIR121" s="5"/>
      <c r="VIS121" s="2"/>
      <c r="VIT121" s="4"/>
      <c r="VIU121" s="2"/>
      <c r="VIV121" s="3"/>
      <c r="VIW121" s="2"/>
      <c r="VIX121" s="2"/>
      <c r="VIY121" s="5"/>
      <c r="VIZ121" s="2"/>
      <c r="VJA121" s="4"/>
      <c r="VJB121" s="2"/>
      <c r="VJC121" s="3"/>
      <c r="VJD121" s="2"/>
      <c r="VJE121" s="2"/>
      <c r="VJF121" s="5"/>
      <c r="VJG121" s="2"/>
      <c r="VJH121" s="4"/>
      <c r="VJI121" s="2"/>
      <c r="VJJ121" s="3"/>
      <c r="VJK121" s="2"/>
      <c r="VJL121" s="2"/>
      <c r="VJM121" s="5"/>
      <c r="VJN121" s="2"/>
      <c r="VJO121" s="4"/>
      <c r="VJP121" s="2"/>
      <c r="VJQ121" s="3"/>
      <c r="VJR121" s="2"/>
      <c r="VJS121" s="2"/>
      <c r="VJT121" s="5"/>
      <c r="VJU121" s="2"/>
      <c r="VJV121" s="4"/>
      <c r="VJW121" s="2"/>
      <c r="VJX121" s="3"/>
      <c r="VJY121" s="2"/>
      <c r="VJZ121" s="2"/>
      <c r="VKA121" s="5"/>
      <c r="VKB121" s="2"/>
      <c r="VKC121" s="4"/>
      <c r="VKD121" s="2"/>
      <c r="VKE121" s="3"/>
      <c r="VKF121" s="2"/>
      <c r="VKG121" s="2"/>
      <c r="VKH121" s="5"/>
      <c r="VKI121" s="2"/>
      <c r="VKJ121" s="4"/>
      <c r="VKK121" s="2"/>
      <c r="VKL121" s="3"/>
      <c r="VKM121" s="2"/>
      <c r="VKN121" s="2"/>
      <c r="VKO121" s="5"/>
      <c r="VKP121" s="2"/>
      <c r="VKQ121" s="4"/>
      <c r="VKR121" s="2"/>
      <c r="VKS121" s="3"/>
      <c r="VKT121" s="2"/>
      <c r="VKU121" s="2"/>
      <c r="VKV121" s="5"/>
      <c r="VKW121" s="2"/>
      <c r="VKX121" s="4"/>
      <c r="VKY121" s="2"/>
      <c r="VKZ121" s="3"/>
      <c r="VLA121" s="2"/>
      <c r="VLB121" s="2"/>
      <c r="VLC121" s="5"/>
      <c r="VLD121" s="2"/>
      <c r="VLE121" s="4"/>
      <c r="VLF121" s="2"/>
      <c r="VLG121" s="3"/>
      <c r="VLH121" s="2"/>
      <c r="VLI121" s="2"/>
      <c r="VLJ121" s="5"/>
      <c r="VLK121" s="2"/>
      <c r="VLL121" s="4"/>
      <c r="VLM121" s="2"/>
      <c r="VLN121" s="3"/>
      <c r="VLO121" s="2"/>
      <c r="VLP121" s="2"/>
      <c r="VLQ121" s="5"/>
      <c r="VLR121" s="2"/>
      <c r="VLS121" s="4"/>
      <c r="VLT121" s="2"/>
      <c r="VLU121" s="3"/>
      <c r="VLV121" s="2"/>
      <c r="VLW121" s="2"/>
      <c r="VLX121" s="5"/>
      <c r="VLY121" s="2"/>
      <c r="VLZ121" s="4"/>
      <c r="VMA121" s="2"/>
      <c r="VMB121" s="3"/>
      <c r="VMC121" s="2"/>
      <c r="VMD121" s="2"/>
      <c r="VME121" s="5"/>
      <c r="VMF121" s="2"/>
      <c r="VMG121" s="4"/>
      <c r="VMH121" s="2"/>
      <c r="VMI121" s="3"/>
      <c r="VMJ121" s="2"/>
      <c r="VMK121" s="2"/>
      <c r="VML121" s="5"/>
      <c r="VMM121" s="2"/>
      <c r="VMN121" s="4"/>
      <c r="VMO121" s="2"/>
      <c r="VMP121" s="3"/>
      <c r="VMQ121" s="2"/>
      <c r="VMR121" s="2"/>
      <c r="VMS121" s="5"/>
      <c r="VMT121" s="2"/>
      <c r="VMU121" s="4"/>
      <c r="VMV121" s="2"/>
      <c r="VMW121" s="3"/>
      <c r="VMX121" s="2"/>
      <c r="VMY121" s="2"/>
      <c r="VMZ121" s="5"/>
      <c r="VNA121" s="2"/>
      <c r="VNB121" s="4"/>
      <c r="VNC121" s="2"/>
      <c r="VND121" s="3"/>
      <c r="VNE121" s="2"/>
      <c r="VNF121" s="2"/>
      <c r="VNG121" s="5"/>
      <c r="VNH121" s="2"/>
      <c r="VNI121" s="4"/>
      <c r="VNJ121" s="2"/>
      <c r="VNK121" s="3"/>
      <c r="VNL121" s="2"/>
      <c r="VNM121" s="2"/>
      <c r="VNN121" s="5"/>
      <c r="VNO121" s="2"/>
      <c r="VNP121" s="4"/>
      <c r="VNQ121" s="2"/>
      <c r="VNR121" s="3"/>
      <c r="VNS121" s="2"/>
      <c r="VNT121" s="2"/>
      <c r="VNU121" s="5"/>
      <c r="VNV121" s="2"/>
      <c r="VNW121" s="4"/>
      <c r="VNX121" s="2"/>
      <c r="VNY121" s="3"/>
      <c r="VNZ121" s="2"/>
      <c r="VOA121" s="2"/>
      <c r="VOB121" s="5"/>
      <c r="VOC121" s="2"/>
      <c r="VOD121" s="4"/>
      <c r="VOE121" s="2"/>
      <c r="VOF121" s="3"/>
      <c r="VOG121" s="2"/>
      <c r="VOH121" s="2"/>
      <c r="VOI121" s="5"/>
      <c r="VOJ121" s="2"/>
      <c r="VOK121" s="4"/>
      <c r="VOL121" s="2"/>
      <c r="VOM121" s="3"/>
      <c r="VON121" s="2"/>
      <c r="VOO121" s="2"/>
      <c r="VOP121" s="5"/>
      <c r="VOQ121" s="2"/>
      <c r="VOR121" s="4"/>
      <c r="VOS121" s="2"/>
      <c r="VOT121" s="3"/>
      <c r="VOU121" s="2"/>
      <c r="VOV121" s="2"/>
      <c r="VOW121" s="5"/>
      <c r="VOX121" s="2"/>
      <c r="VOY121" s="4"/>
      <c r="VOZ121" s="2"/>
      <c r="VPA121" s="3"/>
      <c r="VPB121" s="2"/>
      <c r="VPC121" s="2"/>
      <c r="VPD121" s="5"/>
      <c r="VPE121" s="2"/>
      <c r="VPF121" s="4"/>
      <c r="VPG121" s="2"/>
      <c r="VPH121" s="3"/>
      <c r="VPI121" s="2"/>
      <c r="VPJ121" s="2"/>
      <c r="VPK121" s="5"/>
      <c r="VPL121" s="2"/>
      <c r="VPM121" s="4"/>
      <c r="VPN121" s="2"/>
      <c r="VPO121" s="3"/>
      <c r="VPP121" s="2"/>
      <c r="VPQ121" s="2"/>
      <c r="VPR121" s="5"/>
      <c r="VPS121" s="2"/>
      <c r="VPT121" s="4"/>
      <c r="VPU121" s="2"/>
      <c r="VPV121" s="3"/>
      <c r="VPW121" s="2"/>
      <c r="VPX121" s="2"/>
      <c r="VPY121" s="5"/>
      <c r="VPZ121" s="2"/>
      <c r="VQA121" s="4"/>
      <c r="VQB121" s="2"/>
      <c r="VQC121" s="3"/>
      <c r="VQD121" s="2"/>
      <c r="VQE121" s="2"/>
      <c r="VQF121" s="5"/>
      <c r="VQG121" s="2"/>
      <c r="VQH121" s="4"/>
      <c r="VQI121" s="2"/>
      <c r="VQJ121" s="3"/>
      <c r="VQK121" s="2"/>
      <c r="VQL121" s="2"/>
      <c r="VQM121" s="5"/>
      <c r="VQN121" s="2"/>
      <c r="VQO121" s="4"/>
      <c r="VQP121" s="2"/>
      <c r="VQQ121" s="3"/>
      <c r="VQR121" s="2"/>
      <c r="VQS121" s="2"/>
      <c r="VQT121" s="5"/>
      <c r="VQU121" s="2"/>
      <c r="VQV121" s="4"/>
      <c r="VQW121" s="2"/>
      <c r="VQX121" s="3"/>
      <c r="VQY121" s="2"/>
      <c r="VQZ121" s="2"/>
      <c r="VRA121" s="5"/>
      <c r="VRB121" s="2"/>
      <c r="VRC121" s="4"/>
      <c r="VRD121" s="2"/>
      <c r="VRE121" s="3"/>
      <c r="VRF121" s="2"/>
      <c r="VRG121" s="2"/>
      <c r="VRH121" s="5"/>
      <c r="VRI121" s="2"/>
      <c r="VRJ121" s="4"/>
      <c r="VRK121" s="2"/>
      <c r="VRL121" s="3"/>
      <c r="VRM121" s="2"/>
      <c r="VRN121" s="2"/>
      <c r="VRO121" s="5"/>
      <c r="VRP121" s="2"/>
      <c r="VRQ121" s="4"/>
      <c r="VRR121" s="2"/>
      <c r="VRS121" s="3"/>
      <c r="VRT121" s="2"/>
      <c r="VRU121" s="2"/>
      <c r="VRV121" s="5"/>
      <c r="VRW121" s="2"/>
      <c r="VRX121" s="4"/>
      <c r="VRY121" s="2"/>
      <c r="VRZ121" s="3"/>
      <c r="VSA121" s="2"/>
      <c r="VSB121" s="2"/>
      <c r="VSC121" s="5"/>
      <c r="VSD121" s="2"/>
      <c r="VSE121" s="4"/>
      <c r="VSF121" s="2"/>
      <c r="VSG121" s="3"/>
      <c r="VSH121" s="2"/>
      <c r="VSI121" s="2"/>
      <c r="VSJ121" s="5"/>
      <c r="VSK121" s="2"/>
      <c r="VSL121" s="4"/>
      <c r="VSM121" s="2"/>
      <c r="VSN121" s="3"/>
      <c r="VSO121" s="2"/>
      <c r="VSP121" s="2"/>
      <c r="VSQ121" s="5"/>
      <c r="VSR121" s="2"/>
      <c r="VSS121" s="4"/>
      <c r="VST121" s="2"/>
      <c r="VSU121" s="3"/>
      <c r="VSV121" s="2"/>
      <c r="VSW121" s="2"/>
      <c r="VSX121" s="5"/>
      <c r="VSY121" s="2"/>
      <c r="VSZ121" s="4"/>
      <c r="VTA121" s="2"/>
      <c r="VTB121" s="3"/>
      <c r="VTC121" s="2"/>
      <c r="VTD121" s="2"/>
      <c r="VTE121" s="5"/>
      <c r="VTF121" s="2"/>
      <c r="VTG121" s="4"/>
      <c r="VTH121" s="2"/>
      <c r="VTI121" s="3"/>
      <c r="VTJ121" s="2"/>
      <c r="VTK121" s="2"/>
      <c r="VTL121" s="5"/>
      <c r="VTM121" s="2"/>
      <c r="VTN121" s="4"/>
      <c r="VTO121" s="2"/>
      <c r="VTP121" s="3"/>
      <c r="VTQ121" s="2"/>
      <c r="VTR121" s="2"/>
      <c r="VTS121" s="5"/>
      <c r="VTT121" s="2"/>
      <c r="VTU121" s="4"/>
      <c r="VTV121" s="2"/>
      <c r="VTW121" s="3"/>
      <c r="VTX121" s="2"/>
      <c r="VTY121" s="2"/>
      <c r="VTZ121" s="5"/>
      <c r="VUA121" s="2"/>
      <c r="VUB121" s="4"/>
      <c r="VUC121" s="2"/>
      <c r="VUD121" s="3"/>
      <c r="VUE121" s="2"/>
      <c r="VUF121" s="2"/>
      <c r="VUG121" s="5"/>
      <c r="VUH121" s="2"/>
      <c r="VUI121" s="4"/>
      <c r="VUJ121" s="2"/>
      <c r="VUK121" s="3"/>
      <c r="VUL121" s="2"/>
      <c r="VUM121" s="2"/>
      <c r="VUN121" s="5"/>
      <c r="VUO121" s="2"/>
      <c r="VUP121" s="4"/>
      <c r="VUQ121" s="2"/>
      <c r="VUR121" s="3"/>
      <c r="VUS121" s="2"/>
      <c r="VUT121" s="2"/>
      <c r="VUU121" s="5"/>
      <c r="VUV121" s="2"/>
      <c r="VUW121" s="4"/>
      <c r="VUX121" s="2"/>
      <c r="VUY121" s="3"/>
      <c r="VUZ121" s="2"/>
      <c r="VVA121" s="2"/>
      <c r="VVB121" s="5"/>
      <c r="VVC121" s="2"/>
      <c r="VVD121" s="4"/>
      <c r="VVE121" s="2"/>
      <c r="VVF121" s="3"/>
      <c r="VVG121" s="2"/>
      <c r="VVH121" s="2"/>
      <c r="VVI121" s="5"/>
      <c r="VVJ121" s="2"/>
      <c r="VVK121" s="4"/>
      <c r="VVL121" s="2"/>
      <c r="VVM121" s="3"/>
      <c r="VVN121" s="2"/>
      <c r="VVO121" s="2"/>
      <c r="VVP121" s="5"/>
      <c r="VVQ121" s="2"/>
      <c r="VVR121" s="4"/>
      <c r="VVS121" s="2"/>
      <c r="VVT121" s="3"/>
      <c r="VVU121" s="2"/>
      <c r="VVV121" s="2"/>
      <c r="VVW121" s="5"/>
      <c r="VVX121" s="2"/>
      <c r="VVY121" s="4"/>
      <c r="VVZ121" s="2"/>
      <c r="VWA121" s="3"/>
      <c r="VWB121" s="2"/>
      <c r="VWC121" s="2"/>
      <c r="VWD121" s="5"/>
      <c r="VWE121" s="2"/>
      <c r="VWF121" s="4"/>
      <c r="VWG121" s="2"/>
      <c r="VWH121" s="3"/>
      <c r="VWI121" s="2"/>
      <c r="VWJ121" s="2"/>
      <c r="VWK121" s="5"/>
      <c r="VWL121" s="2"/>
      <c r="VWM121" s="4"/>
      <c r="VWN121" s="2"/>
      <c r="VWO121" s="3"/>
      <c r="VWP121" s="2"/>
      <c r="VWQ121" s="2"/>
      <c r="VWR121" s="5"/>
      <c r="VWS121" s="2"/>
      <c r="VWT121" s="4"/>
      <c r="VWU121" s="2"/>
      <c r="VWV121" s="3"/>
      <c r="VWW121" s="2"/>
      <c r="VWX121" s="2"/>
      <c r="VWY121" s="5"/>
      <c r="VWZ121" s="2"/>
      <c r="VXA121" s="4"/>
      <c r="VXB121" s="2"/>
      <c r="VXC121" s="3"/>
      <c r="VXD121" s="2"/>
      <c r="VXE121" s="2"/>
      <c r="VXF121" s="5"/>
      <c r="VXG121" s="2"/>
      <c r="VXH121" s="4"/>
      <c r="VXI121" s="2"/>
      <c r="VXJ121" s="3"/>
      <c r="VXK121" s="2"/>
      <c r="VXL121" s="2"/>
      <c r="VXM121" s="5"/>
      <c r="VXN121" s="2"/>
      <c r="VXO121" s="4"/>
      <c r="VXP121" s="2"/>
      <c r="VXQ121" s="3"/>
      <c r="VXR121" s="2"/>
      <c r="VXS121" s="2"/>
      <c r="VXT121" s="5"/>
      <c r="VXU121" s="2"/>
      <c r="VXV121" s="4"/>
      <c r="VXW121" s="2"/>
      <c r="VXX121" s="3"/>
      <c r="VXY121" s="2"/>
      <c r="VXZ121" s="2"/>
      <c r="VYA121" s="5"/>
      <c r="VYB121" s="2"/>
      <c r="VYC121" s="4"/>
      <c r="VYD121" s="2"/>
      <c r="VYE121" s="3"/>
      <c r="VYF121" s="2"/>
      <c r="VYG121" s="2"/>
      <c r="VYH121" s="5"/>
      <c r="VYI121" s="2"/>
      <c r="VYJ121" s="4"/>
      <c r="VYK121" s="2"/>
      <c r="VYL121" s="3"/>
      <c r="VYM121" s="2"/>
      <c r="VYN121" s="2"/>
      <c r="VYO121" s="5"/>
      <c r="VYP121" s="2"/>
      <c r="VYQ121" s="4"/>
      <c r="VYR121" s="2"/>
      <c r="VYS121" s="3"/>
      <c r="VYT121" s="2"/>
      <c r="VYU121" s="2"/>
      <c r="VYV121" s="5"/>
      <c r="VYW121" s="2"/>
      <c r="VYX121" s="4"/>
      <c r="VYY121" s="2"/>
      <c r="VYZ121" s="3"/>
      <c r="VZA121" s="2"/>
      <c r="VZB121" s="2"/>
      <c r="VZC121" s="5"/>
      <c r="VZD121" s="2"/>
      <c r="VZE121" s="4"/>
      <c r="VZF121" s="2"/>
      <c r="VZG121" s="3"/>
      <c r="VZH121" s="2"/>
      <c r="VZI121" s="2"/>
      <c r="VZJ121" s="5"/>
      <c r="VZK121" s="2"/>
      <c r="VZL121" s="4"/>
      <c r="VZM121" s="2"/>
      <c r="VZN121" s="3"/>
      <c r="VZO121" s="2"/>
      <c r="VZP121" s="2"/>
      <c r="VZQ121" s="5"/>
      <c r="VZR121" s="2"/>
      <c r="VZS121" s="4"/>
      <c r="VZT121" s="2"/>
      <c r="VZU121" s="3"/>
      <c r="VZV121" s="2"/>
      <c r="VZW121" s="2"/>
      <c r="VZX121" s="5"/>
      <c r="VZY121" s="2"/>
      <c r="VZZ121" s="4"/>
      <c r="WAA121" s="2"/>
      <c r="WAB121" s="3"/>
      <c r="WAC121" s="2"/>
      <c r="WAD121" s="2"/>
      <c r="WAE121" s="5"/>
      <c r="WAF121" s="2"/>
      <c r="WAG121" s="4"/>
      <c r="WAH121" s="2"/>
      <c r="WAI121" s="3"/>
      <c r="WAJ121" s="2"/>
      <c r="WAK121" s="2"/>
      <c r="WAL121" s="5"/>
      <c r="WAM121" s="2"/>
      <c r="WAN121" s="4"/>
      <c r="WAO121" s="2"/>
      <c r="WAP121" s="3"/>
      <c r="WAQ121" s="2"/>
      <c r="WAR121" s="2"/>
      <c r="WAS121" s="5"/>
      <c r="WAT121" s="2"/>
      <c r="WAU121" s="4"/>
      <c r="WAV121" s="2"/>
      <c r="WAW121" s="3"/>
      <c r="WAX121" s="2"/>
      <c r="WAY121" s="2"/>
      <c r="WAZ121" s="5"/>
      <c r="WBA121" s="2"/>
      <c r="WBB121" s="4"/>
      <c r="WBC121" s="2"/>
      <c r="WBD121" s="3"/>
      <c r="WBE121" s="2"/>
      <c r="WBF121" s="2"/>
      <c r="WBG121" s="5"/>
      <c r="WBH121" s="2"/>
      <c r="WBI121" s="4"/>
      <c r="WBJ121" s="2"/>
      <c r="WBK121" s="3"/>
      <c r="WBL121" s="2"/>
      <c r="WBM121" s="2"/>
      <c r="WBN121" s="5"/>
      <c r="WBO121" s="2"/>
      <c r="WBP121" s="4"/>
      <c r="WBQ121" s="2"/>
      <c r="WBR121" s="3"/>
      <c r="WBS121" s="2"/>
      <c r="WBT121" s="2"/>
      <c r="WBU121" s="5"/>
      <c r="WBV121" s="2"/>
      <c r="WBW121" s="4"/>
      <c r="WBX121" s="2"/>
      <c r="WBY121" s="3"/>
      <c r="WBZ121" s="2"/>
      <c r="WCA121" s="2"/>
      <c r="WCB121" s="5"/>
      <c r="WCC121" s="2"/>
      <c r="WCD121" s="4"/>
      <c r="WCE121" s="2"/>
      <c r="WCF121" s="3"/>
      <c r="WCG121" s="2"/>
      <c r="WCH121" s="2"/>
      <c r="WCI121" s="5"/>
      <c r="WCJ121" s="2"/>
      <c r="WCK121" s="4"/>
      <c r="WCL121" s="2"/>
      <c r="WCM121" s="3"/>
      <c r="WCN121" s="2"/>
      <c r="WCO121" s="2"/>
      <c r="WCP121" s="5"/>
      <c r="WCQ121" s="2"/>
      <c r="WCR121" s="4"/>
      <c r="WCS121" s="2"/>
      <c r="WCT121" s="3"/>
      <c r="WCU121" s="2"/>
      <c r="WCV121" s="2"/>
      <c r="WCW121" s="5"/>
      <c r="WCX121" s="2"/>
      <c r="WCY121" s="4"/>
      <c r="WCZ121" s="2"/>
      <c r="WDA121" s="3"/>
      <c r="WDB121" s="2"/>
      <c r="WDC121" s="2"/>
      <c r="WDD121" s="5"/>
      <c r="WDE121" s="2"/>
      <c r="WDF121" s="4"/>
      <c r="WDG121" s="2"/>
      <c r="WDH121" s="3"/>
      <c r="WDI121" s="2"/>
      <c r="WDJ121" s="2"/>
      <c r="WDK121" s="5"/>
      <c r="WDL121" s="2"/>
      <c r="WDM121" s="4"/>
      <c r="WDN121" s="2"/>
      <c r="WDO121" s="3"/>
      <c r="WDP121" s="2"/>
      <c r="WDQ121" s="2"/>
      <c r="WDR121" s="5"/>
      <c r="WDS121" s="2"/>
      <c r="WDT121" s="4"/>
      <c r="WDU121" s="2"/>
      <c r="WDV121" s="3"/>
      <c r="WDW121" s="2"/>
      <c r="WDX121" s="2"/>
      <c r="WDY121" s="5"/>
      <c r="WDZ121" s="2"/>
      <c r="WEA121" s="4"/>
      <c r="WEB121" s="2"/>
      <c r="WEC121" s="3"/>
      <c r="WED121" s="2"/>
      <c r="WEE121" s="2"/>
      <c r="WEF121" s="5"/>
      <c r="WEG121" s="2"/>
      <c r="WEH121" s="4"/>
      <c r="WEI121" s="2"/>
      <c r="WEJ121" s="3"/>
      <c r="WEK121" s="2"/>
      <c r="WEL121" s="2"/>
      <c r="WEM121" s="5"/>
      <c r="WEN121" s="2"/>
      <c r="WEO121" s="4"/>
      <c r="WEP121" s="2"/>
      <c r="WEQ121" s="3"/>
      <c r="WER121" s="2"/>
      <c r="WES121" s="2"/>
      <c r="WET121" s="5"/>
      <c r="WEU121" s="2"/>
      <c r="WEV121" s="4"/>
      <c r="WEW121" s="2"/>
      <c r="WEX121" s="3"/>
      <c r="WEY121" s="2"/>
      <c r="WEZ121" s="2"/>
      <c r="WFA121" s="5"/>
      <c r="WFB121" s="2"/>
      <c r="WFC121" s="4"/>
      <c r="WFD121" s="2"/>
      <c r="WFE121" s="3"/>
      <c r="WFF121" s="2"/>
      <c r="WFG121" s="2"/>
      <c r="WFH121" s="5"/>
      <c r="WFI121" s="2"/>
      <c r="WFJ121" s="4"/>
      <c r="WFK121" s="2"/>
      <c r="WFL121" s="3"/>
      <c r="WFM121" s="2"/>
      <c r="WFN121" s="2"/>
      <c r="WFO121" s="5"/>
      <c r="WFP121" s="2"/>
      <c r="WFQ121" s="4"/>
      <c r="WFR121" s="2"/>
      <c r="WFS121" s="3"/>
      <c r="WFT121" s="2"/>
      <c r="WFU121" s="2"/>
      <c r="WFV121" s="5"/>
      <c r="WFW121" s="2"/>
      <c r="WFX121" s="4"/>
      <c r="WFY121" s="2"/>
      <c r="WFZ121" s="3"/>
      <c r="WGA121" s="2"/>
      <c r="WGB121" s="2"/>
      <c r="WGC121" s="5"/>
      <c r="WGD121" s="2"/>
      <c r="WGE121" s="4"/>
      <c r="WGF121" s="2"/>
      <c r="WGG121" s="3"/>
      <c r="WGH121" s="2"/>
      <c r="WGI121" s="2"/>
      <c r="WGJ121" s="5"/>
      <c r="WGK121" s="2"/>
      <c r="WGL121" s="4"/>
      <c r="WGM121" s="2"/>
      <c r="WGN121" s="3"/>
      <c r="WGO121" s="2"/>
      <c r="WGP121" s="2"/>
      <c r="WGQ121" s="5"/>
      <c r="WGR121" s="2"/>
      <c r="WGS121" s="4"/>
      <c r="WGT121" s="2"/>
      <c r="WGU121" s="3"/>
      <c r="WGV121" s="2"/>
      <c r="WGW121" s="2"/>
      <c r="WGX121" s="5"/>
      <c r="WGY121" s="2"/>
      <c r="WGZ121" s="4"/>
      <c r="WHA121" s="2"/>
      <c r="WHB121" s="3"/>
      <c r="WHC121" s="2"/>
      <c r="WHD121" s="2"/>
      <c r="WHE121" s="5"/>
      <c r="WHF121" s="2"/>
      <c r="WHG121" s="4"/>
      <c r="WHH121" s="2"/>
      <c r="WHI121" s="3"/>
      <c r="WHJ121" s="2"/>
      <c r="WHK121" s="2"/>
      <c r="WHL121" s="5"/>
      <c r="WHM121" s="2"/>
      <c r="WHN121" s="4"/>
      <c r="WHO121" s="2"/>
      <c r="WHP121" s="3"/>
      <c r="WHQ121" s="2"/>
      <c r="WHR121" s="2"/>
      <c r="WHS121" s="5"/>
      <c r="WHT121" s="2"/>
      <c r="WHU121" s="4"/>
      <c r="WHV121" s="2"/>
      <c r="WHW121" s="3"/>
      <c r="WHX121" s="2"/>
      <c r="WHY121" s="2"/>
      <c r="WHZ121" s="5"/>
      <c r="WIA121" s="2"/>
      <c r="WIB121" s="4"/>
      <c r="WIC121" s="2"/>
      <c r="WID121" s="3"/>
      <c r="WIE121" s="2"/>
      <c r="WIF121" s="2"/>
      <c r="WIG121" s="5"/>
      <c r="WIH121" s="2"/>
      <c r="WII121" s="4"/>
      <c r="WIJ121" s="2"/>
      <c r="WIK121" s="3"/>
      <c r="WIL121" s="2"/>
      <c r="WIM121" s="2"/>
      <c r="WIN121" s="5"/>
      <c r="WIO121" s="2"/>
      <c r="WIP121" s="4"/>
      <c r="WIQ121" s="2"/>
      <c r="WIR121" s="3"/>
      <c r="WIS121" s="2"/>
      <c r="WIT121" s="2"/>
      <c r="WIU121" s="5"/>
      <c r="WIV121" s="2"/>
      <c r="WIW121" s="4"/>
      <c r="WIX121" s="2"/>
      <c r="WIY121" s="3"/>
      <c r="WIZ121" s="2"/>
      <c r="WJA121" s="2"/>
      <c r="WJB121" s="5"/>
      <c r="WJC121" s="2"/>
      <c r="WJD121" s="4"/>
      <c r="WJE121" s="2"/>
      <c r="WJF121" s="3"/>
      <c r="WJG121" s="2"/>
      <c r="WJH121" s="2"/>
      <c r="WJI121" s="5"/>
      <c r="WJJ121" s="2"/>
      <c r="WJK121" s="4"/>
      <c r="WJL121" s="2"/>
      <c r="WJM121" s="3"/>
      <c r="WJN121" s="2"/>
      <c r="WJO121" s="2"/>
      <c r="WJP121" s="5"/>
      <c r="WJQ121" s="2"/>
      <c r="WJR121" s="4"/>
      <c r="WJS121" s="2"/>
      <c r="WJT121" s="3"/>
      <c r="WJU121" s="2"/>
      <c r="WJV121" s="2"/>
      <c r="WJW121" s="5"/>
      <c r="WJX121" s="2"/>
      <c r="WJY121" s="4"/>
      <c r="WJZ121" s="2"/>
      <c r="WKA121" s="3"/>
      <c r="WKB121" s="2"/>
      <c r="WKC121" s="2"/>
      <c r="WKD121" s="5"/>
      <c r="WKE121" s="2"/>
      <c r="WKF121" s="4"/>
      <c r="WKG121" s="2"/>
      <c r="WKH121" s="3"/>
      <c r="WKI121" s="2"/>
      <c r="WKJ121" s="2"/>
      <c r="WKK121" s="5"/>
      <c r="WKL121" s="2"/>
      <c r="WKM121" s="4"/>
      <c r="WKN121" s="2"/>
      <c r="WKO121" s="3"/>
      <c r="WKP121" s="2"/>
      <c r="WKQ121" s="2"/>
      <c r="WKR121" s="5"/>
      <c r="WKS121" s="2"/>
      <c r="WKT121" s="4"/>
      <c r="WKU121" s="2"/>
      <c r="WKV121" s="3"/>
      <c r="WKW121" s="2"/>
      <c r="WKX121" s="2"/>
      <c r="WKY121" s="5"/>
      <c r="WKZ121" s="2"/>
      <c r="WLA121" s="4"/>
      <c r="WLB121" s="2"/>
      <c r="WLC121" s="3"/>
      <c r="WLD121" s="2"/>
      <c r="WLE121" s="2"/>
      <c r="WLF121" s="5"/>
      <c r="WLG121" s="2"/>
      <c r="WLH121" s="4"/>
      <c r="WLI121" s="2"/>
      <c r="WLJ121" s="3"/>
      <c r="WLK121" s="2"/>
      <c r="WLL121" s="2"/>
      <c r="WLM121" s="5"/>
      <c r="WLN121" s="2"/>
      <c r="WLO121" s="4"/>
      <c r="WLP121" s="2"/>
      <c r="WLQ121" s="3"/>
      <c r="WLR121" s="2"/>
      <c r="WLS121" s="2"/>
      <c r="WLT121" s="5"/>
      <c r="WLU121" s="2"/>
      <c r="WLV121" s="4"/>
      <c r="WLW121" s="2"/>
      <c r="WLX121" s="3"/>
      <c r="WLY121" s="2"/>
      <c r="WLZ121" s="2"/>
      <c r="WMA121" s="5"/>
      <c r="WMB121" s="2"/>
      <c r="WMC121" s="4"/>
      <c r="WMD121" s="2"/>
      <c r="WME121" s="3"/>
      <c r="WMF121" s="2"/>
      <c r="WMG121" s="2"/>
      <c r="WMH121" s="5"/>
      <c r="WMI121" s="2"/>
      <c r="WMJ121" s="4"/>
      <c r="WMK121" s="2"/>
      <c r="WML121" s="3"/>
      <c r="WMM121" s="2"/>
      <c r="WMN121" s="2"/>
      <c r="WMO121" s="5"/>
      <c r="WMP121" s="2"/>
      <c r="WMQ121" s="4"/>
      <c r="WMR121" s="2"/>
      <c r="WMS121" s="3"/>
      <c r="WMT121" s="2"/>
      <c r="WMU121" s="2"/>
      <c r="WMV121" s="5"/>
      <c r="WMW121" s="2"/>
      <c r="WMX121" s="4"/>
      <c r="WMY121" s="2"/>
      <c r="WMZ121" s="3"/>
      <c r="WNA121" s="2"/>
      <c r="WNB121" s="2"/>
      <c r="WNC121" s="5"/>
      <c r="WND121" s="2"/>
      <c r="WNE121" s="4"/>
      <c r="WNF121" s="2"/>
      <c r="WNG121" s="3"/>
      <c r="WNH121" s="2"/>
      <c r="WNI121" s="2"/>
      <c r="WNJ121" s="5"/>
      <c r="WNK121" s="2"/>
      <c r="WNL121" s="4"/>
      <c r="WNM121" s="2"/>
      <c r="WNN121" s="3"/>
      <c r="WNO121" s="2"/>
      <c r="WNP121" s="2"/>
      <c r="WNQ121" s="5"/>
      <c r="WNR121" s="2"/>
      <c r="WNS121" s="4"/>
      <c r="WNT121" s="2"/>
      <c r="WNU121" s="3"/>
      <c r="WNV121" s="2"/>
      <c r="WNW121" s="2"/>
      <c r="WNX121" s="5"/>
      <c r="WNY121" s="2"/>
      <c r="WNZ121" s="4"/>
      <c r="WOA121" s="2"/>
      <c r="WOB121" s="3"/>
      <c r="WOC121" s="2"/>
      <c r="WOD121" s="2"/>
      <c r="WOE121" s="5"/>
      <c r="WOF121" s="2"/>
      <c r="WOG121" s="4"/>
      <c r="WOH121" s="2"/>
      <c r="WOI121" s="3"/>
      <c r="WOJ121" s="2"/>
      <c r="WOK121" s="2"/>
      <c r="WOL121" s="5"/>
      <c r="WOM121" s="2"/>
      <c r="WON121" s="4"/>
      <c r="WOO121" s="2"/>
      <c r="WOP121" s="3"/>
      <c r="WOQ121" s="2"/>
      <c r="WOR121" s="2"/>
      <c r="WOS121" s="5"/>
      <c r="WOT121" s="2"/>
      <c r="WOU121" s="4"/>
      <c r="WOV121" s="2"/>
      <c r="WOW121" s="3"/>
      <c r="WOX121" s="2"/>
      <c r="WOY121" s="2"/>
      <c r="WOZ121" s="5"/>
      <c r="WPA121" s="2"/>
      <c r="WPB121" s="4"/>
      <c r="WPC121" s="2"/>
      <c r="WPD121" s="3"/>
      <c r="WPE121" s="2"/>
      <c r="WPF121" s="2"/>
      <c r="WPG121" s="5"/>
      <c r="WPH121" s="2"/>
      <c r="WPI121" s="4"/>
      <c r="WPJ121" s="2"/>
      <c r="WPK121" s="3"/>
      <c r="WPL121" s="2"/>
      <c r="WPM121" s="2"/>
      <c r="WPN121" s="5"/>
      <c r="WPO121" s="2"/>
      <c r="WPP121" s="4"/>
      <c r="WPQ121" s="2"/>
      <c r="WPR121" s="3"/>
      <c r="WPS121" s="2"/>
      <c r="WPT121" s="2"/>
      <c r="WPU121" s="5"/>
      <c r="WPV121" s="2"/>
      <c r="WPW121" s="4"/>
      <c r="WPX121" s="2"/>
      <c r="WPY121" s="3"/>
      <c r="WPZ121" s="2"/>
      <c r="WQA121" s="2"/>
      <c r="WQB121" s="5"/>
      <c r="WQC121" s="2"/>
      <c r="WQD121" s="4"/>
      <c r="WQE121" s="2"/>
      <c r="WQF121" s="3"/>
      <c r="WQG121" s="2"/>
      <c r="WQH121" s="2"/>
      <c r="WQI121" s="5"/>
      <c r="WQJ121" s="2"/>
      <c r="WQK121" s="4"/>
      <c r="WQL121" s="2"/>
      <c r="WQM121" s="3"/>
      <c r="WQN121" s="2"/>
      <c r="WQO121" s="2"/>
      <c r="WQP121" s="5"/>
      <c r="WQQ121" s="2"/>
      <c r="WQR121" s="4"/>
      <c r="WQS121" s="2"/>
      <c r="WQT121" s="3"/>
      <c r="WQU121" s="2"/>
      <c r="WQV121" s="2"/>
      <c r="WQW121" s="5"/>
      <c r="WQX121" s="2"/>
      <c r="WQY121" s="4"/>
      <c r="WQZ121" s="2"/>
      <c r="WRA121" s="3"/>
      <c r="WRB121" s="2"/>
      <c r="WRC121" s="2"/>
      <c r="WRD121" s="5"/>
      <c r="WRE121" s="2"/>
      <c r="WRF121" s="4"/>
      <c r="WRG121" s="2"/>
      <c r="WRH121" s="3"/>
      <c r="WRI121" s="2"/>
      <c r="WRJ121" s="2"/>
      <c r="WRK121" s="5"/>
      <c r="WRL121" s="2"/>
      <c r="WRM121" s="4"/>
      <c r="WRN121" s="2"/>
      <c r="WRO121" s="3"/>
      <c r="WRP121" s="2"/>
      <c r="WRQ121" s="2"/>
      <c r="WRR121" s="5"/>
      <c r="WRS121" s="2"/>
      <c r="WRT121" s="4"/>
      <c r="WRU121" s="2"/>
      <c r="WRV121" s="3"/>
      <c r="WRW121" s="2"/>
      <c r="WRX121" s="2"/>
      <c r="WRY121" s="5"/>
      <c r="WRZ121" s="2"/>
      <c r="WSA121" s="4"/>
      <c r="WSB121" s="2"/>
      <c r="WSC121" s="3"/>
      <c r="WSD121" s="2"/>
      <c r="WSE121" s="2"/>
      <c r="WSF121" s="5"/>
      <c r="WSG121" s="2"/>
      <c r="WSH121" s="4"/>
      <c r="WSI121" s="2"/>
      <c r="WSJ121" s="3"/>
      <c r="WSK121" s="2"/>
      <c r="WSL121" s="2"/>
      <c r="WSM121" s="5"/>
      <c r="WSN121" s="2"/>
      <c r="WSO121" s="4"/>
      <c r="WSP121" s="2"/>
      <c r="WSQ121" s="3"/>
      <c r="WSR121" s="2"/>
      <c r="WSS121" s="2"/>
      <c r="WST121" s="5"/>
      <c r="WSU121" s="2"/>
      <c r="WSV121" s="4"/>
      <c r="WSW121" s="2"/>
      <c r="WSX121" s="3"/>
      <c r="WSY121" s="2"/>
      <c r="WSZ121" s="2"/>
      <c r="WTA121" s="5"/>
      <c r="WTB121" s="2"/>
      <c r="WTC121" s="4"/>
      <c r="WTD121" s="2"/>
      <c r="WTE121" s="3"/>
      <c r="WTF121" s="2"/>
      <c r="WTG121" s="2"/>
      <c r="WTH121" s="5"/>
      <c r="WTI121" s="2"/>
      <c r="WTJ121" s="4"/>
      <c r="WTK121" s="2"/>
      <c r="WTL121" s="3"/>
      <c r="WTM121" s="2"/>
      <c r="WTN121" s="2"/>
      <c r="WTO121" s="5"/>
      <c r="WTP121" s="2"/>
      <c r="WTQ121" s="4"/>
      <c r="WTR121" s="2"/>
      <c r="WTS121" s="3"/>
      <c r="WTT121" s="2"/>
      <c r="WTU121" s="2"/>
      <c r="WTV121" s="5"/>
      <c r="WTW121" s="2"/>
      <c r="WTX121" s="4"/>
      <c r="WTY121" s="2"/>
      <c r="WTZ121" s="3"/>
      <c r="WUA121" s="2"/>
      <c r="WUB121" s="2"/>
      <c r="WUC121" s="5"/>
      <c r="WUD121" s="2"/>
      <c r="WUE121" s="4"/>
      <c r="WUF121" s="2"/>
      <c r="WUG121" s="3"/>
      <c r="WUH121" s="2"/>
      <c r="WUI121" s="2"/>
      <c r="WUJ121" s="5"/>
      <c r="WUK121" s="2"/>
      <c r="WUL121" s="4"/>
      <c r="WUM121" s="2"/>
      <c r="WUN121" s="3"/>
      <c r="WUO121" s="2"/>
      <c r="WUP121" s="2"/>
      <c r="WUQ121" s="5"/>
      <c r="WUR121" s="2"/>
      <c r="WUS121" s="4"/>
      <c r="WUT121" s="2"/>
      <c r="WUU121" s="3"/>
      <c r="WUV121" s="2"/>
      <c r="WUW121" s="2"/>
      <c r="WUX121" s="5"/>
      <c r="WUY121" s="2"/>
      <c r="WUZ121" s="4"/>
      <c r="WVA121" s="2"/>
      <c r="WVB121" s="3"/>
      <c r="WVC121" s="2"/>
      <c r="WVD121" s="2"/>
      <c r="WVE121" s="5"/>
      <c r="WVF121" s="2"/>
      <c r="WVG121" s="4"/>
      <c r="WVH121" s="2"/>
      <c r="WVI121" s="3"/>
      <c r="WVJ121" s="2"/>
      <c r="WVK121" s="2"/>
      <c r="WVL121" s="5"/>
      <c r="WVM121" s="2"/>
      <c r="WVN121" s="4"/>
      <c r="WVO121" s="2"/>
      <c r="WVP121" s="3"/>
      <c r="WVQ121" s="2"/>
      <c r="WVR121" s="2"/>
      <c r="WVS121" s="5"/>
      <c r="WVT121" s="2"/>
      <c r="WVU121" s="4"/>
      <c r="WVV121" s="2"/>
      <c r="WVW121" s="3"/>
      <c r="WVX121" s="2"/>
      <c r="WVY121" s="2"/>
      <c r="WVZ121" s="5"/>
      <c r="WWA121" s="2"/>
      <c r="WWB121" s="4"/>
      <c r="WWC121" s="2"/>
      <c r="WWD121" s="3"/>
      <c r="WWE121" s="2"/>
      <c r="WWF121" s="2"/>
      <c r="WWG121" s="5"/>
      <c r="WWH121" s="2"/>
      <c r="WWI121" s="4"/>
      <c r="WWJ121" s="2"/>
      <c r="WWK121" s="3"/>
      <c r="WWL121" s="2"/>
      <c r="WWM121" s="2"/>
      <c r="WWN121" s="5"/>
      <c r="WWO121" s="2"/>
      <c r="WWP121" s="4"/>
      <c r="WWQ121" s="2"/>
      <c r="WWR121" s="3"/>
      <c r="WWS121" s="2"/>
      <c r="WWT121" s="2"/>
      <c r="WWU121" s="5"/>
      <c r="WWV121" s="2"/>
      <c r="WWW121" s="4"/>
      <c r="WWX121" s="2"/>
      <c r="WWY121" s="3"/>
      <c r="WWZ121" s="2"/>
      <c r="WXA121" s="2"/>
      <c r="WXB121" s="5"/>
      <c r="WXC121" s="2"/>
      <c r="WXD121" s="4"/>
      <c r="WXE121" s="2"/>
      <c r="WXF121" s="3"/>
      <c r="WXG121" s="2"/>
      <c r="WXH121" s="2"/>
      <c r="WXI121" s="5"/>
      <c r="WXJ121" s="2"/>
      <c r="WXK121" s="4"/>
      <c r="WXL121" s="2"/>
      <c r="WXM121" s="3"/>
      <c r="WXN121" s="2"/>
      <c r="WXO121" s="2"/>
      <c r="WXP121" s="5"/>
      <c r="WXQ121" s="2"/>
      <c r="WXR121" s="4"/>
      <c r="WXS121" s="2"/>
      <c r="WXT121" s="3"/>
      <c r="WXU121" s="2"/>
      <c r="WXV121" s="2"/>
      <c r="WXW121" s="5"/>
      <c r="WXX121" s="2"/>
      <c r="WXY121" s="4"/>
      <c r="WXZ121" s="2"/>
      <c r="WYA121" s="3"/>
      <c r="WYB121" s="2"/>
      <c r="WYC121" s="2"/>
      <c r="WYD121" s="5"/>
      <c r="WYE121" s="2"/>
      <c r="WYF121" s="4"/>
      <c r="WYG121" s="2"/>
      <c r="WYH121" s="3"/>
      <c r="WYI121" s="2"/>
      <c r="WYJ121" s="2"/>
      <c r="WYK121" s="5"/>
      <c r="WYL121" s="2"/>
      <c r="WYM121" s="4"/>
      <c r="WYN121" s="2"/>
      <c r="WYO121" s="3"/>
      <c r="WYP121" s="2"/>
      <c r="WYQ121" s="2"/>
      <c r="WYR121" s="5"/>
      <c r="WYS121" s="2"/>
      <c r="WYT121" s="4"/>
      <c r="WYU121" s="2"/>
      <c r="WYV121" s="3"/>
      <c r="WYW121" s="2"/>
      <c r="WYX121" s="2"/>
      <c r="WYY121" s="5"/>
      <c r="WYZ121" s="2"/>
      <c r="WZA121" s="4"/>
      <c r="WZB121" s="2"/>
      <c r="WZC121" s="3"/>
      <c r="WZD121" s="2"/>
      <c r="WZE121" s="2"/>
      <c r="WZF121" s="5"/>
      <c r="WZG121" s="2"/>
      <c r="WZH121" s="4"/>
      <c r="WZI121" s="2"/>
      <c r="WZJ121" s="3"/>
      <c r="WZK121" s="2"/>
      <c r="WZL121" s="2"/>
      <c r="WZM121" s="5"/>
      <c r="WZN121" s="2"/>
      <c r="WZO121" s="4"/>
      <c r="WZP121" s="2"/>
      <c r="WZQ121" s="3"/>
      <c r="WZR121" s="2"/>
      <c r="WZS121" s="2"/>
      <c r="WZT121" s="5"/>
      <c r="WZU121" s="2"/>
      <c r="WZV121" s="4"/>
      <c r="WZW121" s="2"/>
      <c r="WZX121" s="3"/>
      <c r="WZY121" s="2"/>
      <c r="WZZ121" s="2"/>
      <c r="XAA121" s="5"/>
      <c r="XAB121" s="2"/>
      <c r="XAC121" s="4"/>
      <c r="XAD121" s="2"/>
      <c r="XAE121" s="3"/>
      <c r="XAF121" s="2"/>
      <c r="XAG121" s="2"/>
      <c r="XAH121" s="5"/>
      <c r="XAI121" s="2"/>
      <c r="XAJ121" s="4"/>
      <c r="XAK121" s="2"/>
      <c r="XAL121" s="3"/>
      <c r="XAM121" s="2"/>
      <c r="XAN121" s="2"/>
      <c r="XAO121" s="5"/>
      <c r="XAP121" s="2"/>
      <c r="XAQ121" s="4"/>
      <c r="XAR121" s="2"/>
      <c r="XAS121" s="3"/>
      <c r="XAT121" s="2"/>
      <c r="XAU121" s="2"/>
      <c r="XAV121" s="5"/>
      <c r="XAW121" s="2"/>
      <c r="XAX121" s="4"/>
      <c r="XAY121" s="2"/>
      <c r="XAZ121" s="3"/>
      <c r="XBA121" s="2"/>
      <c r="XBB121" s="2"/>
      <c r="XBC121" s="5"/>
      <c r="XBD121" s="2"/>
      <c r="XBE121" s="4"/>
      <c r="XBF121" s="2"/>
      <c r="XBG121" s="3"/>
      <c r="XBH121" s="2"/>
      <c r="XBI121" s="2"/>
      <c r="XBJ121" s="5"/>
      <c r="XBK121" s="2"/>
      <c r="XBL121" s="4"/>
      <c r="XBM121" s="2"/>
      <c r="XBN121" s="3"/>
      <c r="XBO121" s="2"/>
      <c r="XBP121" s="2"/>
      <c r="XBQ121" s="5"/>
      <c r="XBR121" s="2"/>
      <c r="XBS121" s="4"/>
      <c r="XBT121" s="2"/>
      <c r="XBU121" s="3"/>
      <c r="XBV121" s="2"/>
      <c r="XBW121" s="2"/>
      <c r="XBX121" s="5"/>
      <c r="XBY121" s="2"/>
      <c r="XBZ121" s="4"/>
      <c r="XCA121" s="2"/>
      <c r="XCB121" s="3"/>
      <c r="XCC121" s="2"/>
      <c r="XCD121" s="2"/>
      <c r="XCE121" s="5"/>
      <c r="XCF121" s="2"/>
      <c r="XCG121" s="4"/>
      <c r="XCH121" s="2"/>
      <c r="XCI121" s="3"/>
      <c r="XCJ121" s="2"/>
      <c r="XCK121" s="2"/>
      <c r="XCL121" s="5"/>
      <c r="XCM121" s="2"/>
      <c r="XCN121" s="4"/>
      <c r="XCO121" s="2"/>
      <c r="XCP121" s="3"/>
      <c r="XCQ121" s="2"/>
      <c r="XCR121" s="2"/>
      <c r="XCS121" s="5"/>
      <c r="XCT121" s="2"/>
      <c r="XCU121" s="4"/>
      <c r="XCV121" s="2"/>
      <c r="XCW121" s="3"/>
      <c r="XCX121" s="2"/>
      <c r="XCY121" s="2"/>
      <c r="XCZ121" s="5"/>
      <c r="XDA121" s="2"/>
      <c r="XDB121" s="4"/>
      <c r="XDC121" s="2"/>
      <c r="XDD121" s="3"/>
      <c r="XDE121" s="2"/>
      <c r="XDF121" s="2"/>
      <c r="XDG121" s="5"/>
      <c r="XDH121" s="2"/>
      <c r="XDI121" s="4"/>
      <c r="XDJ121" s="2"/>
      <c r="XDK121" s="3"/>
      <c r="XDL121" s="2"/>
      <c r="XDM121" s="2"/>
      <c r="XDN121" s="5"/>
      <c r="XDO121" s="2"/>
      <c r="XDP121" s="4"/>
      <c r="XDQ121" s="2"/>
      <c r="XDR121" s="3"/>
      <c r="XDS121" s="2"/>
      <c r="XDT121" s="2"/>
      <c r="XDU121" s="5"/>
      <c r="XDV121" s="2"/>
      <c r="XDW121" s="4"/>
      <c r="XDX121" s="2"/>
      <c r="XDY121" s="3"/>
      <c r="XDZ121" s="2"/>
      <c r="XEA121" s="2"/>
      <c r="XEB121" s="5"/>
      <c r="XEC121" s="2"/>
      <c r="XED121" s="4"/>
      <c r="XEE121" s="2"/>
      <c r="XEF121" s="3"/>
      <c r="XEG121" s="2"/>
      <c r="XEH121" s="2"/>
      <c r="XEI121" s="5"/>
      <c r="XEJ121" s="2"/>
      <c r="XEK121" s="4"/>
      <c r="XEL121" s="2"/>
      <c r="XEM121" s="3"/>
      <c r="XEN121" s="2"/>
      <c r="XEO121" s="2"/>
      <c r="XEP121" s="5"/>
      <c r="XEQ121" s="2"/>
      <c r="XER121" s="4"/>
      <c r="XES121" s="2"/>
      <c r="XET121" s="3"/>
      <c r="XEU121" s="2"/>
      <c r="XEV121" s="2"/>
      <c r="XEW121" s="5"/>
      <c r="XEX121" s="2"/>
      <c r="XEY121" s="4"/>
      <c r="XEZ121" s="2"/>
      <c r="XFA121" s="3"/>
      <c r="XFB121" s="2"/>
      <c r="XFC121" s="2"/>
      <c r="XFD121" s="5"/>
    </row>
    <row r="122" spans="1:16384" ht="28.15" customHeight="1" x14ac:dyDescent="0.5">
      <c r="A122" s="62" t="s">
        <v>206</v>
      </c>
      <c r="B122" s="13"/>
      <c r="C122" s="28" t="s">
        <v>393</v>
      </c>
      <c r="D122" s="27" t="s">
        <v>8</v>
      </c>
      <c r="E122" s="28"/>
      <c r="F122" s="29" t="s">
        <v>9</v>
      </c>
      <c r="G122" s="28"/>
    </row>
    <row r="123" spans="1:16384" ht="28.15" customHeight="1" x14ac:dyDescent="0.5">
      <c r="A123" s="62" t="s">
        <v>207</v>
      </c>
      <c r="B123" s="13"/>
      <c r="C123" s="28" t="s">
        <v>195</v>
      </c>
      <c r="D123" s="27" t="s">
        <v>18</v>
      </c>
      <c r="E123" s="28"/>
      <c r="F123" s="29" t="s">
        <v>9</v>
      </c>
      <c r="G123" s="28"/>
    </row>
    <row r="124" spans="1:16384" ht="28.15" customHeight="1" x14ac:dyDescent="0.5">
      <c r="A124" s="62" t="s">
        <v>208</v>
      </c>
      <c r="B124" s="13"/>
      <c r="C124" s="28" t="s">
        <v>417</v>
      </c>
      <c r="D124" s="27" t="s">
        <v>18</v>
      </c>
      <c r="E124" s="28"/>
      <c r="F124" s="29" t="s">
        <v>9</v>
      </c>
      <c r="G124" s="28"/>
    </row>
    <row r="125" spans="1:16384" ht="28.15" customHeight="1" x14ac:dyDescent="0.5">
      <c r="A125" s="62" t="s">
        <v>487</v>
      </c>
      <c r="B125" s="13"/>
      <c r="C125" s="28" t="s">
        <v>477</v>
      </c>
      <c r="D125" s="27" t="s">
        <v>8</v>
      </c>
      <c r="E125" s="28"/>
      <c r="F125" s="29" t="s">
        <v>498</v>
      </c>
      <c r="G125" s="28"/>
    </row>
    <row r="126" spans="1:16384" ht="28.15" customHeight="1" x14ac:dyDescent="0.5">
      <c r="A126" s="62" t="s">
        <v>209</v>
      </c>
      <c r="B126" s="13"/>
      <c r="C126" s="28" t="s">
        <v>196</v>
      </c>
      <c r="D126" s="27" t="s">
        <v>18</v>
      </c>
      <c r="E126" s="28"/>
      <c r="F126" s="29" t="s">
        <v>9</v>
      </c>
      <c r="G126" s="28"/>
    </row>
    <row r="127" spans="1:16384" ht="28.15" customHeight="1" x14ac:dyDescent="0.5">
      <c r="A127" s="62" t="s">
        <v>280</v>
      </c>
      <c r="B127" s="13"/>
      <c r="C127" s="28" t="s">
        <v>418</v>
      </c>
      <c r="D127" s="27" t="s">
        <v>8</v>
      </c>
      <c r="E127" s="28"/>
      <c r="F127" s="29" t="s">
        <v>9</v>
      </c>
      <c r="G127" s="28"/>
    </row>
    <row r="128" spans="1:16384" ht="28.15" customHeight="1" x14ac:dyDescent="0.5">
      <c r="A128" s="63"/>
      <c r="B128" s="30"/>
      <c r="C128" s="30"/>
      <c r="D128" s="31"/>
      <c r="E128" s="28"/>
      <c r="F128" s="32"/>
      <c r="G128" s="30"/>
    </row>
    <row r="129" spans="1:7" ht="28.15" customHeight="1" x14ac:dyDescent="0.5">
      <c r="A129" s="61">
        <v>11</v>
      </c>
      <c r="B129" s="66" t="s">
        <v>24</v>
      </c>
      <c r="C129" s="23"/>
      <c r="D129" s="23"/>
      <c r="E129" s="28"/>
      <c r="F129" s="25"/>
      <c r="G129" s="24"/>
    </row>
    <row r="130" spans="1:7" ht="28.15" customHeight="1" x14ac:dyDescent="0.5">
      <c r="A130" s="62" t="s">
        <v>112</v>
      </c>
      <c r="B130" s="13"/>
      <c r="C130" s="28" t="s">
        <v>443</v>
      </c>
      <c r="D130" s="27" t="s">
        <v>5</v>
      </c>
      <c r="E130" s="28"/>
      <c r="F130" s="29" t="s">
        <v>498</v>
      </c>
      <c r="G130" s="28"/>
    </row>
    <row r="131" spans="1:7" ht="28.15" customHeight="1" x14ac:dyDescent="0.5">
      <c r="A131" s="62" t="s">
        <v>113</v>
      </c>
      <c r="B131" s="13"/>
      <c r="C131" s="28" t="s">
        <v>419</v>
      </c>
      <c r="D131" s="27" t="s">
        <v>5</v>
      </c>
      <c r="E131" s="28"/>
      <c r="F131" s="29" t="s">
        <v>498</v>
      </c>
      <c r="G131" s="28"/>
    </row>
    <row r="132" spans="1:7" ht="28.15" customHeight="1" x14ac:dyDescent="0.5">
      <c r="A132" s="62" t="s">
        <v>114</v>
      </c>
      <c r="B132" s="13"/>
      <c r="C132" s="28" t="s">
        <v>366</v>
      </c>
      <c r="D132" s="27" t="s">
        <v>8</v>
      </c>
      <c r="E132" s="28"/>
      <c r="F132" s="29" t="s">
        <v>498</v>
      </c>
      <c r="G132" s="28"/>
    </row>
    <row r="133" spans="1:7" ht="28.15" customHeight="1" x14ac:dyDescent="0.5">
      <c r="A133" s="62" t="s">
        <v>115</v>
      </c>
      <c r="B133" s="13"/>
      <c r="C133" s="28" t="s">
        <v>389</v>
      </c>
      <c r="D133" s="27" t="s">
        <v>5</v>
      </c>
      <c r="E133" s="28"/>
      <c r="F133" s="29" t="s">
        <v>498</v>
      </c>
      <c r="G133" s="28"/>
    </row>
    <row r="134" spans="1:7" ht="28.15" customHeight="1" x14ac:dyDescent="0.5">
      <c r="A134" s="62" t="s">
        <v>213</v>
      </c>
      <c r="B134" s="13"/>
      <c r="C134" s="28" t="s">
        <v>346</v>
      </c>
      <c r="D134" s="27" t="s">
        <v>8</v>
      </c>
      <c r="E134" s="28"/>
      <c r="F134" s="29" t="s">
        <v>9</v>
      </c>
      <c r="G134" s="28"/>
    </row>
    <row r="135" spans="1:7" ht="28.15" customHeight="1" x14ac:dyDescent="0.5">
      <c r="A135" s="62" t="s">
        <v>214</v>
      </c>
      <c r="B135" s="13"/>
      <c r="C135" s="28" t="s">
        <v>347</v>
      </c>
      <c r="D135" s="27" t="s">
        <v>18</v>
      </c>
      <c r="E135" s="28"/>
      <c r="F135" s="29" t="s">
        <v>498</v>
      </c>
      <c r="G135" s="28"/>
    </row>
    <row r="136" spans="1:7" ht="28.15" customHeight="1" x14ac:dyDescent="0.5">
      <c r="A136" s="62" t="s">
        <v>215</v>
      </c>
      <c r="B136" s="13"/>
      <c r="C136" s="28" t="s">
        <v>367</v>
      </c>
      <c r="D136" s="37" t="s">
        <v>5</v>
      </c>
      <c r="E136" s="28"/>
      <c r="F136" s="29" t="s">
        <v>498</v>
      </c>
      <c r="G136" s="28"/>
    </row>
    <row r="137" spans="1:7" ht="28.15" customHeight="1" x14ac:dyDescent="0.5">
      <c r="A137" s="62" t="s">
        <v>216</v>
      </c>
      <c r="B137" s="13"/>
      <c r="C137" s="28" t="s">
        <v>383</v>
      </c>
      <c r="D137" s="27" t="s">
        <v>5</v>
      </c>
      <c r="E137" s="28"/>
      <c r="F137" s="29" t="s">
        <v>498</v>
      </c>
      <c r="G137" s="28"/>
    </row>
    <row r="138" spans="1:7" ht="28.15" customHeight="1" x14ac:dyDescent="0.5">
      <c r="A138" s="62" t="s">
        <v>217</v>
      </c>
      <c r="B138" s="13"/>
      <c r="C138" s="28" t="s">
        <v>385</v>
      </c>
      <c r="D138" s="27" t="s">
        <v>8</v>
      </c>
      <c r="E138" s="28"/>
      <c r="F138" s="29" t="s">
        <v>498</v>
      </c>
      <c r="G138" s="28"/>
    </row>
    <row r="139" spans="1:7" ht="28.15" customHeight="1" x14ac:dyDescent="0.5">
      <c r="A139" s="62" t="s">
        <v>218</v>
      </c>
      <c r="B139" s="13"/>
      <c r="C139" s="28" t="s">
        <v>390</v>
      </c>
      <c r="D139" s="37" t="s">
        <v>5</v>
      </c>
      <c r="E139" s="28"/>
      <c r="F139" s="29" t="s">
        <v>9</v>
      </c>
      <c r="G139" s="28"/>
    </row>
    <row r="140" spans="1:7" ht="28.15" customHeight="1" x14ac:dyDescent="0.5">
      <c r="A140" s="62" t="s">
        <v>219</v>
      </c>
      <c r="B140" s="13"/>
      <c r="C140" s="28" t="s">
        <v>350</v>
      </c>
      <c r="D140" s="27" t="s">
        <v>18</v>
      </c>
      <c r="E140" s="28"/>
      <c r="F140" s="29" t="s">
        <v>9</v>
      </c>
      <c r="G140" s="28"/>
    </row>
    <row r="141" spans="1:7" ht="28.15" customHeight="1" x14ac:dyDescent="0.5">
      <c r="A141" s="62" t="s">
        <v>220</v>
      </c>
      <c r="B141" s="13"/>
      <c r="C141" s="28" t="s">
        <v>349</v>
      </c>
      <c r="D141" s="27" t="s">
        <v>18</v>
      </c>
      <c r="E141" s="28"/>
      <c r="F141" s="29" t="s">
        <v>9</v>
      </c>
      <c r="G141" s="28"/>
    </row>
    <row r="142" spans="1:7" ht="28.15" customHeight="1" x14ac:dyDescent="0.5">
      <c r="A142" s="62" t="s">
        <v>281</v>
      </c>
      <c r="B142" s="13"/>
      <c r="C142" s="28" t="s">
        <v>351</v>
      </c>
      <c r="D142" s="27" t="s">
        <v>8</v>
      </c>
      <c r="E142" s="28"/>
      <c r="F142" s="29" t="s">
        <v>9</v>
      </c>
      <c r="G142" s="28"/>
    </row>
    <row r="143" spans="1:7" ht="28.15" customHeight="1" x14ac:dyDescent="0.5">
      <c r="A143" s="62" t="s">
        <v>282</v>
      </c>
      <c r="B143" s="13"/>
      <c r="C143" s="28" t="s">
        <v>352</v>
      </c>
      <c r="D143" s="27" t="s">
        <v>5</v>
      </c>
      <c r="E143" s="28"/>
      <c r="F143" s="29" t="s">
        <v>9</v>
      </c>
      <c r="G143" s="28"/>
    </row>
    <row r="144" spans="1:7" ht="28.15" customHeight="1" x14ac:dyDescent="0.5">
      <c r="A144" s="62" t="s">
        <v>283</v>
      </c>
      <c r="B144" s="13"/>
      <c r="C144" s="28" t="s">
        <v>198</v>
      </c>
      <c r="D144" s="27" t="s">
        <v>5</v>
      </c>
      <c r="E144" s="28"/>
      <c r="F144" s="29" t="s">
        <v>498</v>
      </c>
      <c r="G144" s="28"/>
    </row>
    <row r="145" spans="1:7" ht="28.15" customHeight="1" x14ac:dyDescent="0.5">
      <c r="A145" s="62" t="s">
        <v>384</v>
      </c>
      <c r="B145" s="13"/>
      <c r="C145" s="28" t="s">
        <v>197</v>
      </c>
      <c r="D145" s="27" t="s">
        <v>18</v>
      </c>
      <c r="E145" s="28"/>
      <c r="F145" s="29" t="s">
        <v>498</v>
      </c>
      <c r="G145" s="28"/>
    </row>
    <row r="146" spans="1:7" ht="28.15" customHeight="1" x14ac:dyDescent="0.5">
      <c r="A146" s="62" t="s">
        <v>488</v>
      </c>
      <c r="B146" s="13"/>
      <c r="C146" s="28" t="s">
        <v>391</v>
      </c>
      <c r="D146" s="27" t="s">
        <v>5</v>
      </c>
      <c r="E146" s="28"/>
      <c r="F146" s="29" t="s">
        <v>498</v>
      </c>
      <c r="G146" s="28"/>
    </row>
    <row r="147" spans="1:7" ht="28.15" customHeight="1" x14ac:dyDescent="0.5">
      <c r="A147" s="63"/>
      <c r="B147" s="30"/>
      <c r="C147" s="30"/>
      <c r="D147" s="31"/>
      <c r="E147" s="28"/>
      <c r="F147" s="32"/>
      <c r="G147" s="30"/>
    </row>
    <row r="148" spans="1:7" ht="28.15" customHeight="1" x14ac:dyDescent="0.5">
      <c r="A148" s="61">
        <v>12</v>
      </c>
      <c r="B148" s="66" t="s">
        <v>25</v>
      </c>
      <c r="C148" s="23"/>
      <c r="D148" s="23"/>
      <c r="E148" s="28"/>
      <c r="F148" s="25"/>
      <c r="G148" s="24"/>
    </row>
    <row r="149" spans="1:7" ht="28.15" customHeight="1" x14ac:dyDescent="0.5">
      <c r="A149" s="62" t="s">
        <v>116</v>
      </c>
      <c r="B149" s="13"/>
      <c r="C149" s="28" t="s">
        <v>459</v>
      </c>
      <c r="D149" s="27" t="s">
        <v>18</v>
      </c>
      <c r="E149" s="28"/>
      <c r="F149" s="29" t="s">
        <v>498</v>
      </c>
      <c r="G149" s="28"/>
    </row>
    <row r="150" spans="1:7" ht="28.15" customHeight="1" x14ac:dyDescent="0.5">
      <c r="A150" s="62" t="s">
        <v>117</v>
      </c>
      <c r="B150" s="13"/>
      <c r="C150" s="28" t="s">
        <v>254</v>
      </c>
      <c r="D150" s="27" t="s">
        <v>18</v>
      </c>
      <c r="E150" s="28"/>
      <c r="F150" s="29" t="s">
        <v>498</v>
      </c>
      <c r="G150" s="28"/>
    </row>
    <row r="151" spans="1:7" ht="28.15" customHeight="1" x14ac:dyDescent="0.5">
      <c r="A151" s="62" t="s">
        <v>118</v>
      </c>
      <c r="B151" s="13"/>
      <c r="C151" s="28" t="s">
        <v>353</v>
      </c>
      <c r="D151" s="27" t="s">
        <v>5</v>
      </c>
      <c r="E151" s="28"/>
      <c r="F151" s="29" t="s">
        <v>498</v>
      </c>
      <c r="G151" s="28"/>
    </row>
    <row r="152" spans="1:7" ht="28.15" customHeight="1" x14ac:dyDescent="0.5">
      <c r="A152" s="62" t="s">
        <v>114</v>
      </c>
      <c r="B152" s="13"/>
      <c r="C152" s="28" t="s">
        <v>473</v>
      </c>
      <c r="D152" s="27" t="s">
        <v>8</v>
      </c>
      <c r="E152" s="28"/>
      <c r="F152" s="29" t="s">
        <v>498</v>
      </c>
      <c r="G152" s="28"/>
    </row>
    <row r="153" spans="1:7" ht="28.15" customHeight="1" x14ac:dyDescent="0.5">
      <c r="A153" s="62" t="s">
        <v>119</v>
      </c>
      <c r="B153" s="13"/>
      <c r="C153" s="28" t="s">
        <v>420</v>
      </c>
      <c r="D153" s="27" t="s">
        <v>5</v>
      </c>
      <c r="E153" s="28"/>
      <c r="F153" s="29" t="s">
        <v>498</v>
      </c>
      <c r="G153" s="28"/>
    </row>
    <row r="154" spans="1:7" ht="28.15" customHeight="1" x14ac:dyDescent="0.5">
      <c r="A154" s="62" t="s">
        <v>120</v>
      </c>
      <c r="B154" s="13"/>
      <c r="C154" s="28" t="s">
        <v>354</v>
      </c>
      <c r="D154" s="27" t="s">
        <v>5</v>
      </c>
      <c r="E154" s="28"/>
      <c r="F154" s="29" t="s">
        <v>498</v>
      </c>
      <c r="G154" s="28"/>
    </row>
    <row r="155" spans="1:7" ht="28.15" customHeight="1" x14ac:dyDescent="0.5">
      <c r="A155" s="62" t="s">
        <v>121</v>
      </c>
      <c r="B155" s="13"/>
      <c r="C155" s="28" t="s">
        <v>348</v>
      </c>
      <c r="D155" s="37" t="s">
        <v>5</v>
      </c>
      <c r="E155" s="28"/>
      <c r="F155" s="29" t="s">
        <v>498</v>
      </c>
      <c r="G155" s="28"/>
    </row>
    <row r="156" spans="1:7" ht="28.15" customHeight="1" x14ac:dyDescent="0.5">
      <c r="A156" s="62" t="s">
        <v>122</v>
      </c>
      <c r="B156" s="13"/>
      <c r="C156" s="28" t="s">
        <v>392</v>
      </c>
      <c r="D156" s="27" t="s">
        <v>8</v>
      </c>
      <c r="E156" s="28"/>
      <c r="F156" s="29" t="s">
        <v>498</v>
      </c>
      <c r="G156" s="28"/>
    </row>
    <row r="157" spans="1:7" ht="28.15" customHeight="1" x14ac:dyDescent="0.5">
      <c r="A157" s="62" t="s">
        <v>123</v>
      </c>
      <c r="B157" s="13"/>
      <c r="C157" s="38" t="s">
        <v>182</v>
      </c>
      <c r="D157" s="27" t="s">
        <v>8</v>
      </c>
      <c r="E157" s="28"/>
      <c r="F157" s="29" t="s">
        <v>9</v>
      </c>
      <c r="G157" s="28"/>
    </row>
    <row r="158" spans="1:7" ht="28.15" customHeight="1" x14ac:dyDescent="0.5">
      <c r="A158" s="63"/>
      <c r="B158" s="30"/>
      <c r="C158" s="30"/>
      <c r="D158" s="31"/>
      <c r="E158" s="28"/>
      <c r="F158" s="32"/>
      <c r="G158" s="30"/>
    </row>
    <row r="159" spans="1:7" ht="28.15" customHeight="1" x14ac:dyDescent="0.5">
      <c r="A159" s="61">
        <v>13</v>
      </c>
      <c r="B159" s="66" t="s">
        <v>26</v>
      </c>
      <c r="C159" s="23"/>
      <c r="D159" s="23"/>
      <c r="E159" s="28"/>
      <c r="F159" s="25"/>
      <c r="G159" s="24"/>
    </row>
    <row r="160" spans="1:7" ht="28.15" customHeight="1" x14ac:dyDescent="0.5">
      <c r="A160" s="62" t="s">
        <v>128</v>
      </c>
      <c r="B160" s="13"/>
      <c r="C160" s="28" t="s">
        <v>421</v>
      </c>
      <c r="D160" s="27" t="s">
        <v>5</v>
      </c>
      <c r="E160" s="28"/>
      <c r="F160" s="29" t="s">
        <v>498</v>
      </c>
      <c r="G160" s="28"/>
    </row>
    <row r="161" spans="1:7" ht="28.15" customHeight="1" x14ac:dyDescent="0.5">
      <c r="A161" s="62" t="s">
        <v>129</v>
      </c>
      <c r="B161" s="13"/>
      <c r="C161" s="28" t="s">
        <v>355</v>
      </c>
      <c r="D161" s="27" t="s">
        <v>5</v>
      </c>
      <c r="E161" s="28"/>
      <c r="F161" s="29" t="s">
        <v>498</v>
      </c>
      <c r="G161" s="28"/>
    </row>
    <row r="162" spans="1:7" ht="28.15" customHeight="1" x14ac:dyDescent="0.5">
      <c r="A162" s="62" t="s">
        <v>130</v>
      </c>
      <c r="B162" s="13"/>
      <c r="C162" s="28" t="s">
        <v>422</v>
      </c>
      <c r="D162" s="27" t="s">
        <v>5</v>
      </c>
      <c r="E162" s="28"/>
      <c r="F162" s="29" t="s">
        <v>498</v>
      </c>
      <c r="G162" s="28"/>
    </row>
    <row r="163" spans="1:7" ht="28.15" customHeight="1" x14ac:dyDescent="0.5">
      <c r="A163" s="62" t="s">
        <v>131</v>
      </c>
      <c r="B163" s="13"/>
      <c r="C163" s="28" t="s">
        <v>356</v>
      </c>
      <c r="D163" s="27" t="s">
        <v>5</v>
      </c>
      <c r="E163" s="28"/>
      <c r="F163" s="29" t="s">
        <v>498</v>
      </c>
      <c r="G163" s="28"/>
    </row>
    <row r="164" spans="1:7" ht="28.15" customHeight="1" x14ac:dyDescent="0.5">
      <c r="A164" s="62" t="s">
        <v>132</v>
      </c>
      <c r="B164" s="13"/>
      <c r="C164" s="28" t="s">
        <v>357</v>
      </c>
      <c r="D164" s="27" t="s">
        <v>8</v>
      </c>
      <c r="E164" s="28"/>
      <c r="F164" s="29" t="s">
        <v>498</v>
      </c>
      <c r="G164" s="28"/>
    </row>
    <row r="165" spans="1:7" ht="28.15" customHeight="1" x14ac:dyDescent="0.5">
      <c r="A165" s="62" t="s">
        <v>133</v>
      </c>
      <c r="B165" s="13"/>
      <c r="C165" s="28" t="s">
        <v>358</v>
      </c>
      <c r="D165" s="27" t="s">
        <v>5</v>
      </c>
      <c r="E165" s="28"/>
      <c r="F165" s="29" t="s">
        <v>498</v>
      </c>
      <c r="G165" s="28"/>
    </row>
    <row r="166" spans="1:7" ht="28.15" customHeight="1" x14ac:dyDescent="0.5">
      <c r="A166" s="62" t="s">
        <v>134</v>
      </c>
      <c r="B166" s="13"/>
      <c r="C166" s="28" t="s">
        <v>394</v>
      </c>
      <c r="D166" s="27" t="s">
        <v>5</v>
      </c>
      <c r="E166" s="28"/>
      <c r="F166" s="29" t="s">
        <v>498</v>
      </c>
      <c r="G166" s="18"/>
    </row>
    <row r="167" spans="1:7" ht="28.15" customHeight="1" x14ac:dyDescent="0.5">
      <c r="A167" s="62" t="s">
        <v>229</v>
      </c>
      <c r="B167" s="13"/>
      <c r="C167" s="28" t="s">
        <v>423</v>
      </c>
      <c r="D167" s="27" t="s">
        <v>18</v>
      </c>
      <c r="E167" s="28"/>
      <c r="F167" s="29" t="s">
        <v>498</v>
      </c>
      <c r="G167" s="28"/>
    </row>
    <row r="168" spans="1:7" ht="28.15" customHeight="1" x14ac:dyDescent="0.5">
      <c r="A168" s="62" t="s">
        <v>230</v>
      </c>
      <c r="B168" s="13"/>
      <c r="C168" s="28" t="s">
        <v>22</v>
      </c>
      <c r="D168" s="27" t="s">
        <v>18</v>
      </c>
      <c r="E168" s="28"/>
      <c r="F168" s="29" t="s">
        <v>498</v>
      </c>
      <c r="G168" s="28"/>
    </row>
    <row r="169" spans="1:7" ht="28.15" customHeight="1" x14ac:dyDescent="0.5">
      <c r="A169" s="62" t="s">
        <v>231</v>
      </c>
      <c r="B169" s="13"/>
      <c r="C169" s="28" t="s">
        <v>359</v>
      </c>
      <c r="D169" s="27" t="s">
        <v>368</v>
      </c>
      <c r="E169" s="28"/>
      <c r="F169" s="29" t="s">
        <v>9</v>
      </c>
      <c r="G169" s="18" t="s">
        <v>497</v>
      </c>
    </row>
    <row r="170" spans="1:7" ht="28.15" customHeight="1" x14ac:dyDescent="0.5">
      <c r="A170" s="62" t="s">
        <v>232</v>
      </c>
      <c r="B170" s="13"/>
      <c r="C170" s="28" t="s">
        <v>360</v>
      </c>
      <c r="D170" s="27" t="s">
        <v>205</v>
      </c>
      <c r="E170" s="28"/>
      <c r="F170" s="29" t="s">
        <v>498</v>
      </c>
      <c r="G170" s="28"/>
    </row>
    <row r="171" spans="1:7" ht="28.15" customHeight="1" x14ac:dyDescent="0.5">
      <c r="A171" s="62" t="s">
        <v>233</v>
      </c>
      <c r="B171" s="13"/>
      <c r="C171" s="28" t="s">
        <v>424</v>
      </c>
      <c r="D171" s="39" t="s">
        <v>8</v>
      </c>
      <c r="E171" s="28"/>
      <c r="F171" s="29" t="s">
        <v>9</v>
      </c>
      <c r="G171" s="28"/>
    </row>
    <row r="172" spans="1:7" ht="28.15" customHeight="1" x14ac:dyDescent="0.5">
      <c r="A172" s="63"/>
      <c r="B172" s="30"/>
      <c r="C172" s="30"/>
      <c r="D172" s="31"/>
      <c r="E172" s="28"/>
      <c r="F172" s="32"/>
      <c r="G172" s="30"/>
    </row>
    <row r="173" spans="1:7" ht="28.15" customHeight="1" x14ac:dyDescent="0.5">
      <c r="A173" s="61">
        <v>14</v>
      </c>
      <c r="B173" s="66" t="s">
        <v>210</v>
      </c>
      <c r="C173" s="23"/>
      <c r="D173" s="23"/>
      <c r="E173" s="28"/>
      <c r="F173" s="25"/>
      <c r="G173" s="24"/>
    </row>
    <row r="174" spans="1:7" ht="28.15" customHeight="1" x14ac:dyDescent="0.5">
      <c r="A174" s="62" t="s">
        <v>135</v>
      </c>
      <c r="B174" s="13"/>
      <c r="C174" s="26" t="s">
        <v>425</v>
      </c>
      <c r="D174" s="37" t="s">
        <v>5</v>
      </c>
      <c r="E174" s="28"/>
      <c r="F174" s="29" t="s">
        <v>498</v>
      </c>
      <c r="G174" s="28"/>
    </row>
    <row r="175" spans="1:7" ht="28.15" customHeight="1" x14ac:dyDescent="0.5">
      <c r="A175" s="62" t="s">
        <v>136</v>
      </c>
      <c r="B175" s="13"/>
      <c r="C175" s="28" t="s">
        <v>426</v>
      </c>
      <c r="D175" s="27" t="s">
        <v>8</v>
      </c>
      <c r="E175" s="28"/>
      <c r="F175" s="29" t="s">
        <v>498</v>
      </c>
      <c r="G175" s="28"/>
    </row>
    <row r="176" spans="1:7" ht="28.15" customHeight="1" x14ac:dyDescent="0.5">
      <c r="A176" s="62" t="s">
        <v>137</v>
      </c>
      <c r="B176" s="13"/>
      <c r="C176" s="28" t="s">
        <v>473</v>
      </c>
      <c r="D176" s="27" t="s">
        <v>18</v>
      </c>
      <c r="E176" s="28"/>
      <c r="F176" s="29" t="s">
        <v>498</v>
      </c>
      <c r="G176" s="28"/>
    </row>
    <row r="177" spans="1:7" ht="28.15" customHeight="1" x14ac:dyDescent="0.5">
      <c r="A177" s="62" t="s">
        <v>138</v>
      </c>
      <c r="B177" s="13"/>
      <c r="C177" s="28" t="s">
        <v>481</v>
      </c>
      <c r="D177" s="37" t="s">
        <v>482</v>
      </c>
      <c r="E177" s="28"/>
      <c r="F177" s="29" t="s">
        <v>498</v>
      </c>
      <c r="G177" s="28"/>
    </row>
    <row r="178" spans="1:7" ht="28.15" customHeight="1" x14ac:dyDescent="0.5">
      <c r="A178" s="62" t="s">
        <v>139</v>
      </c>
      <c r="B178" s="13"/>
      <c r="C178" s="28" t="s">
        <v>27</v>
      </c>
      <c r="D178" s="27" t="s">
        <v>8</v>
      </c>
      <c r="E178" s="28"/>
      <c r="F178" s="29" t="s">
        <v>498</v>
      </c>
      <c r="G178" s="28"/>
    </row>
    <row r="179" spans="1:7" ht="28.15" customHeight="1" x14ac:dyDescent="0.5">
      <c r="A179" s="62" t="s">
        <v>234</v>
      </c>
      <c r="B179" s="13"/>
      <c r="C179" s="28" t="s">
        <v>427</v>
      </c>
      <c r="D179" s="27" t="s">
        <v>18</v>
      </c>
      <c r="E179" s="28"/>
      <c r="F179" s="29" t="s">
        <v>498</v>
      </c>
      <c r="G179" s="28"/>
    </row>
    <row r="180" spans="1:7" ht="28.15" customHeight="1" x14ac:dyDescent="0.5">
      <c r="A180" s="62" t="s">
        <v>235</v>
      </c>
      <c r="B180" s="13"/>
      <c r="C180" s="28" t="s">
        <v>428</v>
      </c>
      <c r="D180" s="37" t="s">
        <v>5</v>
      </c>
      <c r="E180" s="28"/>
      <c r="F180" s="29" t="s">
        <v>9</v>
      </c>
      <c r="G180" s="28"/>
    </row>
    <row r="181" spans="1:7" ht="28.15" customHeight="1" x14ac:dyDescent="0.5">
      <c r="A181" s="62" t="s">
        <v>236</v>
      </c>
      <c r="B181" s="13"/>
      <c r="C181" s="28" t="s">
        <v>182</v>
      </c>
      <c r="D181" s="27" t="s">
        <v>8</v>
      </c>
      <c r="E181" s="28"/>
      <c r="F181" s="29" t="s">
        <v>9</v>
      </c>
      <c r="G181" s="28"/>
    </row>
    <row r="182" spans="1:7" ht="28.15" customHeight="1" x14ac:dyDescent="0.5">
      <c r="A182" s="62" t="s">
        <v>237</v>
      </c>
      <c r="B182" s="13"/>
      <c r="C182" s="28" t="s">
        <v>460</v>
      </c>
      <c r="D182" s="27" t="s">
        <v>18</v>
      </c>
      <c r="E182" s="28"/>
      <c r="F182" s="29" t="s">
        <v>498</v>
      </c>
      <c r="G182" s="28"/>
    </row>
    <row r="183" spans="1:7" ht="28.15" customHeight="1" x14ac:dyDescent="0.5">
      <c r="A183" s="62" t="s">
        <v>238</v>
      </c>
      <c r="B183" s="13"/>
      <c r="C183" s="28" t="s">
        <v>461</v>
      </c>
      <c r="D183" s="27" t="s">
        <v>5</v>
      </c>
      <c r="E183" s="28"/>
      <c r="F183" s="29" t="s">
        <v>498</v>
      </c>
      <c r="G183" s="28"/>
    </row>
    <row r="184" spans="1:7" ht="28.15" customHeight="1" x14ac:dyDescent="0.5">
      <c r="A184" s="62" t="s">
        <v>239</v>
      </c>
      <c r="B184" s="13"/>
      <c r="C184" s="28" t="s">
        <v>429</v>
      </c>
      <c r="D184" s="27" t="s">
        <v>18</v>
      </c>
      <c r="E184" s="28"/>
      <c r="F184" s="29" t="s">
        <v>498</v>
      </c>
      <c r="G184" s="28"/>
    </row>
    <row r="185" spans="1:7" ht="28.15" customHeight="1" x14ac:dyDescent="0.5">
      <c r="A185" s="62" t="s">
        <v>240</v>
      </c>
      <c r="B185" s="13"/>
      <c r="C185" s="28" t="s">
        <v>211</v>
      </c>
      <c r="D185" s="27" t="s">
        <v>8</v>
      </c>
      <c r="E185" s="28"/>
      <c r="F185" s="29" t="s">
        <v>498</v>
      </c>
      <c r="G185" s="28"/>
    </row>
    <row r="186" spans="1:7" ht="28.15" customHeight="1" x14ac:dyDescent="0.5">
      <c r="A186" s="62" t="s">
        <v>241</v>
      </c>
      <c r="B186" s="13"/>
      <c r="C186" s="28" t="s">
        <v>422</v>
      </c>
      <c r="D186" s="27" t="s">
        <v>5</v>
      </c>
      <c r="E186" s="28"/>
      <c r="F186" s="29" t="s">
        <v>498</v>
      </c>
      <c r="G186" s="28"/>
    </row>
    <row r="187" spans="1:7" ht="28.15" customHeight="1" x14ac:dyDescent="0.5">
      <c r="A187" s="62" t="s">
        <v>242</v>
      </c>
      <c r="B187" s="13"/>
      <c r="C187" s="28" t="s">
        <v>361</v>
      </c>
      <c r="D187" s="27" t="s">
        <v>18</v>
      </c>
      <c r="E187" s="28"/>
      <c r="F187" s="29" t="s">
        <v>498</v>
      </c>
      <c r="G187" s="28"/>
    </row>
    <row r="188" spans="1:7" ht="28.15" customHeight="1" x14ac:dyDescent="0.5">
      <c r="A188" s="62" t="s">
        <v>243</v>
      </c>
      <c r="B188" s="13"/>
      <c r="C188" s="28" t="s">
        <v>212</v>
      </c>
      <c r="D188" s="27" t="s">
        <v>5</v>
      </c>
      <c r="E188" s="28"/>
      <c r="F188" s="29" t="s">
        <v>498</v>
      </c>
      <c r="G188" s="28"/>
    </row>
    <row r="189" spans="1:7" ht="28.15" customHeight="1" x14ac:dyDescent="0.5">
      <c r="A189" s="62" t="s">
        <v>489</v>
      </c>
      <c r="B189" s="13"/>
      <c r="C189" s="28" t="s">
        <v>462</v>
      </c>
      <c r="D189" s="39" t="s">
        <v>8</v>
      </c>
      <c r="E189" s="28"/>
      <c r="F189" s="29" t="s">
        <v>9</v>
      </c>
      <c r="G189" s="28"/>
    </row>
    <row r="190" spans="1:7" ht="28.15" customHeight="1" x14ac:dyDescent="0.5">
      <c r="A190" s="63"/>
      <c r="B190" s="30"/>
      <c r="C190" s="30"/>
      <c r="D190" s="31"/>
      <c r="E190" s="28"/>
      <c r="F190" s="32"/>
      <c r="G190" s="30"/>
    </row>
    <row r="191" spans="1:7" ht="28.15" customHeight="1" x14ac:dyDescent="0.5">
      <c r="A191" s="61">
        <v>15</v>
      </c>
      <c r="B191" s="66" t="s">
        <v>28</v>
      </c>
      <c r="C191" s="23"/>
      <c r="D191" s="23"/>
      <c r="E191" s="28"/>
      <c r="F191" s="25"/>
      <c r="G191" s="24"/>
    </row>
    <row r="192" spans="1:7" ht="28.15" customHeight="1" x14ac:dyDescent="0.5">
      <c r="A192" s="62" t="s">
        <v>142</v>
      </c>
      <c r="B192" s="417" t="s">
        <v>49</v>
      </c>
      <c r="C192" s="40" t="s">
        <v>29</v>
      </c>
      <c r="D192" s="37" t="s">
        <v>5</v>
      </c>
      <c r="E192" s="28"/>
      <c r="F192" s="29" t="s">
        <v>500</v>
      </c>
      <c r="G192" s="28"/>
    </row>
    <row r="193" spans="1:7" ht="28.15" customHeight="1" x14ac:dyDescent="0.5">
      <c r="A193" s="62" t="s">
        <v>143</v>
      </c>
      <c r="B193" s="418"/>
      <c r="C193" s="28" t="s">
        <v>463</v>
      </c>
      <c r="D193" s="37" t="s">
        <v>8</v>
      </c>
      <c r="E193" s="28"/>
      <c r="F193" s="29" t="s">
        <v>498</v>
      </c>
      <c r="G193" s="28"/>
    </row>
    <row r="194" spans="1:7" ht="28.15" customHeight="1" x14ac:dyDescent="0.5">
      <c r="A194" s="62" t="s">
        <v>144</v>
      </c>
      <c r="B194" s="418"/>
      <c r="C194" s="40" t="s">
        <v>258</v>
      </c>
      <c r="D194" s="37" t="s">
        <v>18</v>
      </c>
      <c r="E194" s="28"/>
      <c r="F194" s="29" t="s">
        <v>9</v>
      </c>
      <c r="G194" s="28"/>
    </row>
    <row r="195" spans="1:7" ht="28.15" customHeight="1" x14ac:dyDescent="0.5">
      <c r="A195" s="62" t="s">
        <v>145</v>
      </c>
      <c r="B195" s="418"/>
      <c r="C195" s="40" t="s">
        <v>257</v>
      </c>
      <c r="D195" s="37" t="s">
        <v>18</v>
      </c>
      <c r="E195" s="28"/>
      <c r="F195" s="29" t="s">
        <v>498</v>
      </c>
      <c r="G195" s="28"/>
    </row>
    <row r="196" spans="1:7" ht="28.15" customHeight="1" x14ac:dyDescent="0.5">
      <c r="A196" s="62" t="s">
        <v>244</v>
      </c>
      <c r="B196" s="418"/>
      <c r="C196" s="40" t="s">
        <v>30</v>
      </c>
      <c r="D196" s="37" t="s">
        <v>5</v>
      </c>
      <c r="E196" s="28"/>
      <c r="F196" s="29" t="s">
        <v>498</v>
      </c>
      <c r="G196" s="28"/>
    </row>
    <row r="197" spans="1:7" ht="28.15" customHeight="1" x14ac:dyDescent="0.5">
      <c r="A197" s="62" t="s">
        <v>245</v>
      </c>
      <c r="B197" s="418"/>
      <c r="C197" s="28" t="s">
        <v>444</v>
      </c>
      <c r="D197" s="37" t="s">
        <v>18</v>
      </c>
      <c r="E197" s="28"/>
      <c r="F197" s="29" t="s">
        <v>498</v>
      </c>
      <c r="G197" s="28"/>
    </row>
    <row r="198" spans="1:7" ht="28.15" customHeight="1" x14ac:dyDescent="0.5">
      <c r="A198" s="62" t="s">
        <v>246</v>
      </c>
      <c r="B198" s="418"/>
      <c r="C198" s="40" t="s">
        <v>37</v>
      </c>
      <c r="D198" s="37" t="s">
        <v>5</v>
      </c>
      <c r="E198" s="28"/>
      <c r="F198" s="29" t="s">
        <v>498</v>
      </c>
      <c r="G198" s="28"/>
    </row>
    <row r="199" spans="1:7" ht="28.15" customHeight="1" thickBot="1" x14ac:dyDescent="0.55000000000000004">
      <c r="A199" s="62" t="s">
        <v>284</v>
      </c>
      <c r="B199" s="418"/>
      <c r="C199" s="41" t="s">
        <v>256</v>
      </c>
      <c r="D199" s="42" t="s">
        <v>5</v>
      </c>
      <c r="E199" s="28"/>
      <c r="F199" s="29" t="s">
        <v>498</v>
      </c>
      <c r="G199" s="43"/>
    </row>
    <row r="200" spans="1:7" ht="28.15" customHeight="1" thickTop="1" x14ac:dyDescent="0.5">
      <c r="A200" s="62" t="s">
        <v>285</v>
      </c>
      <c r="B200" s="417" t="s">
        <v>50</v>
      </c>
      <c r="C200" s="40" t="s">
        <v>445</v>
      </c>
      <c r="D200" s="44" t="s">
        <v>18</v>
      </c>
      <c r="E200" s="28"/>
      <c r="F200" s="29" t="s">
        <v>500</v>
      </c>
      <c r="G200" s="45"/>
    </row>
    <row r="201" spans="1:7" ht="28.15" customHeight="1" x14ac:dyDescent="0.5">
      <c r="A201" s="62" t="s">
        <v>286</v>
      </c>
      <c r="B201" s="418"/>
      <c r="C201" s="40" t="s">
        <v>31</v>
      </c>
      <c r="D201" s="37" t="s">
        <v>5</v>
      </c>
      <c r="E201" s="28"/>
      <c r="F201" s="29" t="s">
        <v>498</v>
      </c>
      <c r="G201" s="28"/>
    </row>
    <row r="202" spans="1:7" ht="28.15" customHeight="1" x14ac:dyDescent="0.5">
      <c r="A202" s="62" t="s">
        <v>287</v>
      </c>
      <c r="B202" s="418"/>
      <c r="C202" s="40" t="s">
        <v>32</v>
      </c>
      <c r="D202" s="37" t="s">
        <v>18</v>
      </c>
      <c r="E202" s="28"/>
      <c r="F202" s="29" t="s">
        <v>498</v>
      </c>
      <c r="G202" s="28"/>
    </row>
    <row r="203" spans="1:7" ht="28.15" customHeight="1" x14ac:dyDescent="0.5">
      <c r="A203" s="62" t="s">
        <v>288</v>
      </c>
      <c r="B203" s="418"/>
      <c r="C203" s="40" t="s">
        <v>33</v>
      </c>
      <c r="D203" s="37" t="s">
        <v>8</v>
      </c>
      <c r="E203" s="28"/>
      <c r="F203" s="29" t="s">
        <v>498</v>
      </c>
      <c r="G203" s="28"/>
    </row>
    <row r="204" spans="1:7" ht="28.15" customHeight="1" x14ac:dyDescent="0.5">
      <c r="A204" s="62" t="s">
        <v>289</v>
      </c>
      <c r="B204" s="418"/>
      <c r="C204" s="46" t="s">
        <v>430</v>
      </c>
      <c r="D204" s="37" t="s">
        <v>8</v>
      </c>
      <c r="E204" s="28"/>
      <c r="F204" s="29" t="s">
        <v>498</v>
      </c>
      <c r="G204" s="28"/>
    </row>
    <row r="205" spans="1:7" ht="28.15" customHeight="1" x14ac:dyDescent="0.5">
      <c r="A205" s="62" t="s">
        <v>290</v>
      </c>
      <c r="B205" s="418"/>
      <c r="C205" s="40" t="s">
        <v>34</v>
      </c>
      <c r="D205" s="37" t="s">
        <v>8</v>
      </c>
      <c r="E205" s="28"/>
      <c r="F205" s="29" t="s">
        <v>500</v>
      </c>
      <c r="G205" s="28"/>
    </row>
    <row r="206" spans="1:7" ht="28.15" customHeight="1" x14ac:dyDescent="0.5">
      <c r="A206" s="62" t="s">
        <v>291</v>
      </c>
      <c r="B206" s="418"/>
      <c r="C206" s="40" t="s">
        <v>431</v>
      </c>
      <c r="D206" s="37" t="s">
        <v>18</v>
      </c>
      <c r="E206" s="28"/>
      <c r="F206" s="29" t="s">
        <v>498</v>
      </c>
      <c r="G206" s="28"/>
    </row>
    <row r="207" spans="1:7" ht="28.15" customHeight="1" x14ac:dyDescent="0.5">
      <c r="A207" s="62" t="s">
        <v>292</v>
      </c>
      <c r="B207" s="418"/>
      <c r="C207" s="40" t="s">
        <v>35</v>
      </c>
      <c r="D207" s="37" t="s">
        <v>5</v>
      </c>
      <c r="E207" s="28"/>
      <c r="F207" s="29" t="s">
        <v>500</v>
      </c>
      <c r="G207" s="28"/>
    </row>
    <row r="208" spans="1:7" ht="28.15" customHeight="1" x14ac:dyDescent="0.5">
      <c r="A208" s="62" t="s">
        <v>293</v>
      </c>
      <c r="B208" s="418"/>
      <c r="C208" s="40" t="s">
        <v>255</v>
      </c>
      <c r="D208" s="37" t="s">
        <v>5</v>
      </c>
      <c r="E208" s="28"/>
      <c r="F208" s="29" t="s">
        <v>498</v>
      </c>
      <c r="G208" s="28"/>
    </row>
    <row r="209" spans="1:7" ht="28.15" customHeight="1" x14ac:dyDescent="0.5">
      <c r="A209" s="62" t="s">
        <v>294</v>
      </c>
      <c r="B209" s="418"/>
      <c r="C209" s="28" t="s">
        <v>464</v>
      </c>
      <c r="D209" s="37" t="s">
        <v>18</v>
      </c>
      <c r="E209" s="28"/>
      <c r="F209" s="29" t="s">
        <v>9</v>
      </c>
      <c r="G209" s="28"/>
    </row>
    <row r="210" spans="1:7" ht="28.15" customHeight="1" x14ac:dyDescent="0.5">
      <c r="A210" s="62" t="s">
        <v>295</v>
      </c>
      <c r="B210" s="418"/>
      <c r="C210" s="40" t="s">
        <v>432</v>
      </c>
      <c r="D210" s="37" t="s">
        <v>18</v>
      </c>
      <c r="E210" s="28"/>
      <c r="F210" s="29" t="s">
        <v>9</v>
      </c>
      <c r="G210" s="28"/>
    </row>
    <row r="211" spans="1:7" ht="28.15" customHeight="1" x14ac:dyDescent="0.5">
      <c r="A211" s="62" t="s">
        <v>296</v>
      </c>
      <c r="B211" s="418"/>
      <c r="C211" s="40" t="s">
        <v>370</v>
      </c>
      <c r="D211" s="37" t="s">
        <v>18</v>
      </c>
      <c r="E211" s="28"/>
      <c r="F211" s="29" t="s">
        <v>498</v>
      </c>
      <c r="G211" s="28"/>
    </row>
    <row r="212" spans="1:7" ht="28.15" customHeight="1" x14ac:dyDescent="0.5">
      <c r="A212" s="62" t="s">
        <v>297</v>
      </c>
      <c r="B212" s="418"/>
      <c r="C212" s="40" t="s">
        <v>433</v>
      </c>
      <c r="D212" s="37" t="s">
        <v>5</v>
      </c>
      <c r="E212" s="28"/>
      <c r="F212" s="29" t="s">
        <v>498</v>
      </c>
      <c r="G212" s="28"/>
    </row>
    <row r="213" spans="1:7" ht="28.15" customHeight="1" x14ac:dyDescent="0.5">
      <c r="A213" s="62" t="s">
        <v>298</v>
      </c>
      <c r="B213" s="418"/>
      <c r="C213" s="40" t="s">
        <v>479</v>
      </c>
      <c r="D213" s="37" t="s">
        <v>18</v>
      </c>
      <c r="E213" s="28"/>
      <c r="F213" s="29" t="s">
        <v>498</v>
      </c>
      <c r="G213" s="28"/>
    </row>
    <row r="214" spans="1:7" ht="28.15" customHeight="1" x14ac:dyDescent="0.5">
      <c r="A214" s="62" t="s">
        <v>299</v>
      </c>
      <c r="B214" s="418"/>
      <c r="C214" s="40" t="s">
        <v>36</v>
      </c>
      <c r="D214" s="37" t="s">
        <v>44</v>
      </c>
      <c r="E214" s="28"/>
      <c r="F214" s="29" t="s">
        <v>498</v>
      </c>
      <c r="G214" s="18" t="s">
        <v>48</v>
      </c>
    </row>
    <row r="215" spans="1:7" ht="28.15" customHeight="1" x14ac:dyDescent="0.5">
      <c r="A215" s="62" t="s">
        <v>300</v>
      </c>
      <c r="B215" s="418"/>
      <c r="C215" s="28" t="s">
        <v>446</v>
      </c>
      <c r="D215" s="37" t="s">
        <v>5</v>
      </c>
      <c r="E215" s="28"/>
      <c r="F215" s="29" t="s">
        <v>498</v>
      </c>
      <c r="G215" s="28"/>
    </row>
    <row r="216" spans="1:7" ht="28.15" customHeight="1" x14ac:dyDescent="0.5">
      <c r="A216" s="62" t="s">
        <v>301</v>
      </c>
      <c r="B216" s="418"/>
      <c r="C216" s="40" t="s">
        <v>38</v>
      </c>
      <c r="D216" s="37" t="s">
        <v>8</v>
      </c>
      <c r="E216" s="28"/>
      <c r="F216" s="29" t="s">
        <v>498</v>
      </c>
      <c r="G216" s="28"/>
    </row>
    <row r="217" spans="1:7" ht="28.15" customHeight="1" x14ac:dyDescent="0.5">
      <c r="A217" s="62" t="s">
        <v>302</v>
      </c>
      <c r="B217" s="418"/>
      <c r="C217" s="40" t="s">
        <v>369</v>
      </c>
      <c r="D217" s="37" t="s">
        <v>8</v>
      </c>
      <c r="E217" s="28"/>
      <c r="F217" s="29" t="s">
        <v>498</v>
      </c>
      <c r="G217" s="28"/>
    </row>
    <row r="218" spans="1:7" ht="28.15" customHeight="1" x14ac:dyDescent="0.5">
      <c r="A218" s="62" t="s">
        <v>303</v>
      </c>
      <c r="B218" s="418"/>
      <c r="C218" s="40" t="s">
        <v>39</v>
      </c>
      <c r="D218" s="37" t="s">
        <v>8</v>
      </c>
      <c r="E218" s="28"/>
      <c r="F218" s="29" t="s">
        <v>498</v>
      </c>
      <c r="G218" s="28"/>
    </row>
    <row r="219" spans="1:7" ht="28.15" customHeight="1" x14ac:dyDescent="0.5">
      <c r="A219" s="62" t="s">
        <v>304</v>
      </c>
      <c r="B219" s="418"/>
      <c r="C219" s="40" t="s">
        <v>40</v>
      </c>
      <c r="D219" s="37" t="s">
        <v>18</v>
      </c>
      <c r="E219" s="28"/>
      <c r="F219" s="29" t="s">
        <v>498</v>
      </c>
      <c r="G219" s="28"/>
    </row>
    <row r="220" spans="1:7" ht="28.15" customHeight="1" x14ac:dyDescent="0.5">
      <c r="A220" s="62" t="s">
        <v>305</v>
      </c>
      <c r="B220" s="418"/>
      <c r="C220" s="40" t="s">
        <v>41</v>
      </c>
      <c r="D220" s="37" t="s">
        <v>5</v>
      </c>
      <c r="E220" s="28"/>
      <c r="F220" s="29" t="s">
        <v>498</v>
      </c>
      <c r="G220" s="28"/>
    </row>
    <row r="221" spans="1:7" ht="28.15" customHeight="1" x14ac:dyDescent="0.5">
      <c r="A221" s="62" t="s">
        <v>306</v>
      </c>
      <c r="B221" s="418"/>
      <c r="C221" s="40" t="s">
        <v>42</v>
      </c>
      <c r="D221" s="37" t="s">
        <v>18</v>
      </c>
      <c r="E221" s="28"/>
      <c r="F221" s="29" t="s">
        <v>498</v>
      </c>
      <c r="G221" s="28"/>
    </row>
    <row r="222" spans="1:7" ht="28.15" customHeight="1" x14ac:dyDescent="0.5">
      <c r="A222" s="62" t="s">
        <v>307</v>
      </c>
      <c r="B222" s="418"/>
      <c r="C222" s="28" t="s">
        <v>403</v>
      </c>
      <c r="D222" s="37" t="s">
        <v>18</v>
      </c>
      <c r="E222" s="28"/>
      <c r="F222" s="29" t="s">
        <v>498</v>
      </c>
      <c r="G222" s="28"/>
    </row>
    <row r="223" spans="1:7" ht="28.15" customHeight="1" thickBot="1" x14ac:dyDescent="0.55000000000000004">
      <c r="A223" s="62" t="s">
        <v>308</v>
      </c>
      <c r="B223" s="418"/>
      <c r="C223" s="41" t="s">
        <v>43</v>
      </c>
      <c r="D223" s="42" t="s">
        <v>18</v>
      </c>
      <c r="E223" s="28"/>
      <c r="F223" s="29" t="s">
        <v>498</v>
      </c>
      <c r="G223" s="43"/>
    </row>
    <row r="224" spans="1:7" ht="28.15" customHeight="1" thickTop="1" x14ac:dyDescent="0.5">
      <c r="A224" s="62" t="s">
        <v>309</v>
      </c>
      <c r="B224" s="417" t="s">
        <v>51</v>
      </c>
      <c r="C224" s="47" t="s">
        <v>180</v>
      </c>
      <c r="D224" s="48" t="s">
        <v>8</v>
      </c>
      <c r="E224" s="28"/>
      <c r="F224" s="29" t="s">
        <v>498</v>
      </c>
      <c r="G224" s="49"/>
    </row>
    <row r="225" spans="1:7" ht="28.15" customHeight="1" x14ac:dyDescent="0.5">
      <c r="A225" s="62" t="s">
        <v>310</v>
      </c>
      <c r="B225" s="418"/>
      <c r="C225" s="40" t="s">
        <v>434</v>
      </c>
      <c r="D225" s="37" t="s">
        <v>8</v>
      </c>
      <c r="E225" s="28"/>
      <c r="F225" s="29" t="s">
        <v>498</v>
      </c>
      <c r="G225" s="28"/>
    </row>
    <row r="226" spans="1:7" ht="28.15" customHeight="1" x14ac:dyDescent="0.5">
      <c r="A226" s="62" t="s">
        <v>311</v>
      </c>
      <c r="B226" s="418"/>
      <c r="C226" s="40" t="s">
        <v>435</v>
      </c>
      <c r="D226" s="37" t="s">
        <v>5</v>
      </c>
      <c r="E226" s="28"/>
      <c r="F226" s="29" t="s">
        <v>498</v>
      </c>
      <c r="G226" s="28"/>
    </row>
    <row r="227" spans="1:7" ht="28.15" customHeight="1" x14ac:dyDescent="0.5">
      <c r="A227" s="62" t="s">
        <v>312</v>
      </c>
      <c r="B227" s="418"/>
      <c r="C227" s="40" t="s">
        <v>362</v>
      </c>
      <c r="D227" s="37" t="s">
        <v>5</v>
      </c>
      <c r="E227" s="28"/>
      <c r="F227" s="29" t="s">
        <v>498</v>
      </c>
      <c r="G227" s="28"/>
    </row>
    <row r="228" spans="1:7" ht="28.15" customHeight="1" x14ac:dyDescent="0.5">
      <c r="A228" s="62" t="s">
        <v>313</v>
      </c>
      <c r="B228" s="418"/>
      <c r="C228" s="40" t="s">
        <v>363</v>
      </c>
      <c r="D228" s="37" t="s">
        <v>5</v>
      </c>
      <c r="E228" s="28"/>
      <c r="F228" s="29" t="s">
        <v>9</v>
      </c>
      <c r="G228" s="28"/>
    </row>
    <row r="229" spans="1:7" ht="28.15" customHeight="1" x14ac:dyDescent="0.5">
      <c r="A229" s="62" t="s">
        <v>314</v>
      </c>
      <c r="B229" s="418"/>
      <c r="C229" s="28" t="s">
        <v>453</v>
      </c>
      <c r="D229" s="37" t="s">
        <v>8</v>
      </c>
      <c r="E229" s="28"/>
      <c r="F229" s="29" t="s">
        <v>9</v>
      </c>
      <c r="G229" s="28"/>
    </row>
    <row r="230" spans="1:7" ht="28.15" customHeight="1" x14ac:dyDescent="0.5">
      <c r="A230" s="62" t="s">
        <v>315</v>
      </c>
      <c r="B230" s="418"/>
      <c r="C230" s="28" t="s">
        <v>396</v>
      </c>
      <c r="D230" s="37" t="s">
        <v>18</v>
      </c>
      <c r="E230" s="28"/>
      <c r="F230" s="29" t="s">
        <v>498</v>
      </c>
      <c r="G230" s="28"/>
    </row>
    <row r="231" spans="1:7" ht="28.15" customHeight="1" x14ac:dyDescent="0.5">
      <c r="A231" s="62" t="s">
        <v>316</v>
      </c>
      <c r="B231" s="418"/>
      <c r="C231" s="40" t="s">
        <v>436</v>
      </c>
      <c r="D231" s="37" t="s">
        <v>8</v>
      </c>
      <c r="E231" s="28"/>
      <c r="F231" s="29" t="s">
        <v>498</v>
      </c>
      <c r="G231" s="28"/>
    </row>
    <row r="232" spans="1:7" ht="28.15" customHeight="1" x14ac:dyDescent="0.5">
      <c r="A232" s="62" t="s">
        <v>317</v>
      </c>
      <c r="B232" s="418"/>
      <c r="C232" s="40" t="s">
        <v>437</v>
      </c>
      <c r="D232" s="37" t="s">
        <v>18</v>
      </c>
      <c r="E232" s="28"/>
      <c r="F232" s="29" t="s">
        <v>498</v>
      </c>
      <c r="G232" s="28"/>
    </row>
    <row r="233" spans="1:7" ht="28.15" customHeight="1" x14ac:dyDescent="0.5">
      <c r="A233" s="62" t="s">
        <v>318</v>
      </c>
      <c r="B233" s="418"/>
      <c r="C233" s="40" t="s">
        <v>45</v>
      </c>
      <c r="D233" s="37" t="s">
        <v>5</v>
      </c>
      <c r="E233" s="28"/>
      <c r="F233" s="29" t="s">
        <v>9</v>
      </c>
      <c r="G233" s="28"/>
    </row>
    <row r="234" spans="1:7" ht="28.15" customHeight="1" x14ac:dyDescent="0.5">
      <c r="A234" s="62" t="s">
        <v>319</v>
      </c>
      <c r="B234" s="418"/>
      <c r="C234" s="28" t="s">
        <v>478</v>
      </c>
      <c r="D234" s="37" t="s">
        <v>8</v>
      </c>
      <c r="E234" s="28"/>
      <c r="F234" s="29" t="s">
        <v>9</v>
      </c>
      <c r="G234" s="28"/>
    </row>
    <row r="235" spans="1:7" ht="28.15" customHeight="1" x14ac:dyDescent="0.5">
      <c r="A235" s="62" t="s">
        <v>320</v>
      </c>
      <c r="B235" s="418"/>
      <c r="C235" s="40" t="s">
        <v>371</v>
      </c>
      <c r="D235" s="37" t="s">
        <v>18</v>
      </c>
      <c r="E235" s="28"/>
      <c r="F235" s="29" t="s">
        <v>498</v>
      </c>
      <c r="G235" s="28"/>
    </row>
    <row r="236" spans="1:7" ht="28.15" customHeight="1" x14ac:dyDescent="0.5">
      <c r="A236" s="62" t="s">
        <v>321</v>
      </c>
      <c r="B236" s="418"/>
      <c r="C236" s="40" t="s">
        <v>372</v>
      </c>
      <c r="D236" s="37" t="s">
        <v>18</v>
      </c>
      <c r="E236" s="28"/>
      <c r="F236" s="29" t="s">
        <v>498</v>
      </c>
      <c r="G236" s="28"/>
    </row>
    <row r="237" spans="1:7" ht="28.15" customHeight="1" x14ac:dyDescent="0.5">
      <c r="A237" s="62" t="s">
        <v>322</v>
      </c>
      <c r="B237" s="418"/>
      <c r="C237" s="40" t="s">
        <v>46</v>
      </c>
      <c r="D237" s="37" t="s">
        <v>5</v>
      </c>
      <c r="E237" s="28"/>
      <c r="F237" s="29" t="s">
        <v>9</v>
      </c>
      <c r="G237" s="28"/>
    </row>
    <row r="238" spans="1:7" ht="28.15" customHeight="1" x14ac:dyDescent="0.5">
      <c r="A238" s="62" t="s">
        <v>323</v>
      </c>
      <c r="B238" s="418"/>
      <c r="C238" s="40" t="s">
        <v>47</v>
      </c>
      <c r="D238" s="37" t="s">
        <v>5</v>
      </c>
      <c r="E238" s="28"/>
      <c r="F238" s="29" t="s">
        <v>9</v>
      </c>
      <c r="G238" s="28"/>
    </row>
    <row r="239" spans="1:7" ht="28.15" customHeight="1" x14ac:dyDescent="0.5">
      <c r="A239" s="62" t="s">
        <v>324</v>
      </c>
      <c r="B239" s="418"/>
      <c r="C239" s="28" t="s">
        <v>406</v>
      </c>
      <c r="D239" s="37" t="s">
        <v>5</v>
      </c>
      <c r="E239" s="28"/>
      <c r="F239" s="29" t="s">
        <v>9</v>
      </c>
      <c r="G239" s="28"/>
    </row>
    <row r="240" spans="1:7" ht="28.15" customHeight="1" thickBot="1" x14ac:dyDescent="0.55000000000000004">
      <c r="A240" s="62" t="s">
        <v>398</v>
      </c>
      <c r="B240" s="419"/>
      <c r="C240" s="28" t="s">
        <v>397</v>
      </c>
      <c r="D240" s="37" t="s">
        <v>5</v>
      </c>
      <c r="E240" s="28"/>
      <c r="F240" s="29" t="s">
        <v>498</v>
      </c>
      <c r="G240" s="28"/>
    </row>
    <row r="241" spans="1:16384" ht="28.15" customHeight="1" x14ac:dyDescent="0.5">
      <c r="A241" s="64"/>
      <c r="B241" s="50"/>
      <c r="C241" s="51"/>
      <c r="D241" s="52"/>
      <c r="E241" s="28"/>
      <c r="F241" s="54"/>
      <c r="G241" s="53"/>
    </row>
    <row r="242" spans="1:16384" ht="28.15" customHeight="1" x14ac:dyDescent="0.5">
      <c r="A242" s="61">
        <v>16</v>
      </c>
      <c r="B242" s="66" t="s">
        <v>124</v>
      </c>
      <c r="C242" s="23"/>
      <c r="D242" s="23"/>
      <c r="E242" s="28"/>
      <c r="F242" s="25"/>
      <c r="G242" s="24"/>
    </row>
    <row r="243" spans="1:16384" ht="28.15" customHeight="1" x14ac:dyDescent="0.5">
      <c r="A243" s="62" t="s">
        <v>149</v>
      </c>
      <c r="B243" s="13"/>
      <c r="C243" s="46" t="s">
        <v>125</v>
      </c>
      <c r="D243" s="37" t="s">
        <v>5</v>
      </c>
      <c r="E243" s="28"/>
      <c r="F243" s="29" t="s">
        <v>500</v>
      </c>
      <c r="G243" s="46"/>
    </row>
    <row r="244" spans="1:16384" ht="28.15" customHeight="1" x14ac:dyDescent="0.5">
      <c r="A244" s="62" t="s">
        <v>150</v>
      </c>
      <c r="B244" s="13"/>
      <c r="C244" s="46" t="s">
        <v>126</v>
      </c>
      <c r="D244" s="37" t="s">
        <v>8</v>
      </c>
      <c r="E244" s="28"/>
      <c r="F244" s="29" t="s">
        <v>500</v>
      </c>
      <c r="G244" s="46"/>
    </row>
    <row r="245" spans="1:16384" ht="28.15" customHeight="1" x14ac:dyDescent="0.5">
      <c r="A245" s="62" t="s">
        <v>151</v>
      </c>
      <c r="B245" s="13"/>
      <c r="C245" s="46" t="s">
        <v>127</v>
      </c>
      <c r="D245" s="37" t="s">
        <v>18</v>
      </c>
      <c r="E245" s="28"/>
      <c r="F245" s="29" t="s">
        <v>500</v>
      </c>
      <c r="G245" s="46"/>
    </row>
    <row r="246" spans="1:16384" ht="28.15" customHeight="1" x14ac:dyDescent="0.5">
      <c r="A246" s="62" t="s">
        <v>152</v>
      </c>
      <c r="B246" s="13"/>
      <c r="C246" s="46" t="s">
        <v>373</v>
      </c>
      <c r="D246" s="37" t="s">
        <v>8</v>
      </c>
      <c r="E246" s="28"/>
      <c r="F246" s="29" t="s">
        <v>498</v>
      </c>
      <c r="G246" s="46"/>
    </row>
    <row r="247" spans="1:16384" ht="28.15" customHeight="1" x14ac:dyDescent="0.5">
      <c r="A247" s="62" t="s">
        <v>153</v>
      </c>
      <c r="B247" s="13"/>
      <c r="C247" s="46" t="s">
        <v>438</v>
      </c>
      <c r="D247" s="37" t="s">
        <v>8</v>
      </c>
      <c r="E247" s="28"/>
      <c r="F247" s="29" t="s">
        <v>498</v>
      </c>
      <c r="G247" s="46"/>
    </row>
    <row r="248" spans="1:16384" ht="28.15" customHeight="1" x14ac:dyDescent="0.5">
      <c r="A248" s="64"/>
      <c r="B248" s="50"/>
      <c r="C248" s="51"/>
      <c r="D248" s="52"/>
      <c r="E248" s="28"/>
      <c r="F248" s="54"/>
      <c r="G248" s="53"/>
      <c r="H248" s="6"/>
      <c r="I248" s="7"/>
      <c r="J248" s="8"/>
      <c r="K248" s="9"/>
      <c r="L248" s="10"/>
      <c r="M248" s="11"/>
      <c r="N248" s="10"/>
      <c r="O248" s="6"/>
      <c r="P248" s="7"/>
      <c r="Q248" s="8"/>
      <c r="R248" s="9"/>
      <c r="S248" s="10"/>
      <c r="T248" s="11"/>
      <c r="U248" s="10"/>
      <c r="V248" s="6"/>
      <c r="W248" s="7"/>
      <c r="X248" s="8"/>
      <c r="Y248" s="9"/>
      <c r="Z248" s="10"/>
      <c r="AA248" s="11"/>
      <c r="AB248" s="10"/>
      <c r="AC248" s="6"/>
      <c r="AD248" s="7"/>
      <c r="AE248" s="8"/>
      <c r="AF248" s="9"/>
      <c r="AG248" s="10"/>
      <c r="AH248" s="11"/>
      <c r="AI248" s="10"/>
      <c r="AJ248" s="6"/>
      <c r="AK248" s="7"/>
      <c r="AL248" s="8"/>
      <c r="AM248" s="9"/>
      <c r="AN248" s="10"/>
      <c r="AO248" s="11"/>
      <c r="AP248" s="10"/>
      <c r="AQ248" s="6"/>
      <c r="AR248" s="7"/>
      <c r="AS248" s="8"/>
      <c r="AT248" s="9"/>
      <c r="AU248" s="10"/>
      <c r="AV248" s="11"/>
      <c r="AW248" s="10"/>
      <c r="AX248" s="6"/>
      <c r="AY248" s="7"/>
      <c r="AZ248" s="8"/>
      <c r="BA248" s="9"/>
      <c r="BB248" s="10"/>
      <c r="BC248" s="11"/>
      <c r="BD248" s="10"/>
      <c r="BE248" s="6"/>
      <c r="BF248" s="7"/>
      <c r="BG248" s="8"/>
      <c r="BH248" s="9"/>
      <c r="BI248" s="10"/>
      <c r="BJ248" s="11"/>
      <c r="BK248" s="10"/>
      <c r="BL248" s="6"/>
      <c r="BM248" s="7"/>
      <c r="BN248" s="8"/>
      <c r="BO248" s="9"/>
      <c r="BP248" s="10"/>
      <c r="BQ248" s="11"/>
      <c r="BR248" s="10"/>
      <c r="BS248" s="6"/>
      <c r="BT248" s="7"/>
      <c r="BU248" s="8"/>
      <c r="BV248" s="9"/>
      <c r="BW248" s="10"/>
      <c r="BX248" s="11"/>
      <c r="BY248" s="10"/>
      <c r="BZ248" s="6"/>
      <c r="CA248" s="7"/>
      <c r="CB248" s="8"/>
      <c r="CC248" s="9"/>
      <c r="CD248" s="10"/>
      <c r="CE248" s="11"/>
      <c r="CF248" s="10"/>
      <c r="CG248" s="6"/>
      <c r="CH248" s="7"/>
      <c r="CI248" s="8"/>
      <c r="CJ248" s="9"/>
      <c r="CK248" s="10"/>
      <c r="CL248" s="11"/>
      <c r="CM248" s="10"/>
      <c r="CN248" s="6"/>
      <c r="CO248" s="7"/>
      <c r="CP248" s="8"/>
      <c r="CQ248" s="9"/>
      <c r="CR248" s="10"/>
      <c r="CS248" s="11"/>
      <c r="CT248" s="10"/>
      <c r="CU248" s="6"/>
      <c r="CV248" s="7"/>
      <c r="CW248" s="8"/>
      <c r="CX248" s="9"/>
      <c r="CY248" s="10"/>
      <c r="CZ248" s="11"/>
      <c r="DA248" s="10"/>
      <c r="DB248" s="6"/>
      <c r="DC248" s="7"/>
      <c r="DD248" s="8"/>
      <c r="DE248" s="9"/>
      <c r="DF248" s="10"/>
      <c r="DG248" s="11"/>
      <c r="DH248" s="10"/>
      <c r="DI248" s="6"/>
      <c r="DJ248" s="7"/>
      <c r="DK248" s="8"/>
      <c r="DL248" s="9"/>
      <c r="DM248" s="10"/>
      <c r="DN248" s="11"/>
      <c r="DO248" s="10"/>
      <c r="DP248" s="6"/>
      <c r="DQ248" s="7"/>
      <c r="DR248" s="8"/>
      <c r="DS248" s="9"/>
      <c r="DT248" s="10"/>
      <c r="DU248" s="11"/>
      <c r="DV248" s="10"/>
      <c r="DW248" s="6"/>
      <c r="DX248" s="7"/>
      <c r="DY248" s="8"/>
      <c r="DZ248" s="9"/>
      <c r="EA248" s="10"/>
      <c r="EB248" s="11"/>
      <c r="EC248" s="10"/>
      <c r="ED248" s="6"/>
      <c r="EE248" s="7"/>
      <c r="EF248" s="8"/>
      <c r="EG248" s="9"/>
      <c r="EH248" s="10"/>
      <c r="EI248" s="11"/>
      <c r="EJ248" s="10"/>
      <c r="EK248" s="6"/>
      <c r="EL248" s="7"/>
      <c r="EM248" s="8"/>
      <c r="EN248" s="9"/>
      <c r="EO248" s="10"/>
      <c r="EP248" s="11"/>
      <c r="EQ248" s="10"/>
      <c r="ER248" s="6"/>
      <c r="ES248" s="7"/>
      <c r="ET248" s="8"/>
      <c r="EU248" s="9"/>
      <c r="EV248" s="10"/>
      <c r="EW248" s="11"/>
      <c r="EX248" s="10"/>
      <c r="EY248" s="6"/>
      <c r="EZ248" s="7"/>
      <c r="FA248" s="8"/>
      <c r="FB248" s="9"/>
      <c r="FC248" s="10"/>
      <c r="FD248" s="11"/>
      <c r="FE248" s="10"/>
      <c r="FF248" s="6"/>
      <c r="FG248" s="7"/>
      <c r="FH248" s="8"/>
      <c r="FI248" s="9"/>
      <c r="FJ248" s="10"/>
      <c r="FK248" s="11"/>
      <c r="FL248" s="10"/>
      <c r="FM248" s="6"/>
      <c r="FN248" s="7"/>
      <c r="FO248" s="8"/>
      <c r="FP248" s="9"/>
      <c r="FQ248" s="10"/>
      <c r="FR248" s="11"/>
      <c r="FS248" s="10"/>
      <c r="FT248" s="6"/>
      <c r="FU248" s="7"/>
      <c r="FV248" s="8"/>
      <c r="FW248" s="9"/>
      <c r="FX248" s="10"/>
      <c r="FY248" s="11"/>
      <c r="FZ248" s="10"/>
      <c r="GA248" s="6"/>
      <c r="GB248" s="7"/>
      <c r="GC248" s="8"/>
      <c r="GD248" s="9"/>
      <c r="GE248" s="10"/>
      <c r="GF248" s="11"/>
      <c r="GG248" s="10"/>
      <c r="GH248" s="6"/>
      <c r="GI248" s="7"/>
      <c r="GJ248" s="8"/>
      <c r="GK248" s="9"/>
      <c r="GL248" s="10"/>
      <c r="GM248" s="11"/>
      <c r="GN248" s="10"/>
      <c r="GO248" s="6"/>
      <c r="GP248" s="7"/>
      <c r="GQ248" s="8"/>
      <c r="GR248" s="9"/>
      <c r="GS248" s="10"/>
      <c r="GT248" s="11"/>
      <c r="GU248" s="10"/>
      <c r="GV248" s="6"/>
      <c r="GW248" s="7"/>
      <c r="GX248" s="8"/>
      <c r="GY248" s="9"/>
      <c r="GZ248" s="10"/>
      <c r="HA248" s="11"/>
      <c r="HB248" s="10"/>
      <c r="HC248" s="6"/>
      <c r="HD248" s="7"/>
      <c r="HE248" s="8"/>
      <c r="HF248" s="9"/>
      <c r="HG248" s="10"/>
      <c r="HH248" s="11"/>
      <c r="HI248" s="10"/>
      <c r="HJ248" s="6"/>
      <c r="HK248" s="7"/>
      <c r="HL248" s="8"/>
      <c r="HM248" s="9"/>
      <c r="HN248" s="10"/>
      <c r="HO248" s="11"/>
      <c r="HP248" s="10"/>
      <c r="HQ248" s="6"/>
      <c r="HR248" s="7"/>
      <c r="HS248" s="8"/>
      <c r="HT248" s="9"/>
      <c r="HU248" s="10"/>
      <c r="HV248" s="11"/>
      <c r="HW248" s="10"/>
      <c r="HX248" s="6"/>
      <c r="HY248" s="7"/>
      <c r="HZ248" s="8"/>
      <c r="IA248" s="9"/>
      <c r="IB248" s="10"/>
      <c r="IC248" s="11"/>
      <c r="ID248" s="10"/>
      <c r="IE248" s="6"/>
      <c r="IF248" s="7"/>
      <c r="IG248" s="8"/>
      <c r="IH248" s="9"/>
      <c r="II248" s="10"/>
      <c r="IJ248" s="11"/>
      <c r="IK248" s="10"/>
      <c r="IL248" s="6"/>
      <c r="IM248" s="7"/>
      <c r="IN248" s="8"/>
      <c r="IO248" s="9"/>
      <c r="IP248" s="10"/>
      <c r="IQ248" s="11"/>
      <c r="IR248" s="10"/>
      <c r="IS248" s="6"/>
      <c r="IT248" s="7"/>
      <c r="IU248" s="8"/>
      <c r="IV248" s="9"/>
      <c r="IW248" s="10"/>
      <c r="IX248" s="11"/>
      <c r="IY248" s="10"/>
      <c r="IZ248" s="6"/>
      <c r="JA248" s="7"/>
      <c r="JB248" s="8"/>
      <c r="JC248" s="9"/>
      <c r="JD248" s="10"/>
      <c r="JE248" s="11"/>
      <c r="JF248" s="10"/>
      <c r="JG248" s="6"/>
      <c r="JH248" s="7"/>
      <c r="JI248" s="8"/>
      <c r="JJ248" s="9"/>
      <c r="JK248" s="10"/>
      <c r="JL248" s="11"/>
      <c r="JM248" s="10"/>
      <c r="JN248" s="6"/>
      <c r="JO248" s="7"/>
      <c r="JP248" s="8"/>
      <c r="JQ248" s="9"/>
      <c r="JR248" s="10"/>
      <c r="JS248" s="11"/>
      <c r="JT248" s="10"/>
      <c r="JU248" s="6"/>
      <c r="JV248" s="7"/>
      <c r="JW248" s="8"/>
      <c r="JX248" s="9"/>
      <c r="JY248" s="10"/>
      <c r="JZ248" s="11"/>
      <c r="KA248" s="10"/>
      <c r="KB248" s="6"/>
      <c r="KC248" s="7"/>
      <c r="KD248" s="8"/>
      <c r="KE248" s="9"/>
      <c r="KF248" s="10"/>
      <c r="KG248" s="11"/>
      <c r="KH248" s="10"/>
      <c r="KI248" s="6"/>
      <c r="KJ248" s="7"/>
      <c r="KK248" s="8"/>
      <c r="KL248" s="9"/>
      <c r="KM248" s="10"/>
      <c r="KN248" s="11"/>
      <c r="KO248" s="10"/>
      <c r="KP248" s="6"/>
      <c r="KQ248" s="7"/>
      <c r="KR248" s="8"/>
      <c r="KS248" s="9"/>
      <c r="KT248" s="10"/>
      <c r="KU248" s="11"/>
      <c r="KV248" s="10"/>
      <c r="KW248" s="6"/>
      <c r="KX248" s="7"/>
      <c r="KY248" s="8"/>
      <c r="KZ248" s="9"/>
      <c r="LA248" s="10"/>
      <c r="LB248" s="11"/>
      <c r="LC248" s="10"/>
      <c r="LD248" s="6"/>
      <c r="LE248" s="7"/>
      <c r="LF248" s="8"/>
      <c r="LG248" s="9"/>
      <c r="LH248" s="10"/>
      <c r="LI248" s="11"/>
      <c r="LJ248" s="10"/>
      <c r="LK248" s="6"/>
      <c r="LL248" s="7"/>
      <c r="LM248" s="8"/>
      <c r="LN248" s="9"/>
      <c r="LO248" s="10"/>
      <c r="LP248" s="11"/>
      <c r="LQ248" s="10"/>
      <c r="LR248" s="6"/>
      <c r="LS248" s="7"/>
      <c r="LT248" s="8"/>
      <c r="LU248" s="9"/>
      <c r="LV248" s="10"/>
      <c r="LW248" s="11"/>
      <c r="LX248" s="10"/>
      <c r="LY248" s="6"/>
      <c r="LZ248" s="7"/>
      <c r="MA248" s="8"/>
      <c r="MB248" s="9"/>
      <c r="MC248" s="10"/>
      <c r="MD248" s="11"/>
      <c r="ME248" s="10"/>
      <c r="MF248" s="6"/>
      <c r="MG248" s="7"/>
      <c r="MH248" s="8"/>
      <c r="MI248" s="9"/>
      <c r="MJ248" s="10"/>
      <c r="MK248" s="11"/>
      <c r="ML248" s="10"/>
      <c r="MM248" s="6"/>
      <c r="MN248" s="7"/>
      <c r="MO248" s="8"/>
      <c r="MP248" s="9"/>
      <c r="MQ248" s="10"/>
      <c r="MR248" s="11"/>
      <c r="MS248" s="10"/>
      <c r="MT248" s="6"/>
      <c r="MU248" s="7"/>
      <c r="MV248" s="8"/>
      <c r="MW248" s="9"/>
      <c r="MX248" s="10"/>
      <c r="MY248" s="11"/>
      <c r="MZ248" s="10"/>
      <c r="NA248" s="6"/>
      <c r="NB248" s="7"/>
      <c r="NC248" s="8"/>
      <c r="ND248" s="9"/>
      <c r="NE248" s="10"/>
      <c r="NF248" s="11"/>
      <c r="NG248" s="10"/>
      <c r="NH248" s="6"/>
      <c r="NI248" s="7"/>
      <c r="NJ248" s="8"/>
      <c r="NK248" s="9"/>
      <c r="NL248" s="10"/>
      <c r="NM248" s="11"/>
      <c r="NN248" s="10"/>
      <c r="NO248" s="6"/>
      <c r="NP248" s="7"/>
      <c r="NQ248" s="8"/>
      <c r="NR248" s="9"/>
      <c r="NS248" s="10"/>
      <c r="NT248" s="11"/>
      <c r="NU248" s="10"/>
      <c r="NV248" s="6"/>
      <c r="NW248" s="7"/>
      <c r="NX248" s="8"/>
      <c r="NY248" s="9"/>
      <c r="NZ248" s="10"/>
      <c r="OA248" s="11"/>
      <c r="OB248" s="10"/>
      <c r="OC248" s="6"/>
      <c r="OD248" s="7"/>
      <c r="OE248" s="8"/>
      <c r="OF248" s="9"/>
      <c r="OG248" s="10"/>
      <c r="OH248" s="11"/>
      <c r="OI248" s="10"/>
      <c r="OJ248" s="6"/>
      <c r="OK248" s="7"/>
      <c r="OL248" s="8"/>
      <c r="OM248" s="9"/>
      <c r="ON248" s="10"/>
      <c r="OO248" s="11"/>
      <c r="OP248" s="10"/>
      <c r="OQ248" s="6"/>
      <c r="OR248" s="7"/>
      <c r="OS248" s="8"/>
      <c r="OT248" s="9"/>
      <c r="OU248" s="10"/>
      <c r="OV248" s="11"/>
      <c r="OW248" s="10"/>
      <c r="OX248" s="6"/>
      <c r="OY248" s="7"/>
      <c r="OZ248" s="8"/>
      <c r="PA248" s="9"/>
      <c r="PB248" s="10"/>
      <c r="PC248" s="11"/>
      <c r="PD248" s="10"/>
      <c r="PE248" s="6"/>
      <c r="PF248" s="7"/>
      <c r="PG248" s="8"/>
      <c r="PH248" s="9"/>
      <c r="PI248" s="10"/>
      <c r="PJ248" s="11"/>
      <c r="PK248" s="10"/>
      <c r="PL248" s="6"/>
      <c r="PM248" s="7"/>
      <c r="PN248" s="8"/>
      <c r="PO248" s="9"/>
      <c r="PP248" s="10"/>
      <c r="PQ248" s="11"/>
      <c r="PR248" s="10"/>
      <c r="PS248" s="6"/>
      <c r="PT248" s="7"/>
      <c r="PU248" s="8"/>
      <c r="PV248" s="9"/>
      <c r="PW248" s="10"/>
      <c r="PX248" s="11"/>
      <c r="PY248" s="10"/>
      <c r="PZ248" s="6"/>
      <c r="QA248" s="7"/>
      <c r="QB248" s="8"/>
      <c r="QC248" s="9"/>
      <c r="QD248" s="10"/>
      <c r="QE248" s="11"/>
      <c r="QF248" s="10"/>
      <c r="QG248" s="6"/>
      <c r="QH248" s="7"/>
      <c r="QI248" s="8"/>
      <c r="QJ248" s="9"/>
      <c r="QK248" s="10"/>
      <c r="QL248" s="11"/>
      <c r="QM248" s="10"/>
      <c r="QN248" s="6"/>
      <c r="QO248" s="7"/>
      <c r="QP248" s="8"/>
      <c r="QQ248" s="9"/>
      <c r="QR248" s="10"/>
      <c r="QS248" s="11"/>
      <c r="QT248" s="10"/>
      <c r="QU248" s="6"/>
      <c r="QV248" s="7"/>
      <c r="QW248" s="8"/>
      <c r="QX248" s="9"/>
      <c r="QY248" s="10"/>
      <c r="QZ248" s="11"/>
      <c r="RA248" s="10"/>
      <c r="RB248" s="6"/>
      <c r="RC248" s="7"/>
      <c r="RD248" s="8"/>
      <c r="RE248" s="9"/>
      <c r="RF248" s="10"/>
      <c r="RG248" s="11"/>
      <c r="RH248" s="10"/>
      <c r="RI248" s="6"/>
      <c r="RJ248" s="7"/>
      <c r="RK248" s="8"/>
      <c r="RL248" s="9"/>
      <c r="RM248" s="10"/>
      <c r="RN248" s="11"/>
      <c r="RO248" s="10"/>
      <c r="RP248" s="6"/>
      <c r="RQ248" s="7"/>
      <c r="RR248" s="8"/>
      <c r="RS248" s="9"/>
      <c r="RT248" s="10"/>
      <c r="RU248" s="11"/>
      <c r="RV248" s="10"/>
      <c r="RW248" s="6"/>
      <c r="RX248" s="7"/>
      <c r="RY248" s="8"/>
      <c r="RZ248" s="9"/>
      <c r="SA248" s="10"/>
      <c r="SB248" s="11"/>
      <c r="SC248" s="10"/>
      <c r="SD248" s="6"/>
      <c r="SE248" s="7"/>
      <c r="SF248" s="8"/>
      <c r="SG248" s="9"/>
      <c r="SH248" s="10"/>
      <c r="SI248" s="11"/>
      <c r="SJ248" s="10"/>
      <c r="SK248" s="6"/>
      <c r="SL248" s="7"/>
      <c r="SM248" s="8"/>
      <c r="SN248" s="9"/>
      <c r="SO248" s="10"/>
      <c r="SP248" s="11"/>
      <c r="SQ248" s="10"/>
      <c r="SR248" s="6"/>
      <c r="SS248" s="7"/>
      <c r="ST248" s="8"/>
      <c r="SU248" s="9"/>
      <c r="SV248" s="10"/>
      <c r="SW248" s="11"/>
      <c r="SX248" s="10"/>
      <c r="SY248" s="6"/>
      <c r="SZ248" s="7"/>
      <c r="TA248" s="8"/>
      <c r="TB248" s="9"/>
      <c r="TC248" s="10"/>
      <c r="TD248" s="11"/>
      <c r="TE248" s="10"/>
      <c r="TF248" s="6"/>
      <c r="TG248" s="7"/>
      <c r="TH248" s="8"/>
      <c r="TI248" s="9"/>
      <c r="TJ248" s="10"/>
      <c r="TK248" s="11"/>
      <c r="TL248" s="10"/>
      <c r="TM248" s="6"/>
      <c r="TN248" s="7"/>
      <c r="TO248" s="8"/>
      <c r="TP248" s="9"/>
      <c r="TQ248" s="10"/>
      <c r="TR248" s="11"/>
      <c r="TS248" s="10"/>
      <c r="TT248" s="6"/>
      <c r="TU248" s="7"/>
      <c r="TV248" s="8"/>
      <c r="TW248" s="9"/>
      <c r="TX248" s="10"/>
      <c r="TY248" s="11"/>
      <c r="TZ248" s="10"/>
      <c r="UA248" s="6"/>
      <c r="UB248" s="7"/>
      <c r="UC248" s="8"/>
      <c r="UD248" s="9"/>
      <c r="UE248" s="10"/>
      <c r="UF248" s="11"/>
      <c r="UG248" s="10"/>
      <c r="UH248" s="6"/>
      <c r="UI248" s="7"/>
      <c r="UJ248" s="8"/>
      <c r="UK248" s="9"/>
      <c r="UL248" s="10"/>
      <c r="UM248" s="11"/>
      <c r="UN248" s="10"/>
      <c r="UO248" s="6"/>
      <c r="UP248" s="7"/>
      <c r="UQ248" s="8"/>
      <c r="UR248" s="9"/>
      <c r="US248" s="10"/>
      <c r="UT248" s="11"/>
      <c r="UU248" s="10"/>
      <c r="UV248" s="6"/>
      <c r="UW248" s="7"/>
      <c r="UX248" s="8"/>
      <c r="UY248" s="9"/>
      <c r="UZ248" s="10"/>
      <c r="VA248" s="11"/>
      <c r="VB248" s="10"/>
      <c r="VC248" s="6"/>
      <c r="VD248" s="7"/>
      <c r="VE248" s="8"/>
      <c r="VF248" s="9"/>
      <c r="VG248" s="10"/>
      <c r="VH248" s="11"/>
      <c r="VI248" s="10"/>
      <c r="VJ248" s="6"/>
      <c r="VK248" s="7"/>
      <c r="VL248" s="8"/>
      <c r="VM248" s="9"/>
      <c r="VN248" s="10"/>
      <c r="VO248" s="11"/>
      <c r="VP248" s="10"/>
      <c r="VQ248" s="6"/>
      <c r="VR248" s="7"/>
      <c r="VS248" s="8"/>
      <c r="VT248" s="9"/>
      <c r="VU248" s="10"/>
      <c r="VV248" s="11"/>
      <c r="VW248" s="10"/>
      <c r="VX248" s="6"/>
      <c r="VY248" s="7"/>
      <c r="VZ248" s="8"/>
      <c r="WA248" s="9"/>
      <c r="WB248" s="10"/>
      <c r="WC248" s="11"/>
      <c r="WD248" s="10"/>
      <c r="WE248" s="6"/>
      <c r="WF248" s="7"/>
      <c r="WG248" s="8"/>
      <c r="WH248" s="9"/>
      <c r="WI248" s="10"/>
      <c r="WJ248" s="11"/>
      <c r="WK248" s="10"/>
      <c r="WL248" s="6"/>
      <c r="WM248" s="7"/>
      <c r="WN248" s="8"/>
      <c r="WO248" s="9"/>
      <c r="WP248" s="10"/>
      <c r="WQ248" s="11"/>
      <c r="WR248" s="10"/>
      <c r="WS248" s="6"/>
      <c r="WT248" s="7"/>
      <c r="WU248" s="8"/>
      <c r="WV248" s="9"/>
      <c r="WW248" s="10"/>
      <c r="WX248" s="11"/>
      <c r="WY248" s="10"/>
      <c r="WZ248" s="6"/>
      <c r="XA248" s="7"/>
      <c r="XB248" s="8"/>
      <c r="XC248" s="9"/>
      <c r="XD248" s="10"/>
      <c r="XE248" s="11"/>
      <c r="XF248" s="10"/>
      <c r="XG248" s="6"/>
      <c r="XH248" s="7"/>
      <c r="XI248" s="8"/>
      <c r="XJ248" s="9"/>
      <c r="XK248" s="10"/>
      <c r="XL248" s="11"/>
      <c r="XM248" s="10"/>
      <c r="XN248" s="6"/>
      <c r="XO248" s="7"/>
      <c r="XP248" s="8"/>
      <c r="XQ248" s="9"/>
      <c r="XR248" s="10"/>
      <c r="XS248" s="11"/>
      <c r="XT248" s="10"/>
      <c r="XU248" s="6"/>
      <c r="XV248" s="7"/>
      <c r="XW248" s="8"/>
      <c r="XX248" s="9"/>
      <c r="XY248" s="10"/>
      <c r="XZ248" s="11"/>
      <c r="YA248" s="10"/>
      <c r="YB248" s="6"/>
      <c r="YC248" s="7"/>
      <c r="YD248" s="8"/>
      <c r="YE248" s="9"/>
      <c r="YF248" s="10"/>
      <c r="YG248" s="11"/>
      <c r="YH248" s="10"/>
      <c r="YI248" s="6"/>
      <c r="YJ248" s="7"/>
      <c r="YK248" s="8"/>
      <c r="YL248" s="9"/>
      <c r="YM248" s="10"/>
      <c r="YN248" s="11"/>
      <c r="YO248" s="10"/>
      <c r="YP248" s="6"/>
      <c r="YQ248" s="7"/>
      <c r="YR248" s="8"/>
      <c r="YS248" s="9"/>
      <c r="YT248" s="10"/>
      <c r="YU248" s="11"/>
      <c r="YV248" s="10"/>
      <c r="YW248" s="6"/>
      <c r="YX248" s="7"/>
      <c r="YY248" s="8"/>
      <c r="YZ248" s="9"/>
      <c r="ZA248" s="10"/>
      <c r="ZB248" s="11"/>
      <c r="ZC248" s="10"/>
      <c r="ZD248" s="6"/>
      <c r="ZE248" s="7"/>
      <c r="ZF248" s="8"/>
      <c r="ZG248" s="9"/>
      <c r="ZH248" s="10"/>
      <c r="ZI248" s="11"/>
      <c r="ZJ248" s="10"/>
      <c r="ZK248" s="6"/>
      <c r="ZL248" s="7"/>
      <c r="ZM248" s="8"/>
      <c r="ZN248" s="9"/>
      <c r="ZO248" s="10"/>
      <c r="ZP248" s="11"/>
      <c r="ZQ248" s="10"/>
      <c r="ZR248" s="6"/>
      <c r="ZS248" s="7"/>
      <c r="ZT248" s="8"/>
      <c r="ZU248" s="9"/>
      <c r="ZV248" s="10"/>
      <c r="ZW248" s="11"/>
      <c r="ZX248" s="10"/>
      <c r="ZY248" s="6"/>
      <c r="ZZ248" s="7"/>
      <c r="AAA248" s="8"/>
      <c r="AAB248" s="9"/>
      <c r="AAC248" s="10"/>
      <c r="AAD248" s="11"/>
      <c r="AAE248" s="10"/>
      <c r="AAF248" s="6"/>
      <c r="AAG248" s="7"/>
      <c r="AAH248" s="8"/>
      <c r="AAI248" s="9"/>
      <c r="AAJ248" s="10"/>
      <c r="AAK248" s="11"/>
      <c r="AAL248" s="10"/>
      <c r="AAM248" s="6"/>
      <c r="AAN248" s="7"/>
      <c r="AAO248" s="8"/>
      <c r="AAP248" s="9"/>
      <c r="AAQ248" s="10"/>
      <c r="AAR248" s="11"/>
      <c r="AAS248" s="10"/>
      <c r="AAT248" s="6"/>
      <c r="AAU248" s="7"/>
      <c r="AAV248" s="8"/>
      <c r="AAW248" s="9"/>
      <c r="AAX248" s="10"/>
      <c r="AAY248" s="11"/>
      <c r="AAZ248" s="10"/>
      <c r="ABA248" s="6"/>
      <c r="ABB248" s="7"/>
      <c r="ABC248" s="8"/>
      <c r="ABD248" s="9"/>
      <c r="ABE248" s="10"/>
      <c r="ABF248" s="11"/>
      <c r="ABG248" s="10"/>
      <c r="ABH248" s="6"/>
      <c r="ABI248" s="7"/>
      <c r="ABJ248" s="8"/>
      <c r="ABK248" s="9"/>
      <c r="ABL248" s="10"/>
      <c r="ABM248" s="11"/>
      <c r="ABN248" s="10"/>
      <c r="ABO248" s="6"/>
      <c r="ABP248" s="7"/>
      <c r="ABQ248" s="8"/>
      <c r="ABR248" s="9"/>
      <c r="ABS248" s="10"/>
      <c r="ABT248" s="11"/>
      <c r="ABU248" s="10"/>
      <c r="ABV248" s="6"/>
      <c r="ABW248" s="7"/>
      <c r="ABX248" s="8"/>
      <c r="ABY248" s="9"/>
      <c r="ABZ248" s="10"/>
      <c r="ACA248" s="11"/>
      <c r="ACB248" s="10"/>
      <c r="ACC248" s="6"/>
      <c r="ACD248" s="7"/>
      <c r="ACE248" s="8"/>
      <c r="ACF248" s="9"/>
      <c r="ACG248" s="10"/>
      <c r="ACH248" s="11"/>
      <c r="ACI248" s="10"/>
      <c r="ACJ248" s="6"/>
      <c r="ACK248" s="7"/>
      <c r="ACL248" s="8"/>
      <c r="ACM248" s="9"/>
      <c r="ACN248" s="10"/>
      <c r="ACO248" s="11"/>
      <c r="ACP248" s="10"/>
      <c r="ACQ248" s="6"/>
      <c r="ACR248" s="7"/>
      <c r="ACS248" s="8"/>
      <c r="ACT248" s="9"/>
      <c r="ACU248" s="10"/>
      <c r="ACV248" s="11"/>
      <c r="ACW248" s="10"/>
      <c r="ACX248" s="6"/>
      <c r="ACY248" s="7"/>
      <c r="ACZ248" s="8"/>
      <c r="ADA248" s="9"/>
      <c r="ADB248" s="10"/>
      <c r="ADC248" s="11"/>
      <c r="ADD248" s="10"/>
      <c r="ADE248" s="6"/>
      <c r="ADF248" s="7"/>
      <c r="ADG248" s="8"/>
      <c r="ADH248" s="9"/>
      <c r="ADI248" s="10"/>
      <c r="ADJ248" s="11"/>
      <c r="ADK248" s="10"/>
      <c r="ADL248" s="6"/>
      <c r="ADM248" s="7"/>
      <c r="ADN248" s="8"/>
      <c r="ADO248" s="9"/>
      <c r="ADP248" s="10"/>
      <c r="ADQ248" s="11"/>
      <c r="ADR248" s="10"/>
      <c r="ADS248" s="6"/>
      <c r="ADT248" s="7"/>
      <c r="ADU248" s="8"/>
      <c r="ADV248" s="9"/>
      <c r="ADW248" s="10"/>
      <c r="ADX248" s="11"/>
      <c r="ADY248" s="10"/>
      <c r="ADZ248" s="6"/>
      <c r="AEA248" s="7"/>
      <c r="AEB248" s="8"/>
      <c r="AEC248" s="9"/>
      <c r="AED248" s="10"/>
      <c r="AEE248" s="11"/>
      <c r="AEF248" s="10"/>
      <c r="AEG248" s="6"/>
      <c r="AEH248" s="7"/>
      <c r="AEI248" s="8"/>
      <c r="AEJ248" s="9"/>
      <c r="AEK248" s="10"/>
      <c r="AEL248" s="11"/>
      <c r="AEM248" s="10"/>
      <c r="AEN248" s="6"/>
      <c r="AEO248" s="7"/>
      <c r="AEP248" s="8"/>
      <c r="AEQ248" s="9"/>
      <c r="AER248" s="10"/>
      <c r="AES248" s="11"/>
      <c r="AET248" s="10"/>
      <c r="AEU248" s="6"/>
      <c r="AEV248" s="7"/>
      <c r="AEW248" s="8"/>
      <c r="AEX248" s="9"/>
      <c r="AEY248" s="10"/>
      <c r="AEZ248" s="11"/>
      <c r="AFA248" s="10"/>
      <c r="AFB248" s="6"/>
      <c r="AFC248" s="7"/>
      <c r="AFD248" s="8"/>
      <c r="AFE248" s="9"/>
      <c r="AFF248" s="10"/>
      <c r="AFG248" s="11"/>
      <c r="AFH248" s="10"/>
      <c r="AFI248" s="6"/>
      <c r="AFJ248" s="7"/>
      <c r="AFK248" s="8"/>
      <c r="AFL248" s="9"/>
      <c r="AFM248" s="10"/>
      <c r="AFN248" s="11"/>
      <c r="AFO248" s="10"/>
      <c r="AFP248" s="6"/>
      <c r="AFQ248" s="7"/>
      <c r="AFR248" s="8"/>
      <c r="AFS248" s="9"/>
      <c r="AFT248" s="10"/>
      <c r="AFU248" s="11"/>
      <c r="AFV248" s="10"/>
      <c r="AFW248" s="6"/>
      <c r="AFX248" s="7"/>
      <c r="AFY248" s="8"/>
      <c r="AFZ248" s="9"/>
      <c r="AGA248" s="10"/>
      <c r="AGB248" s="11"/>
      <c r="AGC248" s="10"/>
      <c r="AGD248" s="6"/>
      <c r="AGE248" s="7"/>
      <c r="AGF248" s="8"/>
      <c r="AGG248" s="9"/>
      <c r="AGH248" s="10"/>
      <c r="AGI248" s="11"/>
      <c r="AGJ248" s="10"/>
      <c r="AGK248" s="6"/>
      <c r="AGL248" s="7"/>
      <c r="AGM248" s="8"/>
      <c r="AGN248" s="9"/>
      <c r="AGO248" s="10"/>
      <c r="AGP248" s="11"/>
      <c r="AGQ248" s="10"/>
      <c r="AGR248" s="6"/>
      <c r="AGS248" s="7"/>
      <c r="AGT248" s="8"/>
      <c r="AGU248" s="9"/>
      <c r="AGV248" s="10"/>
      <c r="AGW248" s="11"/>
      <c r="AGX248" s="10"/>
      <c r="AGY248" s="6"/>
      <c r="AGZ248" s="7"/>
      <c r="AHA248" s="8"/>
      <c r="AHB248" s="9"/>
      <c r="AHC248" s="10"/>
      <c r="AHD248" s="11"/>
      <c r="AHE248" s="10"/>
      <c r="AHF248" s="6"/>
      <c r="AHG248" s="7"/>
      <c r="AHH248" s="8"/>
      <c r="AHI248" s="9"/>
      <c r="AHJ248" s="10"/>
      <c r="AHK248" s="11"/>
      <c r="AHL248" s="10"/>
      <c r="AHM248" s="6"/>
      <c r="AHN248" s="7"/>
      <c r="AHO248" s="8"/>
      <c r="AHP248" s="9"/>
      <c r="AHQ248" s="10"/>
      <c r="AHR248" s="11"/>
      <c r="AHS248" s="10"/>
      <c r="AHT248" s="6"/>
      <c r="AHU248" s="7"/>
      <c r="AHV248" s="8"/>
      <c r="AHW248" s="9"/>
      <c r="AHX248" s="10"/>
      <c r="AHY248" s="11"/>
      <c r="AHZ248" s="10"/>
      <c r="AIA248" s="6"/>
      <c r="AIB248" s="7"/>
      <c r="AIC248" s="8"/>
      <c r="AID248" s="9"/>
      <c r="AIE248" s="10"/>
      <c r="AIF248" s="11"/>
      <c r="AIG248" s="10"/>
      <c r="AIH248" s="6"/>
      <c r="AII248" s="7"/>
      <c r="AIJ248" s="8"/>
      <c r="AIK248" s="9"/>
      <c r="AIL248" s="10"/>
      <c r="AIM248" s="11"/>
      <c r="AIN248" s="10"/>
      <c r="AIO248" s="6"/>
      <c r="AIP248" s="7"/>
      <c r="AIQ248" s="8"/>
      <c r="AIR248" s="9"/>
      <c r="AIS248" s="10"/>
      <c r="AIT248" s="11"/>
      <c r="AIU248" s="10"/>
      <c r="AIV248" s="6"/>
      <c r="AIW248" s="7"/>
      <c r="AIX248" s="8"/>
      <c r="AIY248" s="9"/>
      <c r="AIZ248" s="10"/>
      <c r="AJA248" s="11"/>
      <c r="AJB248" s="10"/>
      <c r="AJC248" s="6"/>
      <c r="AJD248" s="7"/>
      <c r="AJE248" s="8"/>
      <c r="AJF248" s="9"/>
      <c r="AJG248" s="10"/>
      <c r="AJH248" s="11"/>
      <c r="AJI248" s="10"/>
      <c r="AJJ248" s="6"/>
      <c r="AJK248" s="7"/>
      <c r="AJL248" s="8"/>
      <c r="AJM248" s="9"/>
      <c r="AJN248" s="10"/>
      <c r="AJO248" s="11"/>
      <c r="AJP248" s="10"/>
      <c r="AJQ248" s="6"/>
      <c r="AJR248" s="7"/>
      <c r="AJS248" s="8"/>
      <c r="AJT248" s="9"/>
      <c r="AJU248" s="10"/>
      <c r="AJV248" s="11"/>
      <c r="AJW248" s="10"/>
      <c r="AJX248" s="6"/>
      <c r="AJY248" s="7"/>
      <c r="AJZ248" s="8"/>
      <c r="AKA248" s="9"/>
      <c r="AKB248" s="10"/>
      <c r="AKC248" s="11"/>
      <c r="AKD248" s="10"/>
      <c r="AKE248" s="6"/>
      <c r="AKF248" s="7"/>
      <c r="AKG248" s="8"/>
      <c r="AKH248" s="9"/>
      <c r="AKI248" s="10"/>
      <c r="AKJ248" s="11"/>
      <c r="AKK248" s="10"/>
      <c r="AKL248" s="6"/>
      <c r="AKM248" s="7"/>
      <c r="AKN248" s="8"/>
      <c r="AKO248" s="9"/>
      <c r="AKP248" s="10"/>
      <c r="AKQ248" s="11"/>
      <c r="AKR248" s="10"/>
      <c r="AKS248" s="6"/>
      <c r="AKT248" s="7"/>
      <c r="AKU248" s="8"/>
      <c r="AKV248" s="9"/>
      <c r="AKW248" s="10"/>
      <c r="AKX248" s="11"/>
      <c r="AKY248" s="10"/>
      <c r="AKZ248" s="6"/>
      <c r="ALA248" s="7"/>
      <c r="ALB248" s="8"/>
      <c r="ALC248" s="9"/>
      <c r="ALD248" s="10"/>
      <c r="ALE248" s="11"/>
      <c r="ALF248" s="10"/>
      <c r="ALG248" s="6"/>
      <c r="ALH248" s="7"/>
      <c r="ALI248" s="8"/>
      <c r="ALJ248" s="9"/>
      <c r="ALK248" s="10"/>
      <c r="ALL248" s="11"/>
      <c r="ALM248" s="10"/>
      <c r="ALN248" s="6"/>
      <c r="ALO248" s="7"/>
      <c r="ALP248" s="8"/>
      <c r="ALQ248" s="9"/>
      <c r="ALR248" s="10"/>
      <c r="ALS248" s="11"/>
      <c r="ALT248" s="10"/>
      <c r="ALU248" s="6"/>
      <c r="ALV248" s="7"/>
      <c r="ALW248" s="8"/>
      <c r="ALX248" s="9"/>
      <c r="ALY248" s="10"/>
      <c r="ALZ248" s="11"/>
      <c r="AMA248" s="10"/>
      <c r="AMB248" s="6"/>
      <c r="AMC248" s="7"/>
      <c r="AMD248" s="8"/>
      <c r="AME248" s="9"/>
      <c r="AMF248" s="10"/>
      <c r="AMG248" s="11"/>
      <c r="AMH248" s="10"/>
      <c r="AMI248" s="6"/>
      <c r="AMJ248" s="7"/>
      <c r="AMK248" s="8"/>
      <c r="AML248" s="9"/>
      <c r="AMM248" s="10"/>
      <c r="AMN248" s="11"/>
      <c r="AMO248" s="10"/>
      <c r="AMP248" s="6"/>
      <c r="AMQ248" s="7"/>
      <c r="AMR248" s="8"/>
      <c r="AMS248" s="9"/>
      <c r="AMT248" s="10"/>
      <c r="AMU248" s="11"/>
      <c r="AMV248" s="10"/>
      <c r="AMW248" s="6"/>
      <c r="AMX248" s="7"/>
      <c r="AMY248" s="8"/>
      <c r="AMZ248" s="9"/>
      <c r="ANA248" s="10"/>
      <c r="ANB248" s="11"/>
      <c r="ANC248" s="10"/>
      <c r="AND248" s="6"/>
      <c r="ANE248" s="7"/>
      <c r="ANF248" s="8"/>
      <c r="ANG248" s="9"/>
      <c r="ANH248" s="10"/>
      <c r="ANI248" s="11"/>
      <c r="ANJ248" s="10"/>
      <c r="ANK248" s="6"/>
      <c r="ANL248" s="7"/>
      <c r="ANM248" s="8"/>
      <c r="ANN248" s="9"/>
      <c r="ANO248" s="10"/>
      <c r="ANP248" s="11"/>
      <c r="ANQ248" s="10"/>
      <c r="ANR248" s="6"/>
      <c r="ANS248" s="7"/>
      <c r="ANT248" s="8"/>
      <c r="ANU248" s="9"/>
      <c r="ANV248" s="10"/>
      <c r="ANW248" s="11"/>
      <c r="ANX248" s="10"/>
      <c r="ANY248" s="6"/>
      <c r="ANZ248" s="7"/>
      <c r="AOA248" s="8"/>
      <c r="AOB248" s="9"/>
      <c r="AOC248" s="10"/>
      <c r="AOD248" s="11"/>
      <c r="AOE248" s="10"/>
      <c r="AOF248" s="6"/>
      <c r="AOG248" s="7"/>
      <c r="AOH248" s="8"/>
      <c r="AOI248" s="9"/>
      <c r="AOJ248" s="10"/>
      <c r="AOK248" s="11"/>
      <c r="AOL248" s="10"/>
      <c r="AOM248" s="6"/>
      <c r="AON248" s="7"/>
      <c r="AOO248" s="8"/>
      <c r="AOP248" s="9"/>
      <c r="AOQ248" s="10"/>
      <c r="AOR248" s="11"/>
      <c r="AOS248" s="10"/>
      <c r="AOT248" s="6"/>
      <c r="AOU248" s="7"/>
      <c r="AOV248" s="8"/>
      <c r="AOW248" s="9"/>
      <c r="AOX248" s="10"/>
      <c r="AOY248" s="11"/>
      <c r="AOZ248" s="10"/>
      <c r="APA248" s="6"/>
      <c r="APB248" s="7"/>
      <c r="APC248" s="8"/>
      <c r="APD248" s="9"/>
      <c r="APE248" s="10"/>
      <c r="APF248" s="11"/>
      <c r="APG248" s="10"/>
      <c r="APH248" s="6"/>
      <c r="API248" s="7"/>
      <c r="APJ248" s="8"/>
      <c r="APK248" s="9"/>
      <c r="APL248" s="10"/>
      <c r="APM248" s="11"/>
      <c r="APN248" s="10"/>
      <c r="APO248" s="6"/>
      <c r="APP248" s="7"/>
      <c r="APQ248" s="8"/>
      <c r="APR248" s="9"/>
      <c r="APS248" s="10"/>
      <c r="APT248" s="11"/>
      <c r="APU248" s="10"/>
      <c r="APV248" s="6"/>
      <c r="APW248" s="7"/>
      <c r="APX248" s="8"/>
      <c r="APY248" s="9"/>
      <c r="APZ248" s="10"/>
      <c r="AQA248" s="11"/>
      <c r="AQB248" s="10"/>
      <c r="AQC248" s="6"/>
      <c r="AQD248" s="7"/>
      <c r="AQE248" s="8"/>
      <c r="AQF248" s="9"/>
      <c r="AQG248" s="10"/>
      <c r="AQH248" s="11"/>
      <c r="AQI248" s="10"/>
      <c r="AQJ248" s="6"/>
      <c r="AQK248" s="7"/>
      <c r="AQL248" s="8"/>
      <c r="AQM248" s="9"/>
      <c r="AQN248" s="10"/>
      <c r="AQO248" s="11"/>
      <c r="AQP248" s="10"/>
      <c r="AQQ248" s="6"/>
      <c r="AQR248" s="7"/>
      <c r="AQS248" s="8"/>
      <c r="AQT248" s="9"/>
      <c r="AQU248" s="10"/>
      <c r="AQV248" s="11"/>
      <c r="AQW248" s="10"/>
      <c r="AQX248" s="6"/>
      <c r="AQY248" s="7"/>
      <c r="AQZ248" s="8"/>
      <c r="ARA248" s="9"/>
      <c r="ARB248" s="10"/>
      <c r="ARC248" s="11"/>
      <c r="ARD248" s="10"/>
      <c r="ARE248" s="6"/>
      <c r="ARF248" s="7"/>
      <c r="ARG248" s="8"/>
      <c r="ARH248" s="9"/>
      <c r="ARI248" s="10"/>
      <c r="ARJ248" s="11"/>
      <c r="ARK248" s="10"/>
      <c r="ARL248" s="6"/>
      <c r="ARM248" s="7"/>
      <c r="ARN248" s="8"/>
      <c r="ARO248" s="9"/>
      <c r="ARP248" s="10"/>
      <c r="ARQ248" s="11"/>
      <c r="ARR248" s="10"/>
      <c r="ARS248" s="6"/>
      <c r="ART248" s="7"/>
      <c r="ARU248" s="8"/>
      <c r="ARV248" s="9"/>
      <c r="ARW248" s="10"/>
      <c r="ARX248" s="11"/>
      <c r="ARY248" s="10"/>
      <c r="ARZ248" s="6"/>
      <c r="ASA248" s="7"/>
      <c r="ASB248" s="8"/>
      <c r="ASC248" s="9"/>
      <c r="ASD248" s="10"/>
      <c r="ASE248" s="11"/>
      <c r="ASF248" s="10"/>
      <c r="ASG248" s="6"/>
      <c r="ASH248" s="7"/>
      <c r="ASI248" s="8"/>
      <c r="ASJ248" s="9"/>
      <c r="ASK248" s="10"/>
      <c r="ASL248" s="11"/>
      <c r="ASM248" s="10"/>
      <c r="ASN248" s="6"/>
      <c r="ASO248" s="7"/>
      <c r="ASP248" s="8"/>
      <c r="ASQ248" s="9"/>
      <c r="ASR248" s="10"/>
      <c r="ASS248" s="11"/>
      <c r="AST248" s="10"/>
      <c r="ASU248" s="6"/>
      <c r="ASV248" s="7"/>
      <c r="ASW248" s="8"/>
      <c r="ASX248" s="9"/>
      <c r="ASY248" s="10"/>
      <c r="ASZ248" s="11"/>
      <c r="ATA248" s="10"/>
      <c r="ATB248" s="6"/>
      <c r="ATC248" s="7"/>
      <c r="ATD248" s="8"/>
      <c r="ATE248" s="9"/>
      <c r="ATF248" s="10"/>
      <c r="ATG248" s="11"/>
      <c r="ATH248" s="10"/>
      <c r="ATI248" s="6"/>
      <c r="ATJ248" s="7"/>
      <c r="ATK248" s="8"/>
      <c r="ATL248" s="9"/>
      <c r="ATM248" s="10"/>
      <c r="ATN248" s="11"/>
      <c r="ATO248" s="10"/>
      <c r="ATP248" s="6"/>
      <c r="ATQ248" s="7"/>
      <c r="ATR248" s="8"/>
      <c r="ATS248" s="9"/>
      <c r="ATT248" s="10"/>
      <c r="ATU248" s="11"/>
      <c r="ATV248" s="10"/>
      <c r="ATW248" s="6"/>
      <c r="ATX248" s="7"/>
      <c r="ATY248" s="8"/>
      <c r="ATZ248" s="9"/>
      <c r="AUA248" s="10"/>
      <c r="AUB248" s="11"/>
      <c r="AUC248" s="10"/>
      <c r="AUD248" s="6"/>
      <c r="AUE248" s="7"/>
      <c r="AUF248" s="8"/>
      <c r="AUG248" s="9"/>
      <c r="AUH248" s="10"/>
      <c r="AUI248" s="11"/>
      <c r="AUJ248" s="10"/>
      <c r="AUK248" s="6"/>
      <c r="AUL248" s="7"/>
      <c r="AUM248" s="8"/>
      <c r="AUN248" s="9"/>
      <c r="AUO248" s="10"/>
      <c r="AUP248" s="11"/>
      <c r="AUQ248" s="10"/>
      <c r="AUR248" s="6"/>
      <c r="AUS248" s="7"/>
      <c r="AUT248" s="8"/>
      <c r="AUU248" s="9"/>
      <c r="AUV248" s="10"/>
      <c r="AUW248" s="11"/>
      <c r="AUX248" s="10"/>
      <c r="AUY248" s="6"/>
      <c r="AUZ248" s="7"/>
      <c r="AVA248" s="8"/>
      <c r="AVB248" s="9"/>
      <c r="AVC248" s="10"/>
      <c r="AVD248" s="11"/>
      <c r="AVE248" s="10"/>
      <c r="AVF248" s="6"/>
      <c r="AVG248" s="7"/>
      <c r="AVH248" s="8"/>
      <c r="AVI248" s="9"/>
      <c r="AVJ248" s="10"/>
      <c r="AVK248" s="11"/>
      <c r="AVL248" s="10"/>
      <c r="AVM248" s="6"/>
      <c r="AVN248" s="7"/>
      <c r="AVO248" s="8"/>
      <c r="AVP248" s="9"/>
      <c r="AVQ248" s="10"/>
      <c r="AVR248" s="11"/>
      <c r="AVS248" s="10"/>
      <c r="AVT248" s="6"/>
      <c r="AVU248" s="7"/>
      <c r="AVV248" s="8"/>
      <c r="AVW248" s="9"/>
      <c r="AVX248" s="10"/>
      <c r="AVY248" s="11"/>
      <c r="AVZ248" s="10"/>
      <c r="AWA248" s="6"/>
      <c r="AWB248" s="7"/>
      <c r="AWC248" s="8"/>
      <c r="AWD248" s="9"/>
      <c r="AWE248" s="10"/>
      <c r="AWF248" s="11"/>
      <c r="AWG248" s="10"/>
      <c r="AWH248" s="6"/>
      <c r="AWI248" s="7"/>
      <c r="AWJ248" s="8"/>
      <c r="AWK248" s="9"/>
      <c r="AWL248" s="10"/>
      <c r="AWM248" s="11"/>
      <c r="AWN248" s="10"/>
      <c r="AWO248" s="6"/>
      <c r="AWP248" s="7"/>
      <c r="AWQ248" s="8"/>
      <c r="AWR248" s="9"/>
      <c r="AWS248" s="10"/>
      <c r="AWT248" s="11"/>
      <c r="AWU248" s="10"/>
      <c r="AWV248" s="6"/>
      <c r="AWW248" s="7"/>
      <c r="AWX248" s="8"/>
      <c r="AWY248" s="9"/>
      <c r="AWZ248" s="10"/>
      <c r="AXA248" s="11"/>
      <c r="AXB248" s="10"/>
      <c r="AXC248" s="6"/>
      <c r="AXD248" s="7"/>
      <c r="AXE248" s="8"/>
      <c r="AXF248" s="9"/>
      <c r="AXG248" s="10"/>
      <c r="AXH248" s="11"/>
      <c r="AXI248" s="10"/>
      <c r="AXJ248" s="6"/>
      <c r="AXK248" s="7"/>
      <c r="AXL248" s="8"/>
      <c r="AXM248" s="9"/>
      <c r="AXN248" s="10"/>
      <c r="AXO248" s="11"/>
      <c r="AXP248" s="10"/>
      <c r="AXQ248" s="6"/>
      <c r="AXR248" s="7"/>
      <c r="AXS248" s="8"/>
      <c r="AXT248" s="9"/>
      <c r="AXU248" s="10"/>
      <c r="AXV248" s="11"/>
      <c r="AXW248" s="10"/>
      <c r="AXX248" s="6"/>
      <c r="AXY248" s="7"/>
      <c r="AXZ248" s="8"/>
      <c r="AYA248" s="9"/>
      <c r="AYB248" s="10"/>
      <c r="AYC248" s="11"/>
      <c r="AYD248" s="10"/>
      <c r="AYE248" s="6"/>
      <c r="AYF248" s="7"/>
      <c r="AYG248" s="8"/>
      <c r="AYH248" s="9"/>
      <c r="AYI248" s="10"/>
      <c r="AYJ248" s="11"/>
      <c r="AYK248" s="10"/>
      <c r="AYL248" s="6"/>
      <c r="AYM248" s="7"/>
      <c r="AYN248" s="8"/>
      <c r="AYO248" s="9"/>
      <c r="AYP248" s="10"/>
      <c r="AYQ248" s="11"/>
      <c r="AYR248" s="10"/>
      <c r="AYS248" s="6"/>
      <c r="AYT248" s="7"/>
      <c r="AYU248" s="8"/>
      <c r="AYV248" s="9"/>
      <c r="AYW248" s="10"/>
      <c r="AYX248" s="11"/>
      <c r="AYY248" s="10"/>
      <c r="AYZ248" s="6"/>
      <c r="AZA248" s="7"/>
      <c r="AZB248" s="8"/>
      <c r="AZC248" s="9"/>
      <c r="AZD248" s="10"/>
      <c r="AZE248" s="11"/>
      <c r="AZF248" s="10"/>
      <c r="AZG248" s="6"/>
      <c r="AZH248" s="7"/>
      <c r="AZI248" s="8"/>
      <c r="AZJ248" s="9"/>
      <c r="AZK248" s="10"/>
      <c r="AZL248" s="11"/>
      <c r="AZM248" s="10"/>
      <c r="AZN248" s="6"/>
      <c r="AZO248" s="7"/>
      <c r="AZP248" s="8"/>
      <c r="AZQ248" s="9"/>
      <c r="AZR248" s="10"/>
      <c r="AZS248" s="11"/>
      <c r="AZT248" s="10"/>
      <c r="AZU248" s="6"/>
      <c r="AZV248" s="7"/>
      <c r="AZW248" s="8"/>
      <c r="AZX248" s="9"/>
      <c r="AZY248" s="10"/>
      <c r="AZZ248" s="11"/>
      <c r="BAA248" s="10"/>
      <c r="BAB248" s="6"/>
      <c r="BAC248" s="7"/>
      <c r="BAD248" s="8"/>
      <c r="BAE248" s="9"/>
      <c r="BAF248" s="10"/>
      <c r="BAG248" s="11"/>
      <c r="BAH248" s="10"/>
      <c r="BAI248" s="6"/>
      <c r="BAJ248" s="7"/>
      <c r="BAK248" s="8"/>
      <c r="BAL248" s="9"/>
      <c r="BAM248" s="10"/>
      <c r="BAN248" s="11"/>
      <c r="BAO248" s="10"/>
      <c r="BAP248" s="6"/>
      <c r="BAQ248" s="7"/>
      <c r="BAR248" s="8"/>
      <c r="BAS248" s="9"/>
      <c r="BAT248" s="10"/>
      <c r="BAU248" s="11"/>
      <c r="BAV248" s="10"/>
      <c r="BAW248" s="6"/>
      <c r="BAX248" s="7"/>
      <c r="BAY248" s="8"/>
      <c r="BAZ248" s="9"/>
      <c r="BBA248" s="10"/>
      <c r="BBB248" s="11"/>
      <c r="BBC248" s="10"/>
      <c r="BBD248" s="6"/>
      <c r="BBE248" s="7"/>
      <c r="BBF248" s="8"/>
      <c r="BBG248" s="9"/>
      <c r="BBH248" s="10"/>
      <c r="BBI248" s="11"/>
      <c r="BBJ248" s="10"/>
      <c r="BBK248" s="6"/>
      <c r="BBL248" s="7"/>
      <c r="BBM248" s="8"/>
      <c r="BBN248" s="9"/>
      <c r="BBO248" s="10"/>
      <c r="BBP248" s="11"/>
      <c r="BBQ248" s="10"/>
      <c r="BBR248" s="6"/>
      <c r="BBS248" s="7"/>
      <c r="BBT248" s="8"/>
      <c r="BBU248" s="9"/>
      <c r="BBV248" s="10"/>
      <c r="BBW248" s="11"/>
      <c r="BBX248" s="10"/>
      <c r="BBY248" s="6"/>
      <c r="BBZ248" s="7"/>
      <c r="BCA248" s="8"/>
      <c r="BCB248" s="9"/>
      <c r="BCC248" s="10"/>
      <c r="BCD248" s="11"/>
      <c r="BCE248" s="10"/>
      <c r="BCF248" s="6"/>
      <c r="BCG248" s="7"/>
      <c r="BCH248" s="8"/>
      <c r="BCI248" s="9"/>
      <c r="BCJ248" s="10"/>
      <c r="BCK248" s="11"/>
      <c r="BCL248" s="10"/>
      <c r="BCM248" s="6"/>
      <c r="BCN248" s="7"/>
      <c r="BCO248" s="8"/>
      <c r="BCP248" s="9"/>
      <c r="BCQ248" s="10"/>
      <c r="BCR248" s="11"/>
      <c r="BCS248" s="10"/>
      <c r="BCT248" s="6"/>
      <c r="BCU248" s="7"/>
      <c r="BCV248" s="8"/>
      <c r="BCW248" s="9"/>
      <c r="BCX248" s="10"/>
      <c r="BCY248" s="11"/>
      <c r="BCZ248" s="10"/>
      <c r="BDA248" s="6"/>
      <c r="BDB248" s="7"/>
      <c r="BDC248" s="8"/>
      <c r="BDD248" s="9"/>
      <c r="BDE248" s="10"/>
      <c r="BDF248" s="11"/>
      <c r="BDG248" s="10"/>
      <c r="BDH248" s="6"/>
      <c r="BDI248" s="7"/>
      <c r="BDJ248" s="8"/>
      <c r="BDK248" s="9"/>
      <c r="BDL248" s="10"/>
      <c r="BDM248" s="11"/>
      <c r="BDN248" s="10"/>
      <c r="BDO248" s="6"/>
      <c r="BDP248" s="7"/>
      <c r="BDQ248" s="8"/>
      <c r="BDR248" s="9"/>
      <c r="BDS248" s="10"/>
      <c r="BDT248" s="11"/>
      <c r="BDU248" s="10"/>
      <c r="BDV248" s="6"/>
      <c r="BDW248" s="7"/>
      <c r="BDX248" s="8"/>
      <c r="BDY248" s="9"/>
      <c r="BDZ248" s="10"/>
      <c r="BEA248" s="11"/>
      <c r="BEB248" s="10"/>
      <c r="BEC248" s="6"/>
      <c r="BED248" s="7"/>
      <c r="BEE248" s="8"/>
      <c r="BEF248" s="9"/>
      <c r="BEG248" s="10"/>
      <c r="BEH248" s="11"/>
      <c r="BEI248" s="10"/>
      <c r="BEJ248" s="6"/>
      <c r="BEK248" s="7"/>
      <c r="BEL248" s="8"/>
      <c r="BEM248" s="9"/>
      <c r="BEN248" s="10"/>
      <c r="BEO248" s="11"/>
      <c r="BEP248" s="10"/>
      <c r="BEQ248" s="6"/>
      <c r="BER248" s="7"/>
      <c r="BES248" s="8"/>
      <c r="BET248" s="9"/>
      <c r="BEU248" s="10"/>
      <c r="BEV248" s="11"/>
      <c r="BEW248" s="10"/>
      <c r="BEX248" s="6"/>
      <c r="BEY248" s="7"/>
      <c r="BEZ248" s="8"/>
      <c r="BFA248" s="9"/>
      <c r="BFB248" s="10"/>
      <c r="BFC248" s="11"/>
      <c r="BFD248" s="10"/>
      <c r="BFE248" s="6"/>
      <c r="BFF248" s="7"/>
      <c r="BFG248" s="8"/>
      <c r="BFH248" s="9"/>
      <c r="BFI248" s="10"/>
      <c r="BFJ248" s="11"/>
      <c r="BFK248" s="10"/>
      <c r="BFL248" s="6"/>
      <c r="BFM248" s="7"/>
      <c r="BFN248" s="8"/>
      <c r="BFO248" s="9"/>
      <c r="BFP248" s="10"/>
      <c r="BFQ248" s="11"/>
      <c r="BFR248" s="10"/>
      <c r="BFS248" s="6"/>
      <c r="BFT248" s="7"/>
      <c r="BFU248" s="8"/>
      <c r="BFV248" s="9"/>
      <c r="BFW248" s="10"/>
      <c r="BFX248" s="11"/>
      <c r="BFY248" s="10"/>
      <c r="BFZ248" s="6"/>
      <c r="BGA248" s="7"/>
      <c r="BGB248" s="8"/>
      <c r="BGC248" s="9"/>
      <c r="BGD248" s="10"/>
      <c r="BGE248" s="11"/>
      <c r="BGF248" s="10"/>
      <c r="BGG248" s="6"/>
      <c r="BGH248" s="7"/>
      <c r="BGI248" s="8"/>
      <c r="BGJ248" s="9"/>
      <c r="BGK248" s="10"/>
      <c r="BGL248" s="11"/>
      <c r="BGM248" s="10"/>
      <c r="BGN248" s="6"/>
      <c r="BGO248" s="7"/>
      <c r="BGP248" s="8"/>
      <c r="BGQ248" s="9"/>
      <c r="BGR248" s="10"/>
      <c r="BGS248" s="11"/>
      <c r="BGT248" s="10"/>
      <c r="BGU248" s="6"/>
      <c r="BGV248" s="7"/>
      <c r="BGW248" s="8"/>
      <c r="BGX248" s="9"/>
      <c r="BGY248" s="10"/>
      <c r="BGZ248" s="11"/>
      <c r="BHA248" s="10"/>
      <c r="BHB248" s="6"/>
      <c r="BHC248" s="7"/>
      <c r="BHD248" s="8"/>
      <c r="BHE248" s="9"/>
      <c r="BHF248" s="10"/>
      <c r="BHG248" s="11"/>
      <c r="BHH248" s="10"/>
      <c r="BHI248" s="6"/>
      <c r="BHJ248" s="7"/>
      <c r="BHK248" s="8"/>
      <c r="BHL248" s="9"/>
      <c r="BHM248" s="10"/>
      <c r="BHN248" s="11"/>
      <c r="BHO248" s="10"/>
      <c r="BHP248" s="6"/>
      <c r="BHQ248" s="7"/>
      <c r="BHR248" s="8"/>
      <c r="BHS248" s="9"/>
      <c r="BHT248" s="10"/>
      <c r="BHU248" s="11"/>
      <c r="BHV248" s="10"/>
      <c r="BHW248" s="6"/>
      <c r="BHX248" s="7"/>
      <c r="BHY248" s="8"/>
      <c r="BHZ248" s="9"/>
      <c r="BIA248" s="10"/>
      <c r="BIB248" s="11"/>
      <c r="BIC248" s="10"/>
      <c r="BID248" s="6"/>
      <c r="BIE248" s="7"/>
      <c r="BIF248" s="8"/>
      <c r="BIG248" s="9"/>
      <c r="BIH248" s="10"/>
      <c r="BII248" s="11"/>
      <c r="BIJ248" s="10"/>
      <c r="BIK248" s="6"/>
      <c r="BIL248" s="7"/>
      <c r="BIM248" s="8"/>
      <c r="BIN248" s="9"/>
      <c r="BIO248" s="10"/>
      <c r="BIP248" s="11"/>
      <c r="BIQ248" s="10"/>
      <c r="BIR248" s="6"/>
      <c r="BIS248" s="7"/>
      <c r="BIT248" s="8"/>
      <c r="BIU248" s="9"/>
      <c r="BIV248" s="10"/>
      <c r="BIW248" s="11"/>
      <c r="BIX248" s="10"/>
      <c r="BIY248" s="6"/>
      <c r="BIZ248" s="7"/>
      <c r="BJA248" s="8"/>
      <c r="BJB248" s="9"/>
      <c r="BJC248" s="10"/>
      <c r="BJD248" s="11"/>
      <c r="BJE248" s="10"/>
      <c r="BJF248" s="6"/>
      <c r="BJG248" s="7"/>
      <c r="BJH248" s="8"/>
      <c r="BJI248" s="9"/>
      <c r="BJJ248" s="10"/>
      <c r="BJK248" s="11"/>
      <c r="BJL248" s="10"/>
      <c r="BJM248" s="6"/>
      <c r="BJN248" s="7"/>
      <c r="BJO248" s="8"/>
      <c r="BJP248" s="9"/>
      <c r="BJQ248" s="10"/>
      <c r="BJR248" s="11"/>
      <c r="BJS248" s="10"/>
      <c r="BJT248" s="6"/>
      <c r="BJU248" s="7"/>
      <c r="BJV248" s="8"/>
      <c r="BJW248" s="9"/>
      <c r="BJX248" s="10"/>
      <c r="BJY248" s="11"/>
      <c r="BJZ248" s="10"/>
      <c r="BKA248" s="6"/>
      <c r="BKB248" s="7"/>
      <c r="BKC248" s="8"/>
      <c r="BKD248" s="9"/>
      <c r="BKE248" s="10"/>
      <c r="BKF248" s="11"/>
      <c r="BKG248" s="10"/>
      <c r="BKH248" s="6"/>
      <c r="BKI248" s="7"/>
      <c r="BKJ248" s="8"/>
      <c r="BKK248" s="9"/>
      <c r="BKL248" s="10"/>
      <c r="BKM248" s="11"/>
      <c r="BKN248" s="10"/>
      <c r="BKO248" s="6"/>
      <c r="BKP248" s="7"/>
      <c r="BKQ248" s="8"/>
      <c r="BKR248" s="9"/>
      <c r="BKS248" s="10"/>
      <c r="BKT248" s="11"/>
      <c r="BKU248" s="10"/>
      <c r="BKV248" s="6"/>
      <c r="BKW248" s="7"/>
      <c r="BKX248" s="8"/>
      <c r="BKY248" s="9"/>
      <c r="BKZ248" s="10"/>
      <c r="BLA248" s="11"/>
      <c r="BLB248" s="10"/>
      <c r="BLC248" s="6"/>
      <c r="BLD248" s="7"/>
      <c r="BLE248" s="8"/>
      <c r="BLF248" s="9"/>
      <c r="BLG248" s="10"/>
      <c r="BLH248" s="11"/>
      <c r="BLI248" s="10"/>
      <c r="BLJ248" s="6"/>
      <c r="BLK248" s="7"/>
      <c r="BLL248" s="8"/>
      <c r="BLM248" s="9"/>
      <c r="BLN248" s="10"/>
      <c r="BLO248" s="11"/>
      <c r="BLP248" s="10"/>
      <c r="BLQ248" s="6"/>
      <c r="BLR248" s="7"/>
      <c r="BLS248" s="8"/>
      <c r="BLT248" s="9"/>
      <c r="BLU248" s="10"/>
      <c r="BLV248" s="11"/>
      <c r="BLW248" s="10"/>
      <c r="BLX248" s="6"/>
      <c r="BLY248" s="7"/>
      <c r="BLZ248" s="8"/>
      <c r="BMA248" s="9"/>
      <c r="BMB248" s="10"/>
      <c r="BMC248" s="11"/>
      <c r="BMD248" s="10"/>
      <c r="BME248" s="6"/>
      <c r="BMF248" s="7"/>
      <c r="BMG248" s="8"/>
      <c r="BMH248" s="9"/>
      <c r="BMI248" s="10"/>
      <c r="BMJ248" s="11"/>
      <c r="BMK248" s="10"/>
      <c r="BML248" s="6"/>
      <c r="BMM248" s="7"/>
      <c r="BMN248" s="8"/>
      <c r="BMO248" s="9"/>
      <c r="BMP248" s="10"/>
      <c r="BMQ248" s="11"/>
      <c r="BMR248" s="10"/>
      <c r="BMS248" s="6"/>
      <c r="BMT248" s="7"/>
      <c r="BMU248" s="8"/>
      <c r="BMV248" s="9"/>
      <c r="BMW248" s="10"/>
      <c r="BMX248" s="11"/>
      <c r="BMY248" s="10"/>
      <c r="BMZ248" s="6"/>
      <c r="BNA248" s="7"/>
      <c r="BNB248" s="8"/>
      <c r="BNC248" s="9"/>
      <c r="BND248" s="10"/>
      <c r="BNE248" s="11"/>
      <c r="BNF248" s="10"/>
      <c r="BNG248" s="6"/>
      <c r="BNH248" s="7"/>
      <c r="BNI248" s="8"/>
      <c r="BNJ248" s="9"/>
      <c r="BNK248" s="10"/>
      <c r="BNL248" s="11"/>
      <c r="BNM248" s="10"/>
      <c r="BNN248" s="6"/>
      <c r="BNO248" s="7"/>
      <c r="BNP248" s="8"/>
      <c r="BNQ248" s="9"/>
      <c r="BNR248" s="10"/>
      <c r="BNS248" s="11"/>
      <c r="BNT248" s="10"/>
      <c r="BNU248" s="6"/>
      <c r="BNV248" s="7"/>
      <c r="BNW248" s="8"/>
      <c r="BNX248" s="9"/>
      <c r="BNY248" s="10"/>
      <c r="BNZ248" s="11"/>
      <c r="BOA248" s="10"/>
      <c r="BOB248" s="6"/>
      <c r="BOC248" s="7"/>
      <c r="BOD248" s="8"/>
      <c r="BOE248" s="9"/>
      <c r="BOF248" s="10"/>
      <c r="BOG248" s="11"/>
      <c r="BOH248" s="10"/>
      <c r="BOI248" s="6"/>
      <c r="BOJ248" s="7"/>
      <c r="BOK248" s="8"/>
      <c r="BOL248" s="9"/>
      <c r="BOM248" s="10"/>
      <c r="BON248" s="11"/>
      <c r="BOO248" s="10"/>
      <c r="BOP248" s="6"/>
      <c r="BOQ248" s="7"/>
      <c r="BOR248" s="8"/>
      <c r="BOS248" s="9"/>
      <c r="BOT248" s="10"/>
      <c r="BOU248" s="11"/>
      <c r="BOV248" s="10"/>
      <c r="BOW248" s="6"/>
      <c r="BOX248" s="7"/>
      <c r="BOY248" s="8"/>
      <c r="BOZ248" s="9"/>
      <c r="BPA248" s="10"/>
      <c r="BPB248" s="11"/>
      <c r="BPC248" s="10"/>
      <c r="BPD248" s="6"/>
      <c r="BPE248" s="7"/>
      <c r="BPF248" s="8"/>
      <c r="BPG248" s="9"/>
      <c r="BPH248" s="10"/>
      <c r="BPI248" s="11"/>
      <c r="BPJ248" s="10"/>
      <c r="BPK248" s="6"/>
      <c r="BPL248" s="7"/>
      <c r="BPM248" s="8"/>
      <c r="BPN248" s="9"/>
      <c r="BPO248" s="10"/>
      <c r="BPP248" s="11"/>
      <c r="BPQ248" s="10"/>
      <c r="BPR248" s="6"/>
      <c r="BPS248" s="7"/>
      <c r="BPT248" s="8"/>
      <c r="BPU248" s="9"/>
      <c r="BPV248" s="10"/>
      <c r="BPW248" s="11"/>
      <c r="BPX248" s="10"/>
      <c r="BPY248" s="6"/>
      <c r="BPZ248" s="7"/>
      <c r="BQA248" s="8"/>
      <c r="BQB248" s="9"/>
      <c r="BQC248" s="10"/>
      <c r="BQD248" s="11"/>
      <c r="BQE248" s="10"/>
      <c r="BQF248" s="6"/>
      <c r="BQG248" s="7"/>
      <c r="BQH248" s="8"/>
      <c r="BQI248" s="9"/>
      <c r="BQJ248" s="10"/>
      <c r="BQK248" s="11"/>
      <c r="BQL248" s="10"/>
      <c r="BQM248" s="6"/>
      <c r="BQN248" s="7"/>
      <c r="BQO248" s="8"/>
      <c r="BQP248" s="9"/>
      <c r="BQQ248" s="10"/>
      <c r="BQR248" s="11"/>
      <c r="BQS248" s="10"/>
      <c r="BQT248" s="6"/>
      <c r="BQU248" s="7"/>
      <c r="BQV248" s="8"/>
      <c r="BQW248" s="9"/>
      <c r="BQX248" s="10"/>
      <c r="BQY248" s="11"/>
      <c r="BQZ248" s="10"/>
      <c r="BRA248" s="6"/>
      <c r="BRB248" s="7"/>
      <c r="BRC248" s="8"/>
      <c r="BRD248" s="9"/>
      <c r="BRE248" s="10"/>
      <c r="BRF248" s="11"/>
      <c r="BRG248" s="10"/>
      <c r="BRH248" s="6"/>
      <c r="BRI248" s="7"/>
      <c r="BRJ248" s="8"/>
      <c r="BRK248" s="9"/>
      <c r="BRL248" s="10"/>
      <c r="BRM248" s="11"/>
      <c r="BRN248" s="10"/>
      <c r="BRO248" s="6"/>
      <c r="BRP248" s="7"/>
      <c r="BRQ248" s="8"/>
      <c r="BRR248" s="9"/>
      <c r="BRS248" s="10"/>
      <c r="BRT248" s="11"/>
      <c r="BRU248" s="10"/>
      <c r="BRV248" s="6"/>
      <c r="BRW248" s="7"/>
      <c r="BRX248" s="8"/>
      <c r="BRY248" s="9"/>
      <c r="BRZ248" s="10"/>
      <c r="BSA248" s="11"/>
      <c r="BSB248" s="10"/>
      <c r="BSC248" s="6"/>
      <c r="BSD248" s="7"/>
      <c r="BSE248" s="8"/>
      <c r="BSF248" s="9"/>
      <c r="BSG248" s="10"/>
      <c r="BSH248" s="11"/>
      <c r="BSI248" s="10"/>
      <c r="BSJ248" s="6"/>
      <c r="BSK248" s="7"/>
      <c r="BSL248" s="8"/>
      <c r="BSM248" s="9"/>
      <c r="BSN248" s="10"/>
      <c r="BSO248" s="11"/>
      <c r="BSP248" s="10"/>
      <c r="BSQ248" s="6"/>
      <c r="BSR248" s="7"/>
      <c r="BSS248" s="8"/>
      <c r="BST248" s="9"/>
      <c r="BSU248" s="10"/>
      <c r="BSV248" s="11"/>
      <c r="BSW248" s="10"/>
      <c r="BSX248" s="6"/>
      <c r="BSY248" s="7"/>
      <c r="BSZ248" s="8"/>
      <c r="BTA248" s="9"/>
      <c r="BTB248" s="10"/>
      <c r="BTC248" s="11"/>
      <c r="BTD248" s="10"/>
      <c r="BTE248" s="6"/>
      <c r="BTF248" s="7"/>
      <c r="BTG248" s="8"/>
      <c r="BTH248" s="9"/>
      <c r="BTI248" s="10"/>
      <c r="BTJ248" s="11"/>
      <c r="BTK248" s="10"/>
      <c r="BTL248" s="6"/>
      <c r="BTM248" s="7"/>
      <c r="BTN248" s="8"/>
      <c r="BTO248" s="9"/>
      <c r="BTP248" s="10"/>
      <c r="BTQ248" s="11"/>
      <c r="BTR248" s="10"/>
      <c r="BTS248" s="6"/>
      <c r="BTT248" s="7"/>
      <c r="BTU248" s="8"/>
      <c r="BTV248" s="9"/>
      <c r="BTW248" s="10"/>
      <c r="BTX248" s="11"/>
      <c r="BTY248" s="10"/>
      <c r="BTZ248" s="6"/>
      <c r="BUA248" s="7"/>
      <c r="BUB248" s="8"/>
      <c r="BUC248" s="9"/>
      <c r="BUD248" s="10"/>
      <c r="BUE248" s="11"/>
      <c r="BUF248" s="10"/>
      <c r="BUG248" s="6"/>
      <c r="BUH248" s="7"/>
      <c r="BUI248" s="8"/>
      <c r="BUJ248" s="9"/>
      <c r="BUK248" s="10"/>
      <c r="BUL248" s="11"/>
      <c r="BUM248" s="10"/>
      <c r="BUN248" s="6"/>
      <c r="BUO248" s="7"/>
      <c r="BUP248" s="8"/>
      <c r="BUQ248" s="9"/>
      <c r="BUR248" s="10"/>
      <c r="BUS248" s="11"/>
      <c r="BUT248" s="10"/>
      <c r="BUU248" s="6"/>
      <c r="BUV248" s="7"/>
      <c r="BUW248" s="8"/>
      <c r="BUX248" s="9"/>
      <c r="BUY248" s="10"/>
      <c r="BUZ248" s="11"/>
      <c r="BVA248" s="10"/>
      <c r="BVB248" s="6"/>
      <c r="BVC248" s="7"/>
      <c r="BVD248" s="8"/>
      <c r="BVE248" s="9"/>
      <c r="BVF248" s="10"/>
      <c r="BVG248" s="11"/>
      <c r="BVH248" s="10"/>
      <c r="BVI248" s="6"/>
      <c r="BVJ248" s="7"/>
      <c r="BVK248" s="8"/>
      <c r="BVL248" s="9"/>
      <c r="BVM248" s="10"/>
      <c r="BVN248" s="11"/>
      <c r="BVO248" s="10"/>
      <c r="BVP248" s="6"/>
      <c r="BVQ248" s="7"/>
      <c r="BVR248" s="8"/>
      <c r="BVS248" s="9"/>
      <c r="BVT248" s="10"/>
      <c r="BVU248" s="11"/>
      <c r="BVV248" s="10"/>
      <c r="BVW248" s="6"/>
      <c r="BVX248" s="7"/>
      <c r="BVY248" s="8"/>
      <c r="BVZ248" s="9"/>
      <c r="BWA248" s="10"/>
      <c r="BWB248" s="11"/>
      <c r="BWC248" s="10"/>
      <c r="BWD248" s="6"/>
      <c r="BWE248" s="7"/>
      <c r="BWF248" s="8"/>
      <c r="BWG248" s="9"/>
      <c r="BWH248" s="10"/>
      <c r="BWI248" s="11"/>
      <c r="BWJ248" s="10"/>
      <c r="BWK248" s="6"/>
      <c r="BWL248" s="7"/>
      <c r="BWM248" s="8"/>
      <c r="BWN248" s="9"/>
      <c r="BWO248" s="10"/>
      <c r="BWP248" s="11"/>
      <c r="BWQ248" s="10"/>
      <c r="BWR248" s="6"/>
      <c r="BWS248" s="7"/>
      <c r="BWT248" s="8"/>
      <c r="BWU248" s="9"/>
      <c r="BWV248" s="10"/>
      <c r="BWW248" s="11"/>
      <c r="BWX248" s="10"/>
      <c r="BWY248" s="6"/>
      <c r="BWZ248" s="7"/>
      <c r="BXA248" s="8"/>
      <c r="BXB248" s="9"/>
      <c r="BXC248" s="10"/>
      <c r="BXD248" s="11"/>
      <c r="BXE248" s="10"/>
      <c r="BXF248" s="6"/>
      <c r="BXG248" s="7"/>
      <c r="BXH248" s="8"/>
      <c r="BXI248" s="9"/>
      <c r="BXJ248" s="10"/>
      <c r="BXK248" s="11"/>
      <c r="BXL248" s="10"/>
      <c r="BXM248" s="6"/>
      <c r="BXN248" s="7"/>
      <c r="BXO248" s="8"/>
      <c r="BXP248" s="9"/>
      <c r="BXQ248" s="10"/>
      <c r="BXR248" s="11"/>
      <c r="BXS248" s="10"/>
      <c r="BXT248" s="6"/>
      <c r="BXU248" s="7"/>
      <c r="BXV248" s="8"/>
      <c r="BXW248" s="9"/>
      <c r="BXX248" s="10"/>
      <c r="BXY248" s="11"/>
      <c r="BXZ248" s="10"/>
      <c r="BYA248" s="6"/>
      <c r="BYB248" s="7"/>
      <c r="BYC248" s="8"/>
      <c r="BYD248" s="9"/>
      <c r="BYE248" s="10"/>
      <c r="BYF248" s="11"/>
      <c r="BYG248" s="10"/>
      <c r="BYH248" s="6"/>
      <c r="BYI248" s="7"/>
      <c r="BYJ248" s="8"/>
      <c r="BYK248" s="9"/>
      <c r="BYL248" s="10"/>
      <c r="BYM248" s="11"/>
      <c r="BYN248" s="10"/>
      <c r="BYO248" s="6"/>
      <c r="BYP248" s="7"/>
      <c r="BYQ248" s="8"/>
      <c r="BYR248" s="9"/>
      <c r="BYS248" s="10"/>
      <c r="BYT248" s="11"/>
      <c r="BYU248" s="10"/>
      <c r="BYV248" s="6"/>
      <c r="BYW248" s="7"/>
      <c r="BYX248" s="8"/>
      <c r="BYY248" s="9"/>
      <c r="BYZ248" s="10"/>
      <c r="BZA248" s="11"/>
      <c r="BZB248" s="10"/>
      <c r="BZC248" s="6"/>
      <c r="BZD248" s="7"/>
      <c r="BZE248" s="8"/>
      <c r="BZF248" s="9"/>
      <c r="BZG248" s="10"/>
      <c r="BZH248" s="11"/>
      <c r="BZI248" s="10"/>
      <c r="BZJ248" s="6"/>
      <c r="BZK248" s="7"/>
      <c r="BZL248" s="8"/>
      <c r="BZM248" s="9"/>
      <c r="BZN248" s="10"/>
      <c r="BZO248" s="11"/>
      <c r="BZP248" s="10"/>
      <c r="BZQ248" s="6"/>
      <c r="BZR248" s="7"/>
      <c r="BZS248" s="8"/>
      <c r="BZT248" s="9"/>
      <c r="BZU248" s="10"/>
      <c r="BZV248" s="11"/>
      <c r="BZW248" s="10"/>
      <c r="BZX248" s="6"/>
      <c r="BZY248" s="7"/>
      <c r="BZZ248" s="8"/>
      <c r="CAA248" s="9"/>
      <c r="CAB248" s="10"/>
      <c r="CAC248" s="11"/>
      <c r="CAD248" s="10"/>
      <c r="CAE248" s="6"/>
      <c r="CAF248" s="7"/>
      <c r="CAG248" s="8"/>
      <c r="CAH248" s="9"/>
      <c r="CAI248" s="10"/>
      <c r="CAJ248" s="11"/>
      <c r="CAK248" s="10"/>
      <c r="CAL248" s="6"/>
      <c r="CAM248" s="7"/>
      <c r="CAN248" s="8"/>
      <c r="CAO248" s="9"/>
      <c r="CAP248" s="10"/>
      <c r="CAQ248" s="11"/>
      <c r="CAR248" s="10"/>
      <c r="CAS248" s="6"/>
      <c r="CAT248" s="7"/>
      <c r="CAU248" s="8"/>
      <c r="CAV248" s="9"/>
      <c r="CAW248" s="10"/>
      <c r="CAX248" s="11"/>
      <c r="CAY248" s="10"/>
      <c r="CAZ248" s="6"/>
      <c r="CBA248" s="7"/>
      <c r="CBB248" s="8"/>
      <c r="CBC248" s="9"/>
      <c r="CBD248" s="10"/>
      <c r="CBE248" s="11"/>
      <c r="CBF248" s="10"/>
      <c r="CBG248" s="6"/>
      <c r="CBH248" s="7"/>
      <c r="CBI248" s="8"/>
      <c r="CBJ248" s="9"/>
      <c r="CBK248" s="10"/>
      <c r="CBL248" s="11"/>
      <c r="CBM248" s="10"/>
      <c r="CBN248" s="6"/>
      <c r="CBO248" s="7"/>
      <c r="CBP248" s="8"/>
      <c r="CBQ248" s="9"/>
      <c r="CBR248" s="10"/>
      <c r="CBS248" s="11"/>
      <c r="CBT248" s="10"/>
      <c r="CBU248" s="6"/>
      <c r="CBV248" s="7"/>
      <c r="CBW248" s="8"/>
      <c r="CBX248" s="9"/>
      <c r="CBY248" s="10"/>
      <c r="CBZ248" s="11"/>
      <c r="CCA248" s="10"/>
      <c r="CCB248" s="6"/>
      <c r="CCC248" s="7"/>
      <c r="CCD248" s="8"/>
      <c r="CCE248" s="9"/>
      <c r="CCF248" s="10"/>
      <c r="CCG248" s="11"/>
      <c r="CCH248" s="10"/>
      <c r="CCI248" s="6"/>
      <c r="CCJ248" s="7"/>
      <c r="CCK248" s="8"/>
      <c r="CCL248" s="9"/>
      <c r="CCM248" s="10"/>
      <c r="CCN248" s="11"/>
      <c r="CCO248" s="10"/>
      <c r="CCP248" s="6"/>
      <c r="CCQ248" s="7"/>
      <c r="CCR248" s="8"/>
      <c r="CCS248" s="9"/>
      <c r="CCT248" s="10"/>
      <c r="CCU248" s="11"/>
      <c r="CCV248" s="10"/>
      <c r="CCW248" s="6"/>
      <c r="CCX248" s="7"/>
      <c r="CCY248" s="8"/>
      <c r="CCZ248" s="9"/>
      <c r="CDA248" s="10"/>
      <c r="CDB248" s="11"/>
      <c r="CDC248" s="10"/>
      <c r="CDD248" s="6"/>
      <c r="CDE248" s="7"/>
      <c r="CDF248" s="8"/>
      <c r="CDG248" s="9"/>
      <c r="CDH248" s="10"/>
      <c r="CDI248" s="11"/>
      <c r="CDJ248" s="10"/>
      <c r="CDK248" s="6"/>
      <c r="CDL248" s="7"/>
      <c r="CDM248" s="8"/>
      <c r="CDN248" s="9"/>
      <c r="CDO248" s="10"/>
      <c r="CDP248" s="11"/>
      <c r="CDQ248" s="10"/>
      <c r="CDR248" s="6"/>
      <c r="CDS248" s="7"/>
      <c r="CDT248" s="8"/>
      <c r="CDU248" s="9"/>
      <c r="CDV248" s="10"/>
      <c r="CDW248" s="11"/>
      <c r="CDX248" s="10"/>
      <c r="CDY248" s="6"/>
      <c r="CDZ248" s="7"/>
      <c r="CEA248" s="8"/>
      <c r="CEB248" s="9"/>
      <c r="CEC248" s="10"/>
      <c r="CED248" s="11"/>
      <c r="CEE248" s="10"/>
      <c r="CEF248" s="6"/>
      <c r="CEG248" s="7"/>
      <c r="CEH248" s="8"/>
      <c r="CEI248" s="9"/>
      <c r="CEJ248" s="10"/>
      <c r="CEK248" s="11"/>
      <c r="CEL248" s="10"/>
      <c r="CEM248" s="6"/>
      <c r="CEN248" s="7"/>
      <c r="CEO248" s="8"/>
      <c r="CEP248" s="9"/>
      <c r="CEQ248" s="10"/>
      <c r="CER248" s="11"/>
      <c r="CES248" s="10"/>
      <c r="CET248" s="6"/>
      <c r="CEU248" s="7"/>
      <c r="CEV248" s="8"/>
      <c r="CEW248" s="9"/>
      <c r="CEX248" s="10"/>
      <c r="CEY248" s="11"/>
      <c r="CEZ248" s="10"/>
      <c r="CFA248" s="6"/>
      <c r="CFB248" s="7"/>
      <c r="CFC248" s="8"/>
      <c r="CFD248" s="9"/>
      <c r="CFE248" s="10"/>
      <c r="CFF248" s="11"/>
      <c r="CFG248" s="10"/>
      <c r="CFH248" s="6"/>
      <c r="CFI248" s="7"/>
      <c r="CFJ248" s="8"/>
      <c r="CFK248" s="9"/>
      <c r="CFL248" s="10"/>
      <c r="CFM248" s="11"/>
      <c r="CFN248" s="10"/>
      <c r="CFO248" s="6"/>
      <c r="CFP248" s="7"/>
      <c r="CFQ248" s="8"/>
      <c r="CFR248" s="9"/>
      <c r="CFS248" s="10"/>
      <c r="CFT248" s="11"/>
      <c r="CFU248" s="10"/>
      <c r="CFV248" s="6"/>
      <c r="CFW248" s="7"/>
      <c r="CFX248" s="8"/>
      <c r="CFY248" s="9"/>
      <c r="CFZ248" s="10"/>
      <c r="CGA248" s="11"/>
      <c r="CGB248" s="10"/>
      <c r="CGC248" s="6"/>
      <c r="CGD248" s="7"/>
      <c r="CGE248" s="8"/>
      <c r="CGF248" s="9"/>
      <c r="CGG248" s="10"/>
      <c r="CGH248" s="11"/>
      <c r="CGI248" s="10"/>
      <c r="CGJ248" s="6"/>
      <c r="CGK248" s="7"/>
      <c r="CGL248" s="8"/>
      <c r="CGM248" s="9"/>
      <c r="CGN248" s="10"/>
      <c r="CGO248" s="11"/>
      <c r="CGP248" s="10"/>
      <c r="CGQ248" s="6"/>
      <c r="CGR248" s="7"/>
      <c r="CGS248" s="8"/>
      <c r="CGT248" s="9"/>
      <c r="CGU248" s="10"/>
      <c r="CGV248" s="11"/>
      <c r="CGW248" s="10"/>
      <c r="CGX248" s="6"/>
      <c r="CGY248" s="7"/>
      <c r="CGZ248" s="8"/>
      <c r="CHA248" s="9"/>
      <c r="CHB248" s="10"/>
      <c r="CHC248" s="11"/>
      <c r="CHD248" s="10"/>
      <c r="CHE248" s="6"/>
      <c r="CHF248" s="7"/>
      <c r="CHG248" s="8"/>
      <c r="CHH248" s="9"/>
      <c r="CHI248" s="10"/>
      <c r="CHJ248" s="11"/>
      <c r="CHK248" s="10"/>
      <c r="CHL248" s="6"/>
      <c r="CHM248" s="7"/>
      <c r="CHN248" s="8"/>
      <c r="CHO248" s="9"/>
      <c r="CHP248" s="10"/>
      <c r="CHQ248" s="11"/>
      <c r="CHR248" s="10"/>
      <c r="CHS248" s="6"/>
      <c r="CHT248" s="7"/>
      <c r="CHU248" s="8"/>
      <c r="CHV248" s="9"/>
      <c r="CHW248" s="10"/>
      <c r="CHX248" s="11"/>
      <c r="CHY248" s="10"/>
      <c r="CHZ248" s="6"/>
      <c r="CIA248" s="7"/>
      <c r="CIB248" s="8"/>
      <c r="CIC248" s="9"/>
      <c r="CID248" s="10"/>
      <c r="CIE248" s="11"/>
      <c r="CIF248" s="10"/>
      <c r="CIG248" s="6"/>
      <c r="CIH248" s="7"/>
      <c r="CII248" s="8"/>
      <c r="CIJ248" s="9"/>
      <c r="CIK248" s="10"/>
      <c r="CIL248" s="11"/>
      <c r="CIM248" s="10"/>
      <c r="CIN248" s="6"/>
      <c r="CIO248" s="7"/>
      <c r="CIP248" s="8"/>
      <c r="CIQ248" s="9"/>
      <c r="CIR248" s="10"/>
      <c r="CIS248" s="11"/>
      <c r="CIT248" s="10"/>
      <c r="CIU248" s="6"/>
      <c r="CIV248" s="7"/>
      <c r="CIW248" s="8"/>
      <c r="CIX248" s="9"/>
      <c r="CIY248" s="10"/>
      <c r="CIZ248" s="11"/>
      <c r="CJA248" s="10"/>
      <c r="CJB248" s="6"/>
      <c r="CJC248" s="7"/>
      <c r="CJD248" s="8"/>
      <c r="CJE248" s="9"/>
      <c r="CJF248" s="10"/>
      <c r="CJG248" s="11"/>
      <c r="CJH248" s="10"/>
      <c r="CJI248" s="6"/>
      <c r="CJJ248" s="7"/>
      <c r="CJK248" s="8"/>
      <c r="CJL248" s="9"/>
      <c r="CJM248" s="10"/>
      <c r="CJN248" s="11"/>
      <c r="CJO248" s="10"/>
      <c r="CJP248" s="6"/>
      <c r="CJQ248" s="7"/>
      <c r="CJR248" s="8"/>
      <c r="CJS248" s="9"/>
      <c r="CJT248" s="10"/>
      <c r="CJU248" s="11"/>
      <c r="CJV248" s="10"/>
      <c r="CJW248" s="6"/>
      <c r="CJX248" s="7"/>
      <c r="CJY248" s="8"/>
      <c r="CJZ248" s="9"/>
      <c r="CKA248" s="10"/>
      <c r="CKB248" s="11"/>
      <c r="CKC248" s="10"/>
      <c r="CKD248" s="6"/>
      <c r="CKE248" s="7"/>
      <c r="CKF248" s="8"/>
      <c r="CKG248" s="9"/>
      <c r="CKH248" s="10"/>
      <c r="CKI248" s="11"/>
      <c r="CKJ248" s="10"/>
      <c r="CKK248" s="6"/>
      <c r="CKL248" s="7"/>
      <c r="CKM248" s="8"/>
      <c r="CKN248" s="9"/>
      <c r="CKO248" s="10"/>
      <c r="CKP248" s="11"/>
      <c r="CKQ248" s="10"/>
      <c r="CKR248" s="6"/>
      <c r="CKS248" s="7"/>
      <c r="CKT248" s="8"/>
      <c r="CKU248" s="9"/>
      <c r="CKV248" s="10"/>
      <c r="CKW248" s="11"/>
      <c r="CKX248" s="10"/>
      <c r="CKY248" s="6"/>
      <c r="CKZ248" s="7"/>
      <c r="CLA248" s="8"/>
      <c r="CLB248" s="9"/>
      <c r="CLC248" s="10"/>
      <c r="CLD248" s="11"/>
      <c r="CLE248" s="10"/>
      <c r="CLF248" s="6"/>
      <c r="CLG248" s="7"/>
      <c r="CLH248" s="8"/>
      <c r="CLI248" s="9"/>
      <c r="CLJ248" s="10"/>
      <c r="CLK248" s="11"/>
      <c r="CLL248" s="10"/>
      <c r="CLM248" s="6"/>
      <c r="CLN248" s="7"/>
      <c r="CLO248" s="8"/>
      <c r="CLP248" s="9"/>
      <c r="CLQ248" s="10"/>
      <c r="CLR248" s="11"/>
      <c r="CLS248" s="10"/>
      <c r="CLT248" s="6"/>
      <c r="CLU248" s="7"/>
      <c r="CLV248" s="8"/>
      <c r="CLW248" s="9"/>
      <c r="CLX248" s="10"/>
      <c r="CLY248" s="11"/>
      <c r="CLZ248" s="10"/>
      <c r="CMA248" s="6"/>
      <c r="CMB248" s="7"/>
      <c r="CMC248" s="8"/>
      <c r="CMD248" s="9"/>
      <c r="CME248" s="10"/>
      <c r="CMF248" s="11"/>
      <c r="CMG248" s="10"/>
      <c r="CMH248" s="6"/>
      <c r="CMI248" s="7"/>
      <c r="CMJ248" s="8"/>
      <c r="CMK248" s="9"/>
      <c r="CML248" s="10"/>
      <c r="CMM248" s="11"/>
      <c r="CMN248" s="10"/>
      <c r="CMO248" s="6"/>
      <c r="CMP248" s="7"/>
      <c r="CMQ248" s="8"/>
      <c r="CMR248" s="9"/>
      <c r="CMS248" s="10"/>
      <c r="CMT248" s="11"/>
      <c r="CMU248" s="10"/>
      <c r="CMV248" s="6"/>
      <c r="CMW248" s="7"/>
      <c r="CMX248" s="8"/>
      <c r="CMY248" s="9"/>
      <c r="CMZ248" s="10"/>
      <c r="CNA248" s="11"/>
      <c r="CNB248" s="10"/>
      <c r="CNC248" s="6"/>
      <c r="CND248" s="7"/>
      <c r="CNE248" s="8"/>
      <c r="CNF248" s="9"/>
      <c r="CNG248" s="10"/>
      <c r="CNH248" s="11"/>
      <c r="CNI248" s="10"/>
      <c r="CNJ248" s="6"/>
      <c r="CNK248" s="7"/>
      <c r="CNL248" s="8"/>
      <c r="CNM248" s="9"/>
      <c r="CNN248" s="10"/>
      <c r="CNO248" s="11"/>
      <c r="CNP248" s="10"/>
      <c r="CNQ248" s="6"/>
      <c r="CNR248" s="7"/>
      <c r="CNS248" s="8"/>
      <c r="CNT248" s="9"/>
      <c r="CNU248" s="10"/>
      <c r="CNV248" s="11"/>
      <c r="CNW248" s="10"/>
      <c r="CNX248" s="6"/>
      <c r="CNY248" s="7"/>
      <c r="CNZ248" s="8"/>
      <c r="COA248" s="9"/>
      <c r="COB248" s="10"/>
      <c r="COC248" s="11"/>
      <c r="COD248" s="10"/>
      <c r="COE248" s="6"/>
      <c r="COF248" s="7"/>
      <c r="COG248" s="8"/>
      <c r="COH248" s="9"/>
      <c r="COI248" s="10"/>
      <c r="COJ248" s="11"/>
      <c r="COK248" s="10"/>
      <c r="COL248" s="6"/>
      <c r="COM248" s="7"/>
      <c r="CON248" s="8"/>
      <c r="COO248" s="9"/>
      <c r="COP248" s="10"/>
      <c r="COQ248" s="11"/>
      <c r="COR248" s="10"/>
      <c r="COS248" s="6"/>
      <c r="COT248" s="7"/>
      <c r="COU248" s="8"/>
      <c r="COV248" s="9"/>
      <c r="COW248" s="10"/>
      <c r="COX248" s="11"/>
      <c r="COY248" s="10"/>
      <c r="COZ248" s="6"/>
      <c r="CPA248" s="7"/>
      <c r="CPB248" s="8"/>
      <c r="CPC248" s="9"/>
      <c r="CPD248" s="10"/>
      <c r="CPE248" s="11"/>
      <c r="CPF248" s="10"/>
      <c r="CPG248" s="6"/>
      <c r="CPH248" s="7"/>
      <c r="CPI248" s="8"/>
      <c r="CPJ248" s="9"/>
      <c r="CPK248" s="10"/>
      <c r="CPL248" s="11"/>
      <c r="CPM248" s="10"/>
      <c r="CPN248" s="6"/>
      <c r="CPO248" s="7"/>
      <c r="CPP248" s="8"/>
      <c r="CPQ248" s="9"/>
      <c r="CPR248" s="10"/>
      <c r="CPS248" s="11"/>
      <c r="CPT248" s="10"/>
      <c r="CPU248" s="6"/>
      <c r="CPV248" s="7"/>
      <c r="CPW248" s="8"/>
      <c r="CPX248" s="9"/>
      <c r="CPY248" s="10"/>
      <c r="CPZ248" s="11"/>
      <c r="CQA248" s="10"/>
      <c r="CQB248" s="6"/>
      <c r="CQC248" s="7"/>
      <c r="CQD248" s="8"/>
      <c r="CQE248" s="9"/>
      <c r="CQF248" s="10"/>
      <c r="CQG248" s="11"/>
      <c r="CQH248" s="10"/>
      <c r="CQI248" s="6"/>
      <c r="CQJ248" s="7"/>
      <c r="CQK248" s="8"/>
      <c r="CQL248" s="9"/>
      <c r="CQM248" s="10"/>
      <c r="CQN248" s="11"/>
      <c r="CQO248" s="10"/>
      <c r="CQP248" s="6"/>
      <c r="CQQ248" s="7"/>
      <c r="CQR248" s="8"/>
      <c r="CQS248" s="9"/>
      <c r="CQT248" s="10"/>
      <c r="CQU248" s="11"/>
      <c r="CQV248" s="10"/>
      <c r="CQW248" s="6"/>
      <c r="CQX248" s="7"/>
      <c r="CQY248" s="8"/>
      <c r="CQZ248" s="9"/>
      <c r="CRA248" s="10"/>
      <c r="CRB248" s="11"/>
      <c r="CRC248" s="10"/>
      <c r="CRD248" s="6"/>
      <c r="CRE248" s="7"/>
      <c r="CRF248" s="8"/>
      <c r="CRG248" s="9"/>
      <c r="CRH248" s="10"/>
      <c r="CRI248" s="11"/>
      <c r="CRJ248" s="10"/>
      <c r="CRK248" s="6"/>
      <c r="CRL248" s="7"/>
      <c r="CRM248" s="8"/>
      <c r="CRN248" s="9"/>
      <c r="CRO248" s="10"/>
      <c r="CRP248" s="11"/>
      <c r="CRQ248" s="10"/>
      <c r="CRR248" s="6"/>
      <c r="CRS248" s="7"/>
      <c r="CRT248" s="8"/>
      <c r="CRU248" s="9"/>
      <c r="CRV248" s="10"/>
      <c r="CRW248" s="11"/>
      <c r="CRX248" s="10"/>
      <c r="CRY248" s="6"/>
      <c r="CRZ248" s="7"/>
      <c r="CSA248" s="8"/>
      <c r="CSB248" s="9"/>
      <c r="CSC248" s="10"/>
      <c r="CSD248" s="11"/>
      <c r="CSE248" s="10"/>
      <c r="CSF248" s="6"/>
      <c r="CSG248" s="7"/>
      <c r="CSH248" s="8"/>
      <c r="CSI248" s="9"/>
      <c r="CSJ248" s="10"/>
      <c r="CSK248" s="11"/>
      <c r="CSL248" s="10"/>
      <c r="CSM248" s="6"/>
      <c r="CSN248" s="7"/>
      <c r="CSO248" s="8"/>
      <c r="CSP248" s="9"/>
      <c r="CSQ248" s="10"/>
      <c r="CSR248" s="11"/>
      <c r="CSS248" s="10"/>
      <c r="CST248" s="6"/>
      <c r="CSU248" s="7"/>
      <c r="CSV248" s="8"/>
      <c r="CSW248" s="9"/>
      <c r="CSX248" s="10"/>
      <c r="CSY248" s="11"/>
      <c r="CSZ248" s="10"/>
      <c r="CTA248" s="6"/>
      <c r="CTB248" s="7"/>
      <c r="CTC248" s="8"/>
      <c r="CTD248" s="9"/>
      <c r="CTE248" s="10"/>
      <c r="CTF248" s="11"/>
      <c r="CTG248" s="10"/>
      <c r="CTH248" s="6"/>
      <c r="CTI248" s="7"/>
      <c r="CTJ248" s="8"/>
      <c r="CTK248" s="9"/>
      <c r="CTL248" s="10"/>
      <c r="CTM248" s="11"/>
      <c r="CTN248" s="10"/>
      <c r="CTO248" s="6"/>
      <c r="CTP248" s="7"/>
      <c r="CTQ248" s="8"/>
      <c r="CTR248" s="9"/>
      <c r="CTS248" s="10"/>
      <c r="CTT248" s="11"/>
      <c r="CTU248" s="10"/>
      <c r="CTV248" s="6"/>
      <c r="CTW248" s="7"/>
      <c r="CTX248" s="8"/>
      <c r="CTY248" s="9"/>
      <c r="CTZ248" s="10"/>
      <c r="CUA248" s="11"/>
      <c r="CUB248" s="10"/>
      <c r="CUC248" s="6"/>
      <c r="CUD248" s="7"/>
      <c r="CUE248" s="8"/>
      <c r="CUF248" s="9"/>
      <c r="CUG248" s="10"/>
      <c r="CUH248" s="11"/>
      <c r="CUI248" s="10"/>
      <c r="CUJ248" s="6"/>
      <c r="CUK248" s="7"/>
      <c r="CUL248" s="8"/>
      <c r="CUM248" s="9"/>
      <c r="CUN248" s="10"/>
      <c r="CUO248" s="11"/>
      <c r="CUP248" s="10"/>
      <c r="CUQ248" s="6"/>
      <c r="CUR248" s="7"/>
      <c r="CUS248" s="8"/>
      <c r="CUT248" s="9"/>
      <c r="CUU248" s="10"/>
      <c r="CUV248" s="11"/>
      <c r="CUW248" s="10"/>
      <c r="CUX248" s="6"/>
      <c r="CUY248" s="7"/>
      <c r="CUZ248" s="8"/>
      <c r="CVA248" s="9"/>
      <c r="CVB248" s="10"/>
      <c r="CVC248" s="11"/>
      <c r="CVD248" s="10"/>
      <c r="CVE248" s="6"/>
      <c r="CVF248" s="7"/>
      <c r="CVG248" s="8"/>
      <c r="CVH248" s="9"/>
      <c r="CVI248" s="10"/>
      <c r="CVJ248" s="11"/>
      <c r="CVK248" s="10"/>
      <c r="CVL248" s="6"/>
      <c r="CVM248" s="7"/>
      <c r="CVN248" s="8"/>
      <c r="CVO248" s="9"/>
      <c r="CVP248" s="10"/>
      <c r="CVQ248" s="11"/>
      <c r="CVR248" s="10"/>
      <c r="CVS248" s="6"/>
      <c r="CVT248" s="7"/>
      <c r="CVU248" s="8"/>
      <c r="CVV248" s="9"/>
      <c r="CVW248" s="10"/>
      <c r="CVX248" s="11"/>
      <c r="CVY248" s="10"/>
      <c r="CVZ248" s="6"/>
      <c r="CWA248" s="7"/>
      <c r="CWB248" s="8"/>
      <c r="CWC248" s="9"/>
      <c r="CWD248" s="10"/>
      <c r="CWE248" s="11"/>
      <c r="CWF248" s="10"/>
      <c r="CWG248" s="6"/>
      <c r="CWH248" s="7"/>
      <c r="CWI248" s="8"/>
      <c r="CWJ248" s="9"/>
      <c r="CWK248" s="10"/>
      <c r="CWL248" s="11"/>
      <c r="CWM248" s="10"/>
      <c r="CWN248" s="6"/>
      <c r="CWO248" s="7"/>
      <c r="CWP248" s="8"/>
      <c r="CWQ248" s="9"/>
      <c r="CWR248" s="10"/>
      <c r="CWS248" s="11"/>
      <c r="CWT248" s="10"/>
      <c r="CWU248" s="6"/>
      <c r="CWV248" s="7"/>
      <c r="CWW248" s="8"/>
      <c r="CWX248" s="9"/>
      <c r="CWY248" s="10"/>
      <c r="CWZ248" s="11"/>
      <c r="CXA248" s="10"/>
      <c r="CXB248" s="6"/>
      <c r="CXC248" s="7"/>
      <c r="CXD248" s="8"/>
      <c r="CXE248" s="9"/>
      <c r="CXF248" s="10"/>
      <c r="CXG248" s="11"/>
      <c r="CXH248" s="10"/>
      <c r="CXI248" s="6"/>
      <c r="CXJ248" s="7"/>
      <c r="CXK248" s="8"/>
      <c r="CXL248" s="9"/>
      <c r="CXM248" s="10"/>
      <c r="CXN248" s="11"/>
      <c r="CXO248" s="10"/>
      <c r="CXP248" s="6"/>
      <c r="CXQ248" s="7"/>
      <c r="CXR248" s="8"/>
      <c r="CXS248" s="9"/>
      <c r="CXT248" s="10"/>
      <c r="CXU248" s="11"/>
      <c r="CXV248" s="10"/>
      <c r="CXW248" s="6"/>
      <c r="CXX248" s="7"/>
      <c r="CXY248" s="8"/>
      <c r="CXZ248" s="9"/>
      <c r="CYA248" s="10"/>
      <c r="CYB248" s="11"/>
      <c r="CYC248" s="10"/>
      <c r="CYD248" s="6"/>
      <c r="CYE248" s="7"/>
      <c r="CYF248" s="8"/>
      <c r="CYG248" s="9"/>
      <c r="CYH248" s="10"/>
      <c r="CYI248" s="11"/>
      <c r="CYJ248" s="10"/>
      <c r="CYK248" s="6"/>
      <c r="CYL248" s="7"/>
      <c r="CYM248" s="8"/>
      <c r="CYN248" s="9"/>
      <c r="CYO248" s="10"/>
      <c r="CYP248" s="11"/>
      <c r="CYQ248" s="10"/>
      <c r="CYR248" s="6"/>
      <c r="CYS248" s="7"/>
      <c r="CYT248" s="8"/>
      <c r="CYU248" s="9"/>
      <c r="CYV248" s="10"/>
      <c r="CYW248" s="11"/>
      <c r="CYX248" s="10"/>
      <c r="CYY248" s="6"/>
      <c r="CYZ248" s="7"/>
      <c r="CZA248" s="8"/>
      <c r="CZB248" s="9"/>
      <c r="CZC248" s="10"/>
      <c r="CZD248" s="11"/>
      <c r="CZE248" s="10"/>
      <c r="CZF248" s="6"/>
      <c r="CZG248" s="7"/>
      <c r="CZH248" s="8"/>
      <c r="CZI248" s="9"/>
      <c r="CZJ248" s="10"/>
      <c r="CZK248" s="11"/>
      <c r="CZL248" s="10"/>
      <c r="CZM248" s="6"/>
      <c r="CZN248" s="7"/>
      <c r="CZO248" s="8"/>
      <c r="CZP248" s="9"/>
      <c r="CZQ248" s="10"/>
      <c r="CZR248" s="11"/>
      <c r="CZS248" s="10"/>
      <c r="CZT248" s="6"/>
      <c r="CZU248" s="7"/>
      <c r="CZV248" s="8"/>
      <c r="CZW248" s="9"/>
      <c r="CZX248" s="10"/>
      <c r="CZY248" s="11"/>
      <c r="CZZ248" s="10"/>
      <c r="DAA248" s="6"/>
      <c r="DAB248" s="7"/>
      <c r="DAC248" s="8"/>
      <c r="DAD248" s="9"/>
      <c r="DAE248" s="10"/>
      <c r="DAF248" s="11"/>
      <c r="DAG248" s="10"/>
      <c r="DAH248" s="6"/>
      <c r="DAI248" s="7"/>
      <c r="DAJ248" s="8"/>
      <c r="DAK248" s="9"/>
      <c r="DAL248" s="10"/>
      <c r="DAM248" s="11"/>
      <c r="DAN248" s="10"/>
      <c r="DAO248" s="6"/>
      <c r="DAP248" s="7"/>
      <c r="DAQ248" s="8"/>
      <c r="DAR248" s="9"/>
      <c r="DAS248" s="10"/>
      <c r="DAT248" s="11"/>
      <c r="DAU248" s="10"/>
      <c r="DAV248" s="6"/>
      <c r="DAW248" s="7"/>
      <c r="DAX248" s="8"/>
      <c r="DAY248" s="9"/>
      <c r="DAZ248" s="10"/>
      <c r="DBA248" s="11"/>
      <c r="DBB248" s="10"/>
      <c r="DBC248" s="6"/>
      <c r="DBD248" s="7"/>
      <c r="DBE248" s="8"/>
      <c r="DBF248" s="9"/>
      <c r="DBG248" s="10"/>
      <c r="DBH248" s="11"/>
      <c r="DBI248" s="10"/>
      <c r="DBJ248" s="6"/>
      <c r="DBK248" s="7"/>
      <c r="DBL248" s="8"/>
      <c r="DBM248" s="9"/>
      <c r="DBN248" s="10"/>
      <c r="DBO248" s="11"/>
      <c r="DBP248" s="10"/>
      <c r="DBQ248" s="6"/>
      <c r="DBR248" s="7"/>
      <c r="DBS248" s="8"/>
      <c r="DBT248" s="9"/>
      <c r="DBU248" s="10"/>
      <c r="DBV248" s="11"/>
      <c r="DBW248" s="10"/>
      <c r="DBX248" s="6"/>
      <c r="DBY248" s="7"/>
      <c r="DBZ248" s="8"/>
      <c r="DCA248" s="9"/>
      <c r="DCB248" s="10"/>
      <c r="DCC248" s="11"/>
      <c r="DCD248" s="10"/>
      <c r="DCE248" s="6"/>
      <c r="DCF248" s="7"/>
      <c r="DCG248" s="8"/>
      <c r="DCH248" s="9"/>
      <c r="DCI248" s="10"/>
      <c r="DCJ248" s="11"/>
      <c r="DCK248" s="10"/>
      <c r="DCL248" s="6"/>
      <c r="DCM248" s="7"/>
      <c r="DCN248" s="8"/>
      <c r="DCO248" s="9"/>
      <c r="DCP248" s="10"/>
      <c r="DCQ248" s="11"/>
      <c r="DCR248" s="10"/>
      <c r="DCS248" s="6"/>
      <c r="DCT248" s="7"/>
      <c r="DCU248" s="8"/>
      <c r="DCV248" s="9"/>
      <c r="DCW248" s="10"/>
      <c r="DCX248" s="11"/>
      <c r="DCY248" s="10"/>
      <c r="DCZ248" s="6"/>
      <c r="DDA248" s="7"/>
      <c r="DDB248" s="8"/>
      <c r="DDC248" s="9"/>
      <c r="DDD248" s="10"/>
      <c r="DDE248" s="11"/>
      <c r="DDF248" s="10"/>
      <c r="DDG248" s="6"/>
      <c r="DDH248" s="7"/>
      <c r="DDI248" s="8"/>
      <c r="DDJ248" s="9"/>
      <c r="DDK248" s="10"/>
      <c r="DDL248" s="11"/>
      <c r="DDM248" s="10"/>
      <c r="DDN248" s="6"/>
      <c r="DDO248" s="7"/>
      <c r="DDP248" s="8"/>
      <c r="DDQ248" s="9"/>
      <c r="DDR248" s="10"/>
      <c r="DDS248" s="11"/>
      <c r="DDT248" s="10"/>
      <c r="DDU248" s="6"/>
      <c r="DDV248" s="7"/>
      <c r="DDW248" s="8"/>
      <c r="DDX248" s="9"/>
      <c r="DDY248" s="10"/>
      <c r="DDZ248" s="11"/>
      <c r="DEA248" s="10"/>
      <c r="DEB248" s="6"/>
      <c r="DEC248" s="7"/>
      <c r="DED248" s="8"/>
      <c r="DEE248" s="9"/>
      <c r="DEF248" s="10"/>
      <c r="DEG248" s="11"/>
      <c r="DEH248" s="10"/>
      <c r="DEI248" s="6"/>
      <c r="DEJ248" s="7"/>
      <c r="DEK248" s="8"/>
      <c r="DEL248" s="9"/>
      <c r="DEM248" s="10"/>
      <c r="DEN248" s="11"/>
      <c r="DEO248" s="10"/>
      <c r="DEP248" s="6"/>
      <c r="DEQ248" s="7"/>
      <c r="DER248" s="8"/>
      <c r="DES248" s="9"/>
      <c r="DET248" s="10"/>
      <c r="DEU248" s="11"/>
      <c r="DEV248" s="10"/>
      <c r="DEW248" s="6"/>
      <c r="DEX248" s="7"/>
      <c r="DEY248" s="8"/>
      <c r="DEZ248" s="9"/>
      <c r="DFA248" s="10"/>
      <c r="DFB248" s="11"/>
      <c r="DFC248" s="10"/>
      <c r="DFD248" s="6"/>
      <c r="DFE248" s="7"/>
      <c r="DFF248" s="8"/>
      <c r="DFG248" s="9"/>
      <c r="DFH248" s="10"/>
      <c r="DFI248" s="11"/>
      <c r="DFJ248" s="10"/>
      <c r="DFK248" s="6"/>
      <c r="DFL248" s="7"/>
      <c r="DFM248" s="8"/>
      <c r="DFN248" s="9"/>
      <c r="DFO248" s="10"/>
      <c r="DFP248" s="11"/>
      <c r="DFQ248" s="10"/>
      <c r="DFR248" s="6"/>
      <c r="DFS248" s="7"/>
      <c r="DFT248" s="8"/>
      <c r="DFU248" s="9"/>
      <c r="DFV248" s="10"/>
      <c r="DFW248" s="11"/>
      <c r="DFX248" s="10"/>
      <c r="DFY248" s="6"/>
      <c r="DFZ248" s="7"/>
      <c r="DGA248" s="8"/>
      <c r="DGB248" s="9"/>
      <c r="DGC248" s="10"/>
      <c r="DGD248" s="11"/>
      <c r="DGE248" s="10"/>
      <c r="DGF248" s="6"/>
      <c r="DGG248" s="7"/>
      <c r="DGH248" s="8"/>
      <c r="DGI248" s="9"/>
      <c r="DGJ248" s="10"/>
      <c r="DGK248" s="11"/>
      <c r="DGL248" s="10"/>
      <c r="DGM248" s="6"/>
      <c r="DGN248" s="7"/>
      <c r="DGO248" s="8"/>
      <c r="DGP248" s="9"/>
      <c r="DGQ248" s="10"/>
      <c r="DGR248" s="11"/>
      <c r="DGS248" s="10"/>
      <c r="DGT248" s="6"/>
      <c r="DGU248" s="7"/>
      <c r="DGV248" s="8"/>
      <c r="DGW248" s="9"/>
      <c r="DGX248" s="10"/>
      <c r="DGY248" s="11"/>
      <c r="DGZ248" s="10"/>
      <c r="DHA248" s="6"/>
      <c r="DHB248" s="7"/>
      <c r="DHC248" s="8"/>
      <c r="DHD248" s="9"/>
      <c r="DHE248" s="10"/>
      <c r="DHF248" s="11"/>
      <c r="DHG248" s="10"/>
      <c r="DHH248" s="6"/>
      <c r="DHI248" s="7"/>
      <c r="DHJ248" s="8"/>
      <c r="DHK248" s="9"/>
      <c r="DHL248" s="10"/>
      <c r="DHM248" s="11"/>
      <c r="DHN248" s="10"/>
      <c r="DHO248" s="6"/>
      <c r="DHP248" s="7"/>
      <c r="DHQ248" s="8"/>
      <c r="DHR248" s="9"/>
      <c r="DHS248" s="10"/>
      <c r="DHT248" s="11"/>
      <c r="DHU248" s="10"/>
      <c r="DHV248" s="6"/>
      <c r="DHW248" s="7"/>
      <c r="DHX248" s="8"/>
      <c r="DHY248" s="9"/>
      <c r="DHZ248" s="10"/>
      <c r="DIA248" s="11"/>
      <c r="DIB248" s="10"/>
      <c r="DIC248" s="6"/>
      <c r="DID248" s="7"/>
      <c r="DIE248" s="8"/>
      <c r="DIF248" s="9"/>
      <c r="DIG248" s="10"/>
      <c r="DIH248" s="11"/>
      <c r="DII248" s="10"/>
      <c r="DIJ248" s="6"/>
      <c r="DIK248" s="7"/>
      <c r="DIL248" s="8"/>
      <c r="DIM248" s="9"/>
      <c r="DIN248" s="10"/>
      <c r="DIO248" s="11"/>
      <c r="DIP248" s="10"/>
      <c r="DIQ248" s="6"/>
      <c r="DIR248" s="7"/>
      <c r="DIS248" s="8"/>
      <c r="DIT248" s="9"/>
      <c r="DIU248" s="10"/>
      <c r="DIV248" s="11"/>
      <c r="DIW248" s="10"/>
      <c r="DIX248" s="6"/>
      <c r="DIY248" s="7"/>
      <c r="DIZ248" s="8"/>
      <c r="DJA248" s="9"/>
      <c r="DJB248" s="10"/>
      <c r="DJC248" s="11"/>
      <c r="DJD248" s="10"/>
      <c r="DJE248" s="6"/>
      <c r="DJF248" s="7"/>
      <c r="DJG248" s="8"/>
      <c r="DJH248" s="9"/>
      <c r="DJI248" s="10"/>
      <c r="DJJ248" s="11"/>
      <c r="DJK248" s="10"/>
      <c r="DJL248" s="6"/>
      <c r="DJM248" s="7"/>
      <c r="DJN248" s="8"/>
      <c r="DJO248" s="9"/>
      <c r="DJP248" s="10"/>
      <c r="DJQ248" s="11"/>
      <c r="DJR248" s="10"/>
      <c r="DJS248" s="6"/>
      <c r="DJT248" s="7"/>
      <c r="DJU248" s="8"/>
      <c r="DJV248" s="9"/>
      <c r="DJW248" s="10"/>
      <c r="DJX248" s="11"/>
      <c r="DJY248" s="10"/>
      <c r="DJZ248" s="6"/>
      <c r="DKA248" s="7"/>
      <c r="DKB248" s="8"/>
      <c r="DKC248" s="9"/>
      <c r="DKD248" s="10"/>
      <c r="DKE248" s="11"/>
      <c r="DKF248" s="10"/>
      <c r="DKG248" s="6"/>
      <c r="DKH248" s="7"/>
      <c r="DKI248" s="8"/>
      <c r="DKJ248" s="9"/>
      <c r="DKK248" s="10"/>
      <c r="DKL248" s="11"/>
      <c r="DKM248" s="10"/>
      <c r="DKN248" s="6"/>
      <c r="DKO248" s="7"/>
      <c r="DKP248" s="8"/>
      <c r="DKQ248" s="9"/>
      <c r="DKR248" s="10"/>
      <c r="DKS248" s="11"/>
      <c r="DKT248" s="10"/>
      <c r="DKU248" s="6"/>
      <c r="DKV248" s="7"/>
      <c r="DKW248" s="8"/>
      <c r="DKX248" s="9"/>
      <c r="DKY248" s="10"/>
      <c r="DKZ248" s="11"/>
      <c r="DLA248" s="10"/>
      <c r="DLB248" s="6"/>
      <c r="DLC248" s="7"/>
      <c r="DLD248" s="8"/>
      <c r="DLE248" s="9"/>
      <c r="DLF248" s="10"/>
      <c r="DLG248" s="11"/>
      <c r="DLH248" s="10"/>
      <c r="DLI248" s="6"/>
      <c r="DLJ248" s="7"/>
      <c r="DLK248" s="8"/>
      <c r="DLL248" s="9"/>
      <c r="DLM248" s="10"/>
      <c r="DLN248" s="11"/>
      <c r="DLO248" s="10"/>
      <c r="DLP248" s="6"/>
      <c r="DLQ248" s="7"/>
      <c r="DLR248" s="8"/>
      <c r="DLS248" s="9"/>
      <c r="DLT248" s="10"/>
      <c r="DLU248" s="11"/>
      <c r="DLV248" s="10"/>
      <c r="DLW248" s="6"/>
      <c r="DLX248" s="7"/>
      <c r="DLY248" s="8"/>
      <c r="DLZ248" s="9"/>
      <c r="DMA248" s="10"/>
      <c r="DMB248" s="11"/>
      <c r="DMC248" s="10"/>
      <c r="DMD248" s="6"/>
      <c r="DME248" s="7"/>
      <c r="DMF248" s="8"/>
      <c r="DMG248" s="9"/>
      <c r="DMH248" s="10"/>
      <c r="DMI248" s="11"/>
      <c r="DMJ248" s="10"/>
      <c r="DMK248" s="6"/>
      <c r="DML248" s="7"/>
      <c r="DMM248" s="8"/>
      <c r="DMN248" s="9"/>
      <c r="DMO248" s="10"/>
      <c r="DMP248" s="11"/>
      <c r="DMQ248" s="10"/>
      <c r="DMR248" s="6"/>
      <c r="DMS248" s="7"/>
      <c r="DMT248" s="8"/>
      <c r="DMU248" s="9"/>
      <c r="DMV248" s="10"/>
      <c r="DMW248" s="11"/>
      <c r="DMX248" s="10"/>
      <c r="DMY248" s="6"/>
      <c r="DMZ248" s="7"/>
      <c r="DNA248" s="8"/>
      <c r="DNB248" s="9"/>
      <c r="DNC248" s="10"/>
      <c r="DND248" s="11"/>
      <c r="DNE248" s="10"/>
      <c r="DNF248" s="6"/>
      <c r="DNG248" s="7"/>
      <c r="DNH248" s="8"/>
      <c r="DNI248" s="9"/>
      <c r="DNJ248" s="10"/>
      <c r="DNK248" s="11"/>
      <c r="DNL248" s="10"/>
      <c r="DNM248" s="6"/>
      <c r="DNN248" s="7"/>
      <c r="DNO248" s="8"/>
      <c r="DNP248" s="9"/>
      <c r="DNQ248" s="10"/>
      <c r="DNR248" s="11"/>
      <c r="DNS248" s="10"/>
      <c r="DNT248" s="6"/>
      <c r="DNU248" s="7"/>
      <c r="DNV248" s="8"/>
      <c r="DNW248" s="9"/>
      <c r="DNX248" s="10"/>
      <c r="DNY248" s="11"/>
      <c r="DNZ248" s="10"/>
      <c r="DOA248" s="6"/>
      <c r="DOB248" s="7"/>
      <c r="DOC248" s="8"/>
      <c r="DOD248" s="9"/>
      <c r="DOE248" s="10"/>
      <c r="DOF248" s="11"/>
      <c r="DOG248" s="10"/>
      <c r="DOH248" s="6"/>
      <c r="DOI248" s="7"/>
      <c r="DOJ248" s="8"/>
      <c r="DOK248" s="9"/>
      <c r="DOL248" s="10"/>
      <c r="DOM248" s="11"/>
      <c r="DON248" s="10"/>
      <c r="DOO248" s="6"/>
      <c r="DOP248" s="7"/>
      <c r="DOQ248" s="8"/>
      <c r="DOR248" s="9"/>
      <c r="DOS248" s="10"/>
      <c r="DOT248" s="11"/>
      <c r="DOU248" s="10"/>
      <c r="DOV248" s="6"/>
      <c r="DOW248" s="7"/>
      <c r="DOX248" s="8"/>
      <c r="DOY248" s="9"/>
      <c r="DOZ248" s="10"/>
      <c r="DPA248" s="11"/>
      <c r="DPB248" s="10"/>
      <c r="DPC248" s="6"/>
      <c r="DPD248" s="7"/>
      <c r="DPE248" s="8"/>
      <c r="DPF248" s="9"/>
      <c r="DPG248" s="10"/>
      <c r="DPH248" s="11"/>
      <c r="DPI248" s="10"/>
      <c r="DPJ248" s="6"/>
      <c r="DPK248" s="7"/>
      <c r="DPL248" s="8"/>
      <c r="DPM248" s="9"/>
      <c r="DPN248" s="10"/>
      <c r="DPO248" s="11"/>
      <c r="DPP248" s="10"/>
      <c r="DPQ248" s="6"/>
      <c r="DPR248" s="7"/>
      <c r="DPS248" s="8"/>
      <c r="DPT248" s="9"/>
      <c r="DPU248" s="10"/>
      <c r="DPV248" s="11"/>
      <c r="DPW248" s="10"/>
      <c r="DPX248" s="6"/>
      <c r="DPY248" s="7"/>
      <c r="DPZ248" s="8"/>
      <c r="DQA248" s="9"/>
      <c r="DQB248" s="10"/>
      <c r="DQC248" s="11"/>
      <c r="DQD248" s="10"/>
      <c r="DQE248" s="6"/>
      <c r="DQF248" s="7"/>
      <c r="DQG248" s="8"/>
      <c r="DQH248" s="9"/>
      <c r="DQI248" s="10"/>
      <c r="DQJ248" s="11"/>
      <c r="DQK248" s="10"/>
      <c r="DQL248" s="6"/>
      <c r="DQM248" s="7"/>
      <c r="DQN248" s="8"/>
      <c r="DQO248" s="9"/>
      <c r="DQP248" s="10"/>
      <c r="DQQ248" s="11"/>
      <c r="DQR248" s="10"/>
      <c r="DQS248" s="6"/>
      <c r="DQT248" s="7"/>
      <c r="DQU248" s="8"/>
      <c r="DQV248" s="9"/>
      <c r="DQW248" s="10"/>
      <c r="DQX248" s="11"/>
      <c r="DQY248" s="10"/>
      <c r="DQZ248" s="6"/>
      <c r="DRA248" s="7"/>
      <c r="DRB248" s="8"/>
      <c r="DRC248" s="9"/>
      <c r="DRD248" s="10"/>
      <c r="DRE248" s="11"/>
      <c r="DRF248" s="10"/>
      <c r="DRG248" s="6"/>
      <c r="DRH248" s="7"/>
      <c r="DRI248" s="8"/>
      <c r="DRJ248" s="9"/>
      <c r="DRK248" s="10"/>
      <c r="DRL248" s="11"/>
      <c r="DRM248" s="10"/>
      <c r="DRN248" s="6"/>
      <c r="DRO248" s="7"/>
      <c r="DRP248" s="8"/>
      <c r="DRQ248" s="9"/>
      <c r="DRR248" s="10"/>
      <c r="DRS248" s="11"/>
      <c r="DRT248" s="10"/>
      <c r="DRU248" s="6"/>
      <c r="DRV248" s="7"/>
      <c r="DRW248" s="8"/>
      <c r="DRX248" s="9"/>
      <c r="DRY248" s="10"/>
      <c r="DRZ248" s="11"/>
      <c r="DSA248" s="10"/>
      <c r="DSB248" s="6"/>
      <c r="DSC248" s="7"/>
      <c r="DSD248" s="8"/>
      <c r="DSE248" s="9"/>
      <c r="DSF248" s="10"/>
      <c r="DSG248" s="11"/>
      <c r="DSH248" s="10"/>
      <c r="DSI248" s="6"/>
      <c r="DSJ248" s="7"/>
      <c r="DSK248" s="8"/>
      <c r="DSL248" s="9"/>
      <c r="DSM248" s="10"/>
      <c r="DSN248" s="11"/>
      <c r="DSO248" s="10"/>
      <c r="DSP248" s="6"/>
      <c r="DSQ248" s="7"/>
      <c r="DSR248" s="8"/>
      <c r="DSS248" s="9"/>
      <c r="DST248" s="10"/>
      <c r="DSU248" s="11"/>
      <c r="DSV248" s="10"/>
      <c r="DSW248" s="6"/>
      <c r="DSX248" s="7"/>
      <c r="DSY248" s="8"/>
      <c r="DSZ248" s="9"/>
      <c r="DTA248" s="10"/>
      <c r="DTB248" s="11"/>
      <c r="DTC248" s="10"/>
      <c r="DTD248" s="6"/>
      <c r="DTE248" s="7"/>
      <c r="DTF248" s="8"/>
      <c r="DTG248" s="9"/>
      <c r="DTH248" s="10"/>
      <c r="DTI248" s="11"/>
      <c r="DTJ248" s="10"/>
      <c r="DTK248" s="6"/>
      <c r="DTL248" s="7"/>
      <c r="DTM248" s="8"/>
      <c r="DTN248" s="9"/>
      <c r="DTO248" s="10"/>
      <c r="DTP248" s="11"/>
      <c r="DTQ248" s="10"/>
      <c r="DTR248" s="6"/>
      <c r="DTS248" s="7"/>
      <c r="DTT248" s="8"/>
      <c r="DTU248" s="9"/>
      <c r="DTV248" s="10"/>
      <c r="DTW248" s="11"/>
      <c r="DTX248" s="10"/>
      <c r="DTY248" s="6"/>
      <c r="DTZ248" s="7"/>
      <c r="DUA248" s="8"/>
      <c r="DUB248" s="9"/>
      <c r="DUC248" s="10"/>
      <c r="DUD248" s="11"/>
      <c r="DUE248" s="10"/>
      <c r="DUF248" s="6"/>
      <c r="DUG248" s="7"/>
      <c r="DUH248" s="8"/>
      <c r="DUI248" s="9"/>
      <c r="DUJ248" s="10"/>
      <c r="DUK248" s="11"/>
      <c r="DUL248" s="10"/>
      <c r="DUM248" s="6"/>
      <c r="DUN248" s="7"/>
      <c r="DUO248" s="8"/>
      <c r="DUP248" s="9"/>
      <c r="DUQ248" s="10"/>
      <c r="DUR248" s="11"/>
      <c r="DUS248" s="10"/>
      <c r="DUT248" s="6"/>
      <c r="DUU248" s="7"/>
      <c r="DUV248" s="8"/>
      <c r="DUW248" s="9"/>
      <c r="DUX248" s="10"/>
      <c r="DUY248" s="11"/>
      <c r="DUZ248" s="10"/>
      <c r="DVA248" s="6"/>
      <c r="DVB248" s="7"/>
      <c r="DVC248" s="8"/>
      <c r="DVD248" s="9"/>
      <c r="DVE248" s="10"/>
      <c r="DVF248" s="11"/>
      <c r="DVG248" s="10"/>
      <c r="DVH248" s="6"/>
      <c r="DVI248" s="7"/>
      <c r="DVJ248" s="8"/>
      <c r="DVK248" s="9"/>
      <c r="DVL248" s="10"/>
      <c r="DVM248" s="11"/>
      <c r="DVN248" s="10"/>
      <c r="DVO248" s="6"/>
      <c r="DVP248" s="7"/>
      <c r="DVQ248" s="8"/>
      <c r="DVR248" s="9"/>
      <c r="DVS248" s="10"/>
      <c r="DVT248" s="11"/>
      <c r="DVU248" s="10"/>
      <c r="DVV248" s="6"/>
      <c r="DVW248" s="7"/>
      <c r="DVX248" s="8"/>
      <c r="DVY248" s="9"/>
      <c r="DVZ248" s="10"/>
      <c r="DWA248" s="11"/>
      <c r="DWB248" s="10"/>
      <c r="DWC248" s="6"/>
      <c r="DWD248" s="7"/>
      <c r="DWE248" s="8"/>
      <c r="DWF248" s="9"/>
      <c r="DWG248" s="10"/>
      <c r="DWH248" s="11"/>
      <c r="DWI248" s="10"/>
      <c r="DWJ248" s="6"/>
      <c r="DWK248" s="7"/>
      <c r="DWL248" s="8"/>
      <c r="DWM248" s="9"/>
      <c r="DWN248" s="10"/>
      <c r="DWO248" s="11"/>
      <c r="DWP248" s="10"/>
      <c r="DWQ248" s="6"/>
      <c r="DWR248" s="7"/>
      <c r="DWS248" s="8"/>
      <c r="DWT248" s="9"/>
      <c r="DWU248" s="10"/>
      <c r="DWV248" s="11"/>
      <c r="DWW248" s="10"/>
      <c r="DWX248" s="6"/>
      <c r="DWY248" s="7"/>
      <c r="DWZ248" s="8"/>
      <c r="DXA248" s="9"/>
      <c r="DXB248" s="10"/>
      <c r="DXC248" s="11"/>
      <c r="DXD248" s="10"/>
      <c r="DXE248" s="6"/>
      <c r="DXF248" s="7"/>
      <c r="DXG248" s="8"/>
      <c r="DXH248" s="9"/>
      <c r="DXI248" s="10"/>
      <c r="DXJ248" s="11"/>
      <c r="DXK248" s="10"/>
      <c r="DXL248" s="6"/>
      <c r="DXM248" s="7"/>
      <c r="DXN248" s="8"/>
      <c r="DXO248" s="9"/>
      <c r="DXP248" s="10"/>
      <c r="DXQ248" s="11"/>
      <c r="DXR248" s="10"/>
      <c r="DXS248" s="6"/>
      <c r="DXT248" s="7"/>
      <c r="DXU248" s="8"/>
      <c r="DXV248" s="9"/>
      <c r="DXW248" s="10"/>
      <c r="DXX248" s="11"/>
      <c r="DXY248" s="10"/>
      <c r="DXZ248" s="6"/>
      <c r="DYA248" s="7"/>
      <c r="DYB248" s="8"/>
      <c r="DYC248" s="9"/>
      <c r="DYD248" s="10"/>
      <c r="DYE248" s="11"/>
      <c r="DYF248" s="10"/>
      <c r="DYG248" s="6"/>
      <c r="DYH248" s="7"/>
      <c r="DYI248" s="8"/>
      <c r="DYJ248" s="9"/>
      <c r="DYK248" s="10"/>
      <c r="DYL248" s="11"/>
      <c r="DYM248" s="10"/>
      <c r="DYN248" s="6"/>
      <c r="DYO248" s="7"/>
      <c r="DYP248" s="8"/>
      <c r="DYQ248" s="9"/>
      <c r="DYR248" s="10"/>
      <c r="DYS248" s="11"/>
      <c r="DYT248" s="10"/>
      <c r="DYU248" s="6"/>
      <c r="DYV248" s="7"/>
      <c r="DYW248" s="8"/>
      <c r="DYX248" s="9"/>
      <c r="DYY248" s="10"/>
      <c r="DYZ248" s="11"/>
      <c r="DZA248" s="10"/>
      <c r="DZB248" s="6"/>
      <c r="DZC248" s="7"/>
      <c r="DZD248" s="8"/>
      <c r="DZE248" s="9"/>
      <c r="DZF248" s="10"/>
      <c r="DZG248" s="11"/>
      <c r="DZH248" s="10"/>
      <c r="DZI248" s="6"/>
      <c r="DZJ248" s="7"/>
      <c r="DZK248" s="8"/>
      <c r="DZL248" s="9"/>
      <c r="DZM248" s="10"/>
      <c r="DZN248" s="11"/>
      <c r="DZO248" s="10"/>
      <c r="DZP248" s="6"/>
      <c r="DZQ248" s="7"/>
      <c r="DZR248" s="8"/>
      <c r="DZS248" s="9"/>
      <c r="DZT248" s="10"/>
      <c r="DZU248" s="11"/>
      <c r="DZV248" s="10"/>
      <c r="DZW248" s="6"/>
      <c r="DZX248" s="7"/>
      <c r="DZY248" s="8"/>
      <c r="DZZ248" s="9"/>
      <c r="EAA248" s="10"/>
      <c r="EAB248" s="11"/>
      <c r="EAC248" s="10"/>
      <c r="EAD248" s="6"/>
      <c r="EAE248" s="7"/>
      <c r="EAF248" s="8"/>
      <c r="EAG248" s="9"/>
      <c r="EAH248" s="10"/>
      <c r="EAI248" s="11"/>
      <c r="EAJ248" s="10"/>
      <c r="EAK248" s="6"/>
      <c r="EAL248" s="7"/>
      <c r="EAM248" s="8"/>
      <c r="EAN248" s="9"/>
      <c r="EAO248" s="10"/>
      <c r="EAP248" s="11"/>
      <c r="EAQ248" s="10"/>
      <c r="EAR248" s="6"/>
      <c r="EAS248" s="7"/>
      <c r="EAT248" s="8"/>
      <c r="EAU248" s="9"/>
      <c r="EAV248" s="10"/>
      <c r="EAW248" s="11"/>
      <c r="EAX248" s="10"/>
      <c r="EAY248" s="6"/>
      <c r="EAZ248" s="7"/>
      <c r="EBA248" s="8"/>
      <c r="EBB248" s="9"/>
      <c r="EBC248" s="10"/>
      <c r="EBD248" s="11"/>
      <c r="EBE248" s="10"/>
      <c r="EBF248" s="6"/>
      <c r="EBG248" s="7"/>
      <c r="EBH248" s="8"/>
      <c r="EBI248" s="9"/>
      <c r="EBJ248" s="10"/>
      <c r="EBK248" s="11"/>
      <c r="EBL248" s="10"/>
      <c r="EBM248" s="6"/>
      <c r="EBN248" s="7"/>
      <c r="EBO248" s="8"/>
      <c r="EBP248" s="9"/>
      <c r="EBQ248" s="10"/>
      <c r="EBR248" s="11"/>
      <c r="EBS248" s="10"/>
      <c r="EBT248" s="6"/>
      <c r="EBU248" s="7"/>
      <c r="EBV248" s="8"/>
      <c r="EBW248" s="9"/>
      <c r="EBX248" s="10"/>
      <c r="EBY248" s="11"/>
      <c r="EBZ248" s="10"/>
      <c r="ECA248" s="6"/>
      <c r="ECB248" s="7"/>
      <c r="ECC248" s="8"/>
      <c r="ECD248" s="9"/>
      <c r="ECE248" s="10"/>
      <c r="ECF248" s="11"/>
      <c r="ECG248" s="10"/>
      <c r="ECH248" s="6"/>
      <c r="ECI248" s="7"/>
      <c r="ECJ248" s="8"/>
      <c r="ECK248" s="9"/>
      <c r="ECL248" s="10"/>
      <c r="ECM248" s="11"/>
      <c r="ECN248" s="10"/>
      <c r="ECO248" s="6"/>
      <c r="ECP248" s="7"/>
      <c r="ECQ248" s="8"/>
      <c r="ECR248" s="9"/>
      <c r="ECS248" s="10"/>
      <c r="ECT248" s="11"/>
      <c r="ECU248" s="10"/>
      <c r="ECV248" s="6"/>
      <c r="ECW248" s="7"/>
      <c r="ECX248" s="8"/>
      <c r="ECY248" s="9"/>
      <c r="ECZ248" s="10"/>
      <c r="EDA248" s="11"/>
      <c r="EDB248" s="10"/>
      <c r="EDC248" s="6"/>
      <c r="EDD248" s="7"/>
      <c r="EDE248" s="8"/>
      <c r="EDF248" s="9"/>
      <c r="EDG248" s="10"/>
      <c r="EDH248" s="11"/>
      <c r="EDI248" s="10"/>
      <c r="EDJ248" s="6"/>
      <c r="EDK248" s="7"/>
      <c r="EDL248" s="8"/>
      <c r="EDM248" s="9"/>
      <c r="EDN248" s="10"/>
      <c r="EDO248" s="11"/>
      <c r="EDP248" s="10"/>
      <c r="EDQ248" s="6"/>
      <c r="EDR248" s="7"/>
      <c r="EDS248" s="8"/>
      <c r="EDT248" s="9"/>
      <c r="EDU248" s="10"/>
      <c r="EDV248" s="11"/>
      <c r="EDW248" s="10"/>
      <c r="EDX248" s="6"/>
      <c r="EDY248" s="7"/>
      <c r="EDZ248" s="8"/>
      <c r="EEA248" s="9"/>
      <c r="EEB248" s="10"/>
      <c r="EEC248" s="11"/>
      <c r="EED248" s="10"/>
      <c r="EEE248" s="6"/>
      <c r="EEF248" s="7"/>
      <c r="EEG248" s="8"/>
      <c r="EEH248" s="9"/>
      <c r="EEI248" s="10"/>
      <c r="EEJ248" s="11"/>
      <c r="EEK248" s="10"/>
      <c r="EEL248" s="6"/>
      <c r="EEM248" s="7"/>
      <c r="EEN248" s="8"/>
      <c r="EEO248" s="9"/>
      <c r="EEP248" s="10"/>
      <c r="EEQ248" s="11"/>
      <c r="EER248" s="10"/>
      <c r="EES248" s="6"/>
      <c r="EET248" s="7"/>
      <c r="EEU248" s="8"/>
      <c r="EEV248" s="9"/>
      <c r="EEW248" s="10"/>
      <c r="EEX248" s="11"/>
      <c r="EEY248" s="10"/>
      <c r="EEZ248" s="6"/>
      <c r="EFA248" s="7"/>
      <c r="EFB248" s="8"/>
      <c r="EFC248" s="9"/>
      <c r="EFD248" s="10"/>
      <c r="EFE248" s="11"/>
      <c r="EFF248" s="10"/>
      <c r="EFG248" s="6"/>
      <c r="EFH248" s="7"/>
      <c r="EFI248" s="8"/>
      <c r="EFJ248" s="9"/>
      <c r="EFK248" s="10"/>
      <c r="EFL248" s="11"/>
      <c r="EFM248" s="10"/>
      <c r="EFN248" s="6"/>
      <c r="EFO248" s="7"/>
      <c r="EFP248" s="8"/>
      <c r="EFQ248" s="9"/>
      <c r="EFR248" s="10"/>
      <c r="EFS248" s="11"/>
      <c r="EFT248" s="10"/>
      <c r="EFU248" s="6"/>
      <c r="EFV248" s="7"/>
      <c r="EFW248" s="8"/>
      <c r="EFX248" s="9"/>
      <c r="EFY248" s="10"/>
      <c r="EFZ248" s="11"/>
      <c r="EGA248" s="10"/>
      <c r="EGB248" s="6"/>
      <c r="EGC248" s="7"/>
      <c r="EGD248" s="8"/>
      <c r="EGE248" s="9"/>
      <c r="EGF248" s="10"/>
      <c r="EGG248" s="11"/>
      <c r="EGH248" s="10"/>
      <c r="EGI248" s="6"/>
      <c r="EGJ248" s="7"/>
      <c r="EGK248" s="8"/>
      <c r="EGL248" s="9"/>
      <c r="EGM248" s="10"/>
      <c r="EGN248" s="11"/>
      <c r="EGO248" s="10"/>
      <c r="EGP248" s="6"/>
      <c r="EGQ248" s="7"/>
      <c r="EGR248" s="8"/>
      <c r="EGS248" s="9"/>
      <c r="EGT248" s="10"/>
      <c r="EGU248" s="11"/>
      <c r="EGV248" s="10"/>
      <c r="EGW248" s="6"/>
      <c r="EGX248" s="7"/>
      <c r="EGY248" s="8"/>
      <c r="EGZ248" s="9"/>
      <c r="EHA248" s="10"/>
      <c r="EHB248" s="11"/>
      <c r="EHC248" s="10"/>
      <c r="EHD248" s="6"/>
      <c r="EHE248" s="7"/>
      <c r="EHF248" s="8"/>
      <c r="EHG248" s="9"/>
      <c r="EHH248" s="10"/>
      <c r="EHI248" s="11"/>
      <c r="EHJ248" s="10"/>
      <c r="EHK248" s="6"/>
      <c r="EHL248" s="7"/>
      <c r="EHM248" s="8"/>
      <c r="EHN248" s="9"/>
      <c r="EHO248" s="10"/>
      <c r="EHP248" s="11"/>
      <c r="EHQ248" s="10"/>
      <c r="EHR248" s="6"/>
      <c r="EHS248" s="7"/>
      <c r="EHT248" s="8"/>
      <c r="EHU248" s="9"/>
      <c r="EHV248" s="10"/>
      <c r="EHW248" s="11"/>
      <c r="EHX248" s="10"/>
      <c r="EHY248" s="6"/>
      <c r="EHZ248" s="7"/>
      <c r="EIA248" s="8"/>
      <c r="EIB248" s="9"/>
      <c r="EIC248" s="10"/>
      <c r="EID248" s="11"/>
      <c r="EIE248" s="10"/>
      <c r="EIF248" s="6"/>
      <c r="EIG248" s="7"/>
      <c r="EIH248" s="8"/>
      <c r="EII248" s="9"/>
      <c r="EIJ248" s="10"/>
      <c r="EIK248" s="11"/>
      <c r="EIL248" s="10"/>
      <c r="EIM248" s="6"/>
      <c r="EIN248" s="7"/>
      <c r="EIO248" s="8"/>
      <c r="EIP248" s="9"/>
      <c r="EIQ248" s="10"/>
      <c r="EIR248" s="11"/>
      <c r="EIS248" s="10"/>
      <c r="EIT248" s="6"/>
      <c r="EIU248" s="7"/>
      <c r="EIV248" s="8"/>
      <c r="EIW248" s="9"/>
      <c r="EIX248" s="10"/>
      <c r="EIY248" s="11"/>
      <c r="EIZ248" s="10"/>
      <c r="EJA248" s="6"/>
      <c r="EJB248" s="7"/>
      <c r="EJC248" s="8"/>
      <c r="EJD248" s="9"/>
      <c r="EJE248" s="10"/>
      <c r="EJF248" s="11"/>
      <c r="EJG248" s="10"/>
      <c r="EJH248" s="6"/>
      <c r="EJI248" s="7"/>
      <c r="EJJ248" s="8"/>
      <c r="EJK248" s="9"/>
      <c r="EJL248" s="10"/>
      <c r="EJM248" s="11"/>
      <c r="EJN248" s="10"/>
      <c r="EJO248" s="6"/>
      <c r="EJP248" s="7"/>
      <c r="EJQ248" s="8"/>
      <c r="EJR248" s="9"/>
      <c r="EJS248" s="10"/>
      <c r="EJT248" s="11"/>
      <c r="EJU248" s="10"/>
      <c r="EJV248" s="6"/>
      <c r="EJW248" s="7"/>
      <c r="EJX248" s="8"/>
      <c r="EJY248" s="9"/>
      <c r="EJZ248" s="10"/>
      <c r="EKA248" s="11"/>
      <c r="EKB248" s="10"/>
      <c r="EKC248" s="6"/>
      <c r="EKD248" s="7"/>
      <c r="EKE248" s="8"/>
      <c r="EKF248" s="9"/>
      <c r="EKG248" s="10"/>
      <c r="EKH248" s="11"/>
      <c r="EKI248" s="10"/>
      <c r="EKJ248" s="6"/>
      <c r="EKK248" s="7"/>
      <c r="EKL248" s="8"/>
      <c r="EKM248" s="9"/>
      <c r="EKN248" s="10"/>
      <c r="EKO248" s="11"/>
      <c r="EKP248" s="10"/>
      <c r="EKQ248" s="6"/>
      <c r="EKR248" s="7"/>
      <c r="EKS248" s="8"/>
      <c r="EKT248" s="9"/>
      <c r="EKU248" s="10"/>
      <c r="EKV248" s="11"/>
      <c r="EKW248" s="10"/>
      <c r="EKX248" s="6"/>
      <c r="EKY248" s="7"/>
      <c r="EKZ248" s="8"/>
      <c r="ELA248" s="9"/>
      <c r="ELB248" s="10"/>
      <c r="ELC248" s="11"/>
      <c r="ELD248" s="10"/>
      <c r="ELE248" s="6"/>
      <c r="ELF248" s="7"/>
      <c r="ELG248" s="8"/>
      <c r="ELH248" s="9"/>
      <c r="ELI248" s="10"/>
      <c r="ELJ248" s="11"/>
      <c r="ELK248" s="10"/>
      <c r="ELL248" s="6"/>
      <c r="ELM248" s="7"/>
      <c r="ELN248" s="8"/>
      <c r="ELO248" s="9"/>
      <c r="ELP248" s="10"/>
      <c r="ELQ248" s="11"/>
      <c r="ELR248" s="10"/>
      <c r="ELS248" s="6"/>
      <c r="ELT248" s="7"/>
      <c r="ELU248" s="8"/>
      <c r="ELV248" s="9"/>
      <c r="ELW248" s="10"/>
      <c r="ELX248" s="11"/>
      <c r="ELY248" s="10"/>
      <c r="ELZ248" s="6"/>
      <c r="EMA248" s="7"/>
      <c r="EMB248" s="8"/>
      <c r="EMC248" s="9"/>
      <c r="EMD248" s="10"/>
      <c r="EME248" s="11"/>
      <c r="EMF248" s="10"/>
      <c r="EMG248" s="6"/>
      <c r="EMH248" s="7"/>
      <c r="EMI248" s="8"/>
      <c r="EMJ248" s="9"/>
      <c r="EMK248" s="10"/>
      <c r="EML248" s="11"/>
      <c r="EMM248" s="10"/>
      <c r="EMN248" s="6"/>
      <c r="EMO248" s="7"/>
      <c r="EMP248" s="8"/>
      <c r="EMQ248" s="9"/>
      <c r="EMR248" s="10"/>
      <c r="EMS248" s="11"/>
      <c r="EMT248" s="10"/>
      <c r="EMU248" s="6"/>
      <c r="EMV248" s="7"/>
      <c r="EMW248" s="8"/>
      <c r="EMX248" s="9"/>
      <c r="EMY248" s="10"/>
      <c r="EMZ248" s="11"/>
      <c r="ENA248" s="10"/>
      <c r="ENB248" s="6"/>
      <c r="ENC248" s="7"/>
      <c r="END248" s="8"/>
      <c r="ENE248" s="9"/>
      <c r="ENF248" s="10"/>
      <c r="ENG248" s="11"/>
      <c r="ENH248" s="10"/>
      <c r="ENI248" s="6"/>
      <c r="ENJ248" s="7"/>
      <c r="ENK248" s="8"/>
      <c r="ENL248" s="9"/>
      <c r="ENM248" s="10"/>
      <c r="ENN248" s="11"/>
      <c r="ENO248" s="10"/>
      <c r="ENP248" s="6"/>
      <c r="ENQ248" s="7"/>
      <c r="ENR248" s="8"/>
      <c r="ENS248" s="9"/>
      <c r="ENT248" s="10"/>
      <c r="ENU248" s="11"/>
      <c r="ENV248" s="10"/>
      <c r="ENW248" s="6"/>
      <c r="ENX248" s="7"/>
      <c r="ENY248" s="8"/>
      <c r="ENZ248" s="9"/>
      <c r="EOA248" s="10"/>
      <c r="EOB248" s="11"/>
      <c r="EOC248" s="10"/>
      <c r="EOD248" s="6"/>
      <c r="EOE248" s="7"/>
      <c r="EOF248" s="8"/>
      <c r="EOG248" s="9"/>
      <c r="EOH248" s="10"/>
      <c r="EOI248" s="11"/>
      <c r="EOJ248" s="10"/>
      <c r="EOK248" s="6"/>
      <c r="EOL248" s="7"/>
      <c r="EOM248" s="8"/>
      <c r="EON248" s="9"/>
      <c r="EOO248" s="10"/>
      <c r="EOP248" s="11"/>
      <c r="EOQ248" s="10"/>
      <c r="EOR248" s="6"/>
      <c r="EOS248" s="7"/>
      <c r="EOT248" s="8"/>
      <c r="EOU248" s="9"/>
      <c r="EOV248" s="10"/>
      <c r="EOW248" s="11"/>
      <c r="EOX248" s="10"/>
      <c r="EOY248" s="6"/>
      <c r="EOZ248" s="7"/>
      <c r="EPA248" s="8"/>
      <c r="EPB248" s="9"/>
      <c r="EPC248" s="10"/>
      <c r="EPD248" s="11"/>
      <c r="EPE248" s="10"/>
      <c r="EPF248" s="6"/>
      <c r="EPG248" s="7"/>
      <c r="EPH248" s="8"/>
      <c r="EPI248" s="9"/>
      <c r="EPJ248" s="10"/>
      <c r="EPK248" s="11"/>
      <c r="EPL248" s="10"/>
      <c r="EPM248" s="6"/>
      <c r="EPN248" s="7"/>
      <c r="EPO248" s="8"/>
      <c r="EPP248" s="9"/>
      <c r="EPQ248" s="10"/>
      <c r="EPR248" s="11"/>
      <c r="EPS248" s="10"/>
      <c r="EPT248" s="6"/>
      <c r="EPU248" s="7"/>
      <c r="EPV248" s="8"/>
      <c r="EPW248" s="9"/>
      <c r="EPX248" s="10"/>
      <c r="EPY248" s="11"/>
      <c r="EPZ248" s="10"/>
      <c r="EQA248" s="6"/>
      <c r="EQB248" s="7"/>
      <c r="EQC248" s="8"/>
      <c r="EQD248" s="9"/>
      <c r="EQE248" s="10"/>
      <c r="EQF248" s="11"/>
      <c r="EQG248" s="10"/>
      <c r="EQH248" s="6"/>
      <c r="EQI248" s="7"/>
      <c r="EQJ248" s="8"/>
      <c r="EQK248" s="9"/>
      <c r="EQL248" s="10"/>
      <c r="EQM248" s="11"/>
      <c r="EQN248" s="10"/>
      <c r="EQO248" s="6"/>
      <c r="EQP248" s="7"/>
      <c r="EQQ248" s="8"/>
      <c r="EQR248" s="9"/>
      <c r="EQS248" s="10"/>
      <c r="EQT248" s="11"/>
      <c r="EQU248" s="10"/>
      <c r="EQV248" s="6"/>
      <c r="EQW248" s="7"/>
      <c r="EQX248" s="8"/>
      <c r="EQY248" s="9"/>
      <c r="EQZ248" s="10"/>
      <c r="ERA248" s="11"/>
      <c r="ERB248" s="10"/>
      <c r="ERC248" s="6"/>
      <c r="ERD248" s="7"/>
      <c r="ERE248" s="8"/>
      <c r="ERF248" s="9"/>
      <c r="ERG248" s="10"/>
      <c r="ERH248" s="11"/>
      <c r="ERI248" s="10"/>
      <c r="ERJ248" s="6"/>
      <c r="ERK248" s="7"/>
      <c r="ERL248" s="8"/>
      <c r="ERM248" s="9"/>
      <c r="ERN248" s="10"/>
      <c r="ERO248" s="11"/>
      <c r="ERP248" s="10"/>
      <c r="ERQ248" s="6"/>
      <c r="ERR248" s="7"/>
      <c r="ERS248" s="8"/>
      <c r="ERT248" s="9"/>
      <c r="ERU248" s="10"/>
      <c r="ERV248" s="11"/>
      <c r="ERW248" s="10"/>
      <c r="ERX248" s="6"/>
      <c r="ERY248" s="7"/>
      <c r="ERZ248" s="8"/>
      <c r="ESA248" s="9"/>
      <c r="ESB248" s="10"/>
      <c r="ESC248" s="11"/>
      <c r="ESD248" s="10"/>
      <c r="ESE248" s="6"/>
      <c r="ESF248" s="7"/>
      <c r="ESG248" s="8"/>
      <c r="ESH248" s="9"/>
      <c r="ESI248" s="10"/>
      <c r="ESJ248" s="11"/>
      <c r="ESK248" s="10"/>
      <c r="ESL248" s="6"/>
      <c r="ESM248" s="7"/>
      <c r="ESN248" s="8"/>
      <c r="ESO248" s="9"/>
      <c r="ESP248" s="10"/>
      <c r="ESQ248" s="11"/>
      <c r="ESR248" s="10"/>
      <c r="ESS248" s="6"/>
      <c r="EST248" s="7"/>
      <c r="ESU248" s="8"/>
      <c r="ESV248" s="9"/>
      <c r="ESW248" s="10"/>
      <c r="ESX248" s="11"/>
      <c r="ESY248" s="10"/>
      <c r="ESZ248" s="6"/>
      <c r="ETA248" s="7"/>
      <c r="ETB248" s="8"/>
      <c r="ETC248" s="9"/>
      <c r="ETD248" s="10"/>
      <c r="ETE248" s="11"/>
      <c r="ETF248" s="10"/>
      <c r="ETG248" s="6"/>
      <c r="ETH248" s="7"/>
      <c r="ETI248" s="8"/>
      <c r="ETJ248" s="9"/>
      <c r="ETK248" s="10"/>
      <c r="ETL248" s="11"/>
      <c r="ETM248" s="10"/>
      <c r="ETN248" s="6"/>
      <c r="ETO248" s="7"/>
      <c r="ETP248" s="8"/>
      <c r="ETQ248" s="9"/>
      <c r="ETR248" s="10"/>
      <c r="ETS248" s="11"/>
      <c r="ETT248" s="10"/>
      <c r="ETU248" s="6"/>
      <c r="ETV248" s="7"/>
      <c r="ETW248" s="8"/>
      <c r="ETX248" s="9"/>
      <c r="ETY248" s="10"/>
      <c r="ETZ248" s="11"/>
      <c r="EUA248" s="10"/>
      <c r="EUB248" s="6"/>
      <c r="EUC248" s="7"/>
      <c r="EUD248" s="8"/>
      <c r="EUE248" s="9"/>
      <c r="EUF248" s="10"/>
      <c r="EUG248" s="11"/>
      <c r="EUH248" s="10"/>
      <c r="EUI248" s="6"/>
      <c r="EUJ248" s="7"/>
      <c r="EUK248" s="8"/>
      <c r="EUL248" s="9"/>
      <c r="EUM248" s="10"/>
      <c r="EUN248" s="11"/>
      <c r="EUO248" s="10"/>
      <c r="EUP248" s="6"/>
      <c r="EUQ248" s="7"/>
      <c r="EUR248" s="8"/>
      <c r="EUS248" s="9"/>
      <c r="EUT248" s="10"/>
      <c r="EUU248" s="11"/>
      <c r="EUV248" s="10"/>
      <c r="EUW248" s="6"/>
      <c r="EUX248" s="7"/>
      <c r="EUY248" s="8"/>
      <c r="EUZ248" s="9"/>
      <c r="EVA248" s="10"/>
      <c r="EVB248" s="11"/>
      <c r="EVC248" s="10"/>
      <c r="EVD248" s="6"/>
      <c r="EVE248" s="7"/>
      <c r="EVF248" s="8"/>
      <c r="EVG248" s="9"/>
      <c r="EVH248" s="10"/>
      <c r="EVI248" s="11"/>
      <c r="EVJ248" s="10"/>
      <c r="EVK248" s="6"/>
      <c r="EVL248" s="7"/>
      <c r="EVM248" s="8"/>
      <c r="EVN248" s="9"/>
      <c r="EVO248" s="10"/>
      <c r="EVP248" s="11"/>
      <c r="EVQ248" s="10"/>
      <c r="EVR248" s="6"/>
      <c r="EVS248" s="7"/>
      <c r="EVT248" s="8"/>
      <c r="EVU248" s="9"/>
      <c r="EVV248" s="10"/>
      <c r="EVW248" s="11"/>
      <c r="EVX248" s="10"/>
      <c r="EVY248" s="6"/>
      <c r="EVZ248" s="7"/>
      <c r="EWA248" s="8"/>
      <c r="EWB248" s="9"/>
      <c r="EWC248" s="10"/>
      <c r="EWD248" s="11"/>
      <c r="EWE248" s="10"/>
      <c r="EWF248" s="6"/>
      <c r="EWG248" s="7"/>
      <c r="EWH248" s="8"/>
      <c r="EWI248" s="9"/>
      <c r="EWJ248" s="10"/>
      <c r="EWK248" s="11"/>
      <c r="EWL248" s="10"/>
      <c r="EWM248" s="6"/>
      <c r="EWN248" s="7"/>
      <c r="EWO248" s="8"/>
      <c r="EWP248" s="9"/>
      <c r="EWQ248" s="10"/>
      <c r="EWR248" s="11"/>
      <c r="EWS248" s="10"/>
      <c r="EWT248" s="6"/>
      <c r="EWU248" s="7"/>
      <c r="EWV248" s="8"/>
      <c r="EWW248" s="9"/>
      <c r="EWX248" s="10"/>
      <c r="EWY248" s="11"/>
      <c r="EWZ248" s="10"/>
      <c r="EXA248" s="6"/>
      <c r="EXB248" s="7"/>
      <c r="EXC248" s="8"/>
      <c r="EXD248" s="9"/>
      <c r="EXE248" s="10"/>
      <c r="EXF248" s="11"/>
      <c r="EXG248" s="10"/>
      <c r="EXH248" s="6"/>
      <c r="EXI248" s="7"/>
      <c r="EXJ248" s="8"/>
      <c r="EXK248" s="9"/>
      <c r="EXL248" s="10"/>
      <c r="EXM248" s="11"/>
      <c r="EXN248" s="10"/>
      <c r="EXO248" s="6"/>
      <c r="EXP248" s="7"/>
      <c r="EXQ248" s="8"/>
      <c r="EXR248" s="9"/>
      <c r="EXS248" s="10"/>
      <c r="EXT248" s="11"/>
      <c r="EXU248" s="10"/>
      <c r="EXV248" s="6"/>
      <c r="EXW248" s="7"/>
      <c r="EXX248" s="8"/>
      <c r="EXY248" s="9"/>
      <c r="EXZ248" s="10"/>
      <c r="EYA248" s="11"/>
      <c r="EYB248" s="10"/>
      <c r="EYC248" s="6"/>
      <c r="EYD248" s="7"/>
      <c r="EYE248" s="8"/>
      <c r="EYF248" s="9"/>
      <c r="EYG248" s="10"/>
      <c r="EYH248" s="11"/>
      <c r="EYI248" s="10"/>
      <c r="EYJ248" s="6"/>
      <c r="EYK248" s="7"/>
      <c r="EYL248" s="8"/>
      <c r="EYM248" s="9"/>
      <c r="EYN248" s="10"/>
      <c r="EYO248" s="11"/>
      <c r="EYP248" s="10"/>
      <c r="EYQ248" s="6"/>
      <c r="EYR248" s="7"/>
      <c r="EYS248" s="8"/>
      <c r="EYT248" s="9"/>
      <c r="EYU248" s="10"/>
      <c r="EYV248" s="11"/>
      <c r="EYW248" s="10"/>
      <c r="EYX248" s="6"/>
      <c r="EYY248" s="7"/>
      <c r="EYZ248" s="8"/>
      <c r="EZA248" s="9"/>
      <c r="EZB248" s="10"/>
      <c r="EZC248" s="11"/>
      <c r="EZD248" s="10"/>
      <c r="EZE248" s="6"/>
      <c r="EZF248" s="7"/>
      <c r="EZG248" s="8"/>
      <c r="EZH248" s="9"/>
      <c r="EZI248" s="10"/>
      <c r="EZJ248" s="11"/>
      <c r="EZK248" s="10"/>
      <c r="EZL248" s="6"/>
      <c r="EZM248" s="7"/>
      <c r="EZN248" s="8"/>
      <c r="EZO248" s="9"/>
      <c r="EZP248" s="10"/>
      <c r="EZQ248" s="11"/>
      <c r="EZR248" s="10"/>
      <c r="EZS248" s="6"/>
      <c r="EZT248" s="7"/>
      <c r="EZU248" s="8"/>
      <c r="EZV248" s="9"/>
      <c r="EZW248" s="10"/>
      <c r="EZX248" s="11"/>
      <c r="EZY248" s="10"/>
      <c r="EZZ248" s="6"/>
      <c r="FAA248" s="7"/>
      <c r="FAB248" s="8"/>
      <c r="FAC248" s="9"/>
      <c r="FAD248" s="10"/>
      <c r="FAE248" s="11"/>
      <c r="FAF248" s="10"/>
      <c r="FAG248" s="6"/>
      <c r="FAH248" s="7"/>
      <c r="FAI248" s="8"/>
      <c r="FAJ248" s="9"/>
      <c r="FAK248" s="10"/>
      <c r="FAL248" s="11"/>
      <c r="FAM248" s="10"/>
      <c r="FAN248" s="6"/>
      <c r="FAO248" s="7"/>
      <c r="FAP248" s="8"/>
      <c r="FAQ248" s="9"/>
      <c r="FAR248" s="10"/>
      <c r="FAS248" s="11"/>
      <c r="FAT248" s="10"/>
      <c r="FAU248" s="6"/>
      <c r="FAV248" s="7"/>
      <c r="FAW248" s="8"/>
      <c r="FAX248" s="9"/>
      <c r="FAY248" s="10"/>
      <c r="FAZ248" s="11"/>
      <c r="FBA248" s="10"/>
      <c r="FBB248" s="6"/>
      <c r="FBC248" s="7"/>
      <c r="FBD248" s="8"/>
      <c r="FBE248" s="9"/>
      <c r="FBF248" s="10"/>
      <c r="FBG248" s="11"/>
      <c r="FBH248" s="10"/>
      <c r="FBI248" s="6"/>
      <c r="FBJ248" s="7"/>
      <c r="FBK248" s="8"/>
      <c r="FBL248" s="9"/>
      <c r="FBM248" s="10"/>
      <c r="FBN248" s="11"/>
      <c r="FBO248" s="10"/>
      <c r="FBP248" s="6"/>
      <c r="FBQ248" s="7"/>
      <c r="FBR248" s="8"/>
      <c r="FBS248" s="9"/>
      <c r="FBT248" s="10"/>
      <c r="FBU248" s="11"/>
      <c r="FBV248" s="10"/>
      <c r="FBW248" s="6"/>
      <c r="FBX248" s="7"/>
      <c r="FBY248" s="8"/>
      <c r="FBZ248" s="9"/>
      <c r="FCA248" s="10"/>
      <c r="FCB248" s="11"/>
      <c r="FCC248" s="10"/>
      <c r="FCD248" s="6"/>
      <c r="FCE248" s="7"/>
      <c r="FCF248" s="8"/>
      <c r="FCG248" s="9"/>
      <c r="FCH248" s="10"/>
      <c r="FCI248" s="11"/>
      <c r="FCJ248" s="10"/>
      <c r="FCK248" s="6"/>
      <c r="FCL248" s="7"/>
      <c r="FCM248" s="8"/>
      <c r="FCN248" s="9"/>
      <c r="FCO248" s="10"/>
      <c r="FCP248" s="11"/>
      <c r="FCQ248" s="10"/>
      <c r="FCR248" s="6"/>
      <c r="FCS248" s="7"/>
      <c r="FCT248" s="8"/>
      <c r="FCU248" s="9"/>
      <c r="FCV248" s="10"/>
      <c r="FCW248" s="11"/>
      <c r="FCX248" s="10"/>
      <c r="FCY248" s="6"/>
      <c r="FCZ248" s="7"/>
      <c r="FDA248" s="8"/>
      <c r="FDB248" s="9"/>
      <c r="FDC248" s="10"/>
      <c r="FDD248" s="11"/>
      <c r="FDE248" s="10"/>
      <c r="FDF248" s="6"/>
      <c r="FDG248" s="7"/>
      <c r="FDH248" s="8"/>
      <c r="FDI248" s="9"/>
      <c r="FDJ248" s="10"/>
      <c r="FDK248" s="11"/>
      <c r="FDL248" s="10"/>
      <c r="FDM248" s="6"/>
      <c r="FDN248" s="7"/>
      <c r="FDO248" s="8"/>
      <c r="FDP248" s="9"/>
      <c r="FDQ248" s="10"/>
      <c r="FDR248" s="11"/>
      <c r="FDS248" s="10"/>
      <c r="FDT248" s="6"/>
      <c r="FDU248" s="7"/>
      <c r="FDV248" s="8"/>
      <c r="FDW248" s="9"/>
      <c r="FDX248" s="10"/>
      <c r="FDY248" s="11"/>
      <c r="FDZ248" s="10"/>
      <c r="FEA248" s="6"/>
      <c r="FEB248" s="7"/>
      <c r="FEC248" s="8"/>
      <c r="FED248" s="9"/>
      <c r="FEE248" s="10"/>
      <c r="FEF248" s="11"/>
      <c r="FEG248" s="10"/>
      <c r="FEH248" s="6"/>
      <c r="FEI248" s="7"/>
      <c r="FEJ248" s="8"/>
      <c r="FEK248" s="9"/>
      <c r="FEL248" s="10"/>
      <c r="FEM248" s="11"/>
      <c r="FEN248" s="10"/>
      <c r="FEO248" s="6"/>
      <c r="FEP248" s="7"/>
      <c r="FEQ248" s="8"/>
      <c r="FER248" s="9"/>
      <c r="FES248" s="10"/>
      <c r="FET248" s="11"/>
      <c r="FEU248" s="10"/>
      <c r="FEV248" s="6"/>
      <c r="FEW248" s="7"/>
      <c r="FEX248" s="8"/>
      <c r="FEY248" s="9"/>
      <c r="FEZ248" s="10"/>
      <c r="FFA248" s="11"/>
      <c r="FFB248" s="10"/>
      <c r="FFC248" s="6"/>
      <c r="FFD248" s="7"/>
      <c r="FFE248" s="8"/>
      <c r="FFF248" s="9"/>
      <c r="FFG248" s="10"/>
      <c r="FFH248" s="11"/>
      <c r="FFI248" s="10"/>
      <c r="FFJ248" s="6"/>
      <c r="FFK248" s="7"/>
      <c r="FFL248" s="8"/>
      <c r="FFM248" s="9"/>
      <c r="FFN248" s="10"/>
      <c r="FFO248" s="11"/>
      <c r="FFP248" s="10"/>
      <c r="FFQ248" s="6"/>
      <c r="FFR248" s="7"/>
      <c r="FFS248" s="8"/>
      <c r="FFT248" s="9"/>
      <c r="FFU248" s="10"/>
      <c r="FFV248" s="11"/>
      <c r="FFW248" s="10"/>
      <c r="FFX248" s="6"/>
      <c r="FFY248" s="7"/>
      <c r="FFZ248" s="8"/>
      <c r="FGA248" s="9"/>
      <c r="FGB248" s="10"/>
      <c r="FGC248" s="11"/>
      <c r="FGD248" s="10"/>
      <c r="FGE248" s="6"/>
      <c r="FGF248" s="7"/>
      <c r="FGG248" s="8"/>
      <c r="FGH248" s="9"/>
      <c r="FGI248" s="10"/>
      <c r="FGJ248" s="11"/>
      <c r="FGK248" s="10"/>
      <c r="FGL248" s="6"/>
      <c r="FGM248" s="7"/>
      <c r="FGN248" s="8"/>
      <c r="FGO248" s="9"/>
      <c r="FGP248" s="10"/>
      <c r="FGQ248" s="11"/>
      <c r="FGR248" s="10"/>
      <c r="FGS248" s="6"/>
      <c r="FGT248" s="7"/>
      <c r="FGU248" s="8"/>
      <c r="FGV248" s="9"/>
      <c r="FGW248" s="10"/>
      <c r="FGX248" s="11"/>
      <c r="FGY248" s="10"/>
      <c r="FGZ248" s="6"/>
      <c r="FHA248" s="7"/>
      <c r="FHB248" s="8"/>
      <c r="FHC248" s="9"/>
      <c r="FHD248" s="10"/>
      <c r="FHE248" s="11"/>
      <c r="FHF248" s="10"/>
      <c r="FHG248" s="6"/>
      <c r="FHH248" s="7"/>
      <c r="FHI248" s="8"/>
      <c r="FHJ248" s="9"/>
      <c r="FHK248" s="10"/>
      <c r="FHL248" s="11"/>
      <c r="FHM248" s="10"/>
      <c r="FHN248" s="6"/>
      <c r="FHO248" s="7"/>
      <c r="FHP248" s="8"/>
      <c r="FHQ248" s="9"/>
      <c r="FHR248" s="10"/>
      <c r="FHS248" s="11"/>
      <c r="FHT248" s="10"/>
      <c r="FHU248" s="6"/>
      <c r="FHV248" s="7"/>
      <c r="FHW248" s="8"/>
      <c r="FHX248" s="9"/>
      <c r="FHY248" s="10"/>
      <c r="FHZ248" s="11"/>
      <c r="FIA248" s="10"/>
      <c r="FIB248" s="6"/>
      <c r="FIC248" s="7"/>
      <c r="FID248" s="8"/>
      <c r="FIE248" s="9"/>
      <c r="FIF248" s="10"/>
      <c r="FIG248" s="11"/>
      <c r="FIH248" s="10"/>
      <c r="FII248" s="6"/>
      <c r="FIJ248" s="7"/>
      <c r="FIK248" s="8"/>
      <c r="FIL248" s="9"/>
      <c r="FIM248" s="10"/>
      <c r="FIN248" s="11"/>
      <c r="FIO248" s="10"/>
      <c r="FIP248" s="6"/>
      <c r="FIQ248" s="7"/>
      <c r="FIR248" s="8"/>
      <c r="FIS248" s="9"/>
      <c r="FIT248" s="10"/>
      <c r="FIU248" s="11"/>
      <c r="FIV248" s="10"/>
      <c r="FIW248" s="6"/>
      <c r="FIX248" s="7"/>
      <c r="FIY248" s="8"/>
      <c r="FIZ248" s="9"/>
      <c r="FJA248" s="10"/>
      <c r="FJB248" s="11"/>
      <c r="FJC248" s="10"/>
      <c r="FJD248" s="6"/>
      <c r="FJE248" s="7"/>
      <c r="FJF248" s="8"/>
      <c r="FJG248" s="9"/>
      <c r="FJH248" s="10"/>
      <c r="FJI248" s="11"/>
      <c r="FJJ248" s="10"/>
      <c r="FJK248" s="6"/>
      <c r="FJL248" s="7"/>
      <c r="FJM248" s="8"/>
      <c r="FJN248" s="9"/>
      <c r="FJO248" s="10"/>
      <c r="FJP248" s="11"/>
      <c r="FJQ248" s="10"/>
      <c r="FJR248" s="6"/>
      <c r="FJS248" s="7"/>
      <c r="FJT248" s="8"/>
      <c r="FJU248" s="9"/>
      <c r="FJV248" s="10"/>
      <c r="FJW248" s="11"/>
      <c r="FJX248" s="10"/>
      <c r="FJY248" s="6"/>
      <c r="FJZ248" s="7"/>
      <c r="FKA248" s="8"/>
      <c r="FKB248" s="9"/>
      <c r="FKC248" s="10"/>
      <c r="FKD248" s="11"/>
      <c r="FKE248" s="10"/>
      <c r="FKF248" s="6"/>
      <c r="FKG248" s="7"/>
      <c r="FKH248" s="8"/>
      <c r="FKI248" s="9"/>
      <c r="FKJ248" s="10"/>
      <c r="FKK248" s="11"/>
      <c r="FKL248" s="10"/>
      <c r="FKM248" s="6"/>
      <c r="FKN248" s="7"/>
      <c r="FKO248" s="8"/>
      <c r="FKP248" s="9"/>
      <c r="FKQ248" s="10"/>
      <c r="FKR248" s="11"/>
      <c r="FKS248" s="10"/>
      <c r="FKT248" s="6"/>
      <c r="FKU248" s="7"/>
      <c r="FKV248" s="8"/>
      <c r="FKW248" s="9"/>
      <c r="FKX248" s="10"/>
      <c r="FKY248" s="11"/>
      <c r="FKZ248" s="10"/>
      <c r="FLA248" s="6"/>
      <c r="FLB248" s="7"/>
      <c r="FLC248" s="8"/>
      <c r="FLD248" s="9"/>
      <c r="FLE248" s="10"/>
      <c r="FLF248" s="11"/>
      <c r="FLG248" s="10"/>
      <c r="FLH248" s="6"/>
      <c r="FLI248" s="7"/>
      <c r="FLJ248" s="8"/>
      <c r="FLK248" s="9"/>
      <c r="FLL248" s="10"/>
      <c r="FLM248" s="11"/>
      <c r="FLN248" s="10"/>
      <c r="FLO248" s="6"/>
      <c r="FLP248" s="7"/>
      <c r="FLQ248" s="8"/>
      <c r="FLR248" s="9"/>
      <c r="FLS248" s="10"/>
      <c r="FLT248" s="11"/>
      <c r="FLU248" s="10"/>
      <c r="FLV248" s="6"/>
      <c r="FLW248" s="7"/>
      <c r="FLX248" s="8"/>
      <c r="FLY248" s="9"/>
      <c r="FLZ248" s="10"/>
      <c r="FMA248" s="11"/>
      <c r="FMB248" s="10"/>
      <c r="FMC248" s="6"/>
      <c r="FMD248" s="7"/>
      <c r="FME248" s="8"/>
      <c r="FMF248" s="9"/>
      <c r="FMG248" s="10"/>
      <c r="FMH248" s="11"/>
      <c r="FMI248" s="10"/>
      <c r="FMJ248" s="6"/>
      <c r="FMK248" s="7"/>
      <c r="FML248" s="8"/>
      <c r="FMM248" s="9"/>
      <c r="FMN248" s="10"/>
      <c r="FMO248" s="11"/>
      <c r="FMP248" s="10"/>
      <c r="FMQ248" s="6"/>
      <c r="FMR248" s="7"/>
      <c r="FMS248" s="8"/>
      <c r="FMT248" s="9"/>
      <c r="FMU248" s="10"/>
      <c r="FMV248" s="11"/>
      <c r="FMW248" s="10"/>
      <c r="FMX248" s="6"/>
      <c r="FMY248" s="7"/>
      <c r="FMZ248" s="8"/>
      <c r="FNA248" s="9"/>
      <c r="FNB248" s="10"/>
      <c r="FNC248" s="11"/>
      <c r="FND248" s="10"/>
      <c r="FNE248" s="6"/>
      <c r="FNF248" s="7"/>
      <c r="FNG248" s="8"/>
      <c r="FNH248" s="9"/>
      <c r="FNI248" s="10"/>
      <c r="FNJ248" s="11"/>
      <c r="FNK248" s="10"/>
      <c r="FNL248" s="6"/>
      <c r="FNM248" s="7"/>
      <c r="FNN248" s="8"/>
      <c r="FNO248" s="9"/>
      <c r="FNP248" s="10"/>
      <c r="FNQ248" s="11"/>
      <c r="FNR248" s="10"/>
      <c r="FNS248" s="6"/>
      <c r="FNT248" s="7"/>
      <c r="FNU248" s="8"/>
      <c r="FNV248" s="9"/>
      <c r="FNW248" s="10"/>
      <c r="FNX248" s="11"/>
      <c r="FNY248" s="10"/>
      <c r="FNZ248" s="6"/>
      <c r="FOA248" s="7"/>
      <c r="FOB248" s="8"/>
      <c r="FOC248" s="9"/>
      <c r="FOD248" s="10"/>
      <c r="FOE248" s="11"/>
      <c r="FOF248" s="10"/>
      <c r="FOG248" s="6"/>
      <c r="FOH248" s="7"/>
      <c r="FOI248" s="8"/>
      <c r="FOJ248" s="9"/>
      <c r="FOK248" s="10"/>
      <c r="FOL248" s="11"/>
      <c r="FOM248" s="10"/>
      <c r="FON248" s="6"/>
      <c r="FOO248" s="7"/>
      <c r="FOP248" s="8"/>
      <c r="FOQ248" s="9"/>
      <c r="FOR248" s="10"/>
      <c r="FOS248" s="11"/>
      <c r="FOT248" s="10"/>
      <c r="FOU248" s="6"/>
      <c r="FOV248" s="7"/>
      <c r="FOW248" s="8"/>
      <c r="FOX248" s="9"/>
      <c r="FOY248" s="10"/>
      <c r="FOZ248" s="11"/>
      <c r="FPA248" s="10"/>
      <c r="FPB248" s="6"/>
      <c r="FPC248" s="7"/>
      <c r="FPD248" s="8"/>
      <c r="FPE248" s="9"/>
      <c r="FPF248" s="10"/>
      <c r="FPG248" s="11"/>
      <c r="FPH248" s="10"/>
      <c r="FPI248" s="6"/>
      <c r="FPJ248" s="7"/>
      <c r="FPK248" s="8"/>
      <c r="FPL248" s="9"/>
      <c r="FPM248" s="10"/>
      <c r="FPN248" s="11"/>
      <c r="FPO248" s="10"/>
      <c r="FPP248" s="6"/>
      <c r="FPQ248" s="7"/>
      <c r="FPR248" s="8"/>
      <c r="FPS248" s="9"/>
      <c r="FPT248" s="10"/>
      <c r="FPU248" s="11"/>
      <c r="FPV248" s="10"/>
      <c r="FPW248" s="6"/>
      <c r="FPX248" s="7"/>
      <c r="FPY248" s="8"/>
      <c r="FPZ248" s="9"/>
      <c r="FQA248" s="10"/>
      <c r="FQB248" s="11"/>
      <c r="FQC248" s="10"/>
      <c r="FQD248" s="6"/>
      <c r="FQE248" s="7"/>
      <c r="FQF248" s="8"/>
      <c r="FQG248" s="9"/>
      <c r="FQH248" s="10"/>
      <c r="FQI248" s="11"/>
      <c r="FQJ248" s="10"/>
      <c r="FQK248" s="6"/>
      <c r="FQL248" s="7"/>
      <c r="FQM248" s="8"/>
      <c r="FQN248" s="9"/>
      <c r="FQO248" s="10"/>
      <c r="FQP248" s="11"/>
      <c r="FQQ248" s="10"/>
      <c r="FQR248" s="6"/>
      <c r="FQS248" s="7"/>
      <c r="FQT248" s="8"/>
      <c r="FQU248" s="9"/>
      <c r="FQV248" s="10"/>
      <c r="FQW248" s="11"/>
      <c r="FQX248" s="10"/>
      <c r="FQY248" s="6"/>
      <c r="FQZ248" s="7"/>
      <c r="FRA248" s="8"/>
      <c r="FRB248" s="9"/>
      <c r="FRC248" s="10"/>
      <c r="FRD248" s="11"/>
      <c r="FRE248" s="10"/>
      <c r="FRF248" s="6"/>
      <c r="FRG248" s="7"/>
      <c r="FRH248" s="8"/>
      <c r="FRI248" s="9"/>
      <c r="FRJ248" s="10"/>
      <c r="FRK248" s="11"/>
      <c r="FRL248" s="10"/>
      <c r="FRM248" s="6"/>
      <c r="FRN248" s="7"/>
      <c r="FRO248" s="8"/>
      <c r="FRP248" s="9"/>
      <c r="FRQ248" s="10"/>
      <c r="FRR248" s="11"/>
      <c r="FRS248" s="10"/>
      <c r="FRT248" s="6"/>
      <c r="FRU248" s="7"/>
      <c r="FRV248" s="8"/>
      <c r="FRW248" s="9"/>
      <c r="FRX248" s="10"/>
      <c r="FRY248" s="11"/>
      <c r="FRZ248" s="10"/>
      <c r="FSA248" s="6"/>
      <c r="FSB248" s="7"/>
      <c r="FSC248" s="8"/>
      <c r="FSD248" s="9"/>
      <c r="FSE248" s="10"/>
      <c r="FSF248" s="11"/>
      <c r="FSG248" s="10"/>
      <c r="FSH248" s="6"/>
      <c r="FSI248" s="7"/>
      <c r="FSJ248" s="8"/>
      <c r="FSK248" s="9"/>
      <c r="FSL248" s="10"/>
      <c r="FSM248" s="11"/>
      <c r="FSN248" s="10"/>
      <c r="FSO248" s="6"/>
      <c r="FSP248" s="7"/>
      <c r="FSQ248" s="8"/>
      <c r="FSR248" s="9"/>
      <c r="FSS248" s="10"/>
      <c r="FST248" s="11"/>
      <c r="FSU248" s="10"/>
      <c r="FSV248" s="6"/>
      <c r="FSW248" s="7"/>
      <c r="FSX248" s="8"/>
      <c r="FSY248" s="9"/>
      <c r="FSZ248" s="10"/>
      <c r="FTA248" s="11"/>
      <c r="FTB248" s="10"/>
      <c r="FTC248" s="6"/>
      <c r="FTD248" s="7"/>
      <c r="FTE248" s="8"/>
      <c r="FTF248" s="9"/>
      <c r="FTG248" s="10"/>
      <c r="FTH248" s="11"/>
      <c r="FTI248" s="10"/>
      <c r="FTJ248" s="6"/>
      <c r="FTK248" s="7"/>
      <c r="FTL248" s="8"/>
      <c r="FTM248" s="9"/>
      <c r="FTN248" s="10"/>
      <c r="FTO248" s="11"/>
      <c r="FTP248" s="10"/>
      <c r="FTQ248" s="6"/>
      <c r="FTR248" s="7"/>
      <c r="FTS248" s="8"/>
      <c r="FTT248" s="9"/>
      <c r="FTU248" s="10"/>
      <c r="FTV248" s="11"/>
      <c r="FTW248" s="10"/>
      <c r="FTX248" s="6"/>
      <c r="FTY248" s="7"/>
      <c r="FTZ248" s="8"/>
      <c r="FUA248" s="9"/>
      <c r="FUB248" s="10"/>
      <c r="FUC248" s="11"/>
      <c r="FUD248" s="10"/>
      <c r="FUE248" s="6"/>
      <c r="FUF248" s="7"/>
      <c r="FUG248" s="8"/>
      <c r="FUH248" s="9"/>
      <c r="FUI248" s="10"/>
      <c r="FUJ248" s="11"/>
      <c r="FUK248" s="10"/>
      <c r="FUL248" s="6"/>
      <c r="FUM248" s="7"/>
      <c r="FUN248" s="8"/>
      <c r="FUO248" s="9"/>
      <c r="FUP248" s="10"/>
      <c r="FUQ248" s="11"/>
      <c r="FUR248" s="10"/>
      <c r="FUS248" s="6"/>
      <c r="FUT248" s="7"/>
      <c r="FUU248" s="8"/>
      <c r="FUV248" s="9"/>
      <c r="FUW248" s="10"/>
      <c r="FUX248" s="11"/>
      <c r="FUY248" s="10"/>
      <c r="FUZ248" s="6"/>
      <c r="FVA248" s="7"/>
      <c r="FVB248" s="8"/>
      <c r="FVC248" s="9"/>
      <c r="FVD248" s="10"/>
      <c r="FVE248" s="11"/>
      <c r="FVF248" s="10"/>
      <c r="FVG248" s="6"/>
      <c r="FVH248" s="7"/>
      <c r="FVI248" s="8"/>
      <c r="FVJ248" s="9"/>
      <c r="FVK248" s="10"/>
      <c r="FVL248" s="11"/>
      <c r="FVM248" s="10"/>
      <c r="FVN248" s="6"/>
      <c r="FVO248" s="7"/>
      <c r="FVP248" s="8"/>
      <c r="FVQ248" s="9"/>
      <c r="FVR248" s="10"/>
      <c r="FVS248" s="11"/>
      <c r="FVT248" s="10"/>
      <c r="FVU248" s="6"/>
      <c r="FVV248" s="7"/>
      <c r="FVW248" s="8"/>
      <c r="FVX248" s="9"/>
      <c r="FVY248" s="10"/>
      <c r="FVZ248" s="11"/>
      <c r="FWA248" s="10"/>
      <c r="FWB248" s="6"/>
      <c r="FWC248" s="7"/>
      <c r="FWD248" s="8"/>
      <c r="FWE248" s="9"/>
      <c r="FWF248" s="10"/>
      <c r="FWG248" s="11"/>
      <c r="FWH248" s="10"/>
      <c r="FWI248" s="6"/>
      <c r="FWJ248" s="7"/>
      <c r="FWK248" s="8"/>
      <c r="FWL248" s="9"/>
      <c r="FWM248" s="10"/>
      <c r="FWN248" s="11"/>
      <c r="FWO248" s="10"/>
      <c r="FWP248" s="6"/>
      <c r="FWQ248" s="7"/>
      <c r="FWR248" s="8"/>
      <c r="FWS248" s="9"/>
      <c r="FWT248" s="10"/>
      <c r="FWU248" s="11"/>
      <c r="FWV248" s="10"/>
      <c r="FWW248" s="6"/>
      <c r="FWX248" s="7"/>
      <c r="FWY248" s="8"/>
      <c r="FWZ248" s="9"/>
      <c r="FXA248" s="10"/>
      <c r="FXB248" s="11"/>
      <c r="FXC248" s="10"/>
      <c r="FXD248" s="6"/>
      <c r="FXE248" s="7"/>
      <c r="FXF248" s="8"/>
      <c r="FXG248" s="9"/>
      <c r="FXH248" s="10"/>
      <c r="FXI248" s="11"/>
      <c r="FXJ248" s="10"/>
      <c r="FXK248" s="6"/>
      <c r="FXL248" s="7"/>
      <c r="FXM248" s="8"/>
      <c r="FXN248" s="9"/>
      <c r="FXO248" s="10"/>
      <c r="FXP248" s="11"/>
      <c r="FXQ248" s="10"/>
      <c r="FXR248" s="6"/>
      <c r="FXS248" s="7"/>
      <c r="FXT248" s="8"/>
      <c r="FXU248" s="9"/>
      <c r="FXV248" s="10"/>
      <c r="FXW248" s="11"/>
      <c r="FXX248" s="10"/>
      <c r="FXY248" s="6"/>
      <c r="FXZ248" s="7"/>
      <c r="FYA248" s="8"/>
      <c r="FYB248" s="9"/>
      <c r="FYC248" s="10"/>
      <c r="FYD248" s="11"/>
      <c r="FYE248" s="10"/>
      <c r="FYF248" s="6"/>
      <c r="FYG248" s="7"/>
      <c r="FYH248" s="8"/>
      <c r="FYI248" s="9"/>
      <c r="FYJ248" s="10"/>
      <c r="FYK248" s="11"/>
      <c r="FYL248" s="10"/>
      <c r="FYM248" s="6"/>
      <c r="FYN248" s="7"/>
      <c r="FYO248" s="8"/>
      <c r="FYP248" s="9"/>
      <c r="FYQ248" s="10"/>
      <c r="FYR248" s="11"/>
      <c r="FYS248" s="10"/>
      <c r="FYT248" s="6"/>
      <c r="FYU248" s="7"/>
      <c r="FYV248" s="8"/>
      <c r="FYW248" s="9"/>
      <c r="FYX248" s="10"/>
      <c r="FYY248" s="11"/>
      <c r="FYZ248" s="10"/>
      <c r="FZA248" s="6"/>
      <c r="FZB248" s="7"/>
      <c r="FZC248" s="8"/>
      <c r="FZD248" s="9"/>
      <c r="FZE248" s="10"/>
      <c r="FZF248" s="11"/>
      <c r="FZG248" s="10"/>
      <c r="FZH248" s="6"/>
      <c r="FZI248" s="7"/>
      <c r="FZJ248" s="8"/>
      <c r="FZK248" s="9"/>
      <c r="FZL248" s="10"/>
      <c r="FZM248" s="11"/>
      <c r="FZN248" s="10"/>
      <c r="FZO248" s="6"/>
      <c r="FZP248" s="7"/>
      <c r="FZQ248" s="8"/>
      <c r="FZR248" s="9"/>
      <c r="FZS248" s="10"/>
      <c r="FZT248" s="11"/>
      <c r="FZU248" s="10"/>
      <c r="FZV248" s="6"/>
      <c r="FZW248" s="7"/>
      <c r="FZX248" s="8"/>
      <c r="FZY248" s="9"/>
      <c r="FZZ248" s="10"/>
      <c r="GAA248" s="11"/>
      <c r="GAB248" s="10"/>
      <c r="GAC248" s="6"/>
      <c r="GAD248" s="7"/>
      <c r="GAE248" s="8"/>
      <c r="GAF248" s="9"/>
      <c r="GAG248" s="10"/>
      <c r="GAH248" s="11"/>
      <c r="GAI248" s="10"/>
      <c r="GAJ248" s="6"/>
      <c r="GAK248" s="7"/>
      <c r="GAL248" s="8"/>
      <c r="GAM248" s="9"/>
      <c r="GAN248" s="10"/>
      <c r="GAO248" s="11"/>
      <c r="GAP248" s="10"/>
      <c r="GAQ248" s="6"/>
      <c r="GAR248" s="7"/>
      <c r="GAS248" s="8"/>
      <c r="GAT248" s="9"/>
      <c r="GAU248" s="10"/>
      <c r="GAV248" s="11"/>
      <c r="GAW248" s="10"/>
      <c r="GAX248" s="6"/>
      <c r="GAY248" s="7"/>
      <c r="GAZ248" s="8"/>
      <c r="GBA248" s="9"/>
      <c r="GBB248" s="10"/>
      <c r="GBC248" s="11"/>
      <c r="GBD248" s="10"/>
      <c r="GBE248" s="6"/>
      <c r="GBF248" s="7"/>
      <c r="GBG248" s="8"/>
      <c r="GBH248" s="9"/>
      <c r="GBI248" s="10"/>
      <c r="GBJ248" s="11"/>
      <c r="GBK248" s="10"/>
      <c r="GBL248" s="6"/>
      <c r="GBM248" s="7"/>
      <c r="GBN248" s="8"/>
      <c r="GBO248" s="9"/>
      <c r="GBP248" s="10"/>
      <c r="GBQ248" s="11"/>
      <c r="GBR248" s="10"/>
      <c r="GBS248" s="6"/>
      <c r="GBT248" s="7"/>
      <c r="GBU248" s="8"/>
      <c r="GBV248" s="9"/>
      <c r="GBW248" s="10"/>
      <c r="GBX248" s="11"/>
      <c r="GBY248" s="10"/>
      <c r="GBZ248" s="6"/>
      <c r="GCA248" s="7"/>
      <c r="GCB248" s="8"/>
      <c r="GCC248" s="9"/>
      <c r="GCD248" s="10"/>
      <c r="GCE248" s="11"/>
      <c r="GCF248" s="10"/>
      <c r="GCG248" s="6"/>
      <c r="GCH248" s="7"/>
      <c r="GCI248" s="8"/>
      <c r="GCJ248" s="9"/>
      <c r="GCK248" s="10"/>
      <c r="GCL248" s="11"/>
      <c r="GCM248" s="10"/>
      <c r="GCN248" s="6"/>
      <c r="GCO248" s="7"/>
      <c r="GCP248" s="8"/>
      <c r="GCQ248" s="9"/>
      <c r="GCR248" s="10"/>
      <c r="GCS248" s="11"/>
      <c r="GCT248" s="10"/>
      <c r="GCU248" s="6"/>
      <c r="GCV248" s="7"/>
      <c r="GCW248" s="8"/>
      <c r="GCX248" s="9"/>
      <c r="GCY248" s="10"/>
      <c r="GCZ248" s="11"/>
      <c r="GDA248" s="10"/>
      <c r="GDB248" s="6"/>
      <c r="GDC248" s="7"/>
      <c r="GDD248" s="8"/>
      <c r="GDE248" s="9"/>
      <c r="GDF248" s="10"/>
      <c r="GDG248" s="11"/>
      <c r="GDH248" s="10"/>
      <c r="GDI248" s="6"/>
      <c r="GDJ248" s="7"/>
      <c r="GDK248" s="8"/>
      <c r="GDL248" s="9"/>
      <c r="GDM248" s="10"/>
      <c r="GDN248" s="11"/>
      <c r="GDO248" s="10"/>
      <c r="GDP248" s="6"/>
      <c r="GDQ248" s="7"/>
      <c r="GDR248" s="8"/>
      <c r="GDS248" s="9"/>
      <c r="GDT248" s="10"/>
      <c r="GDU248" s="11"/>
      <c r="GDV248" s="10"/>
      <c r="GDW248" s="6"/>
      <c r="GDX248" s="7"/>
      <c r="GDY248" s="8"/>
      <c r="GDZ248" s="9"/>
      <c r="GEA248" s="10"/>
      <c r="GEB248" s="11"/>
      <c r="GEC248" s="10"/>
      <c r="GED248" s="6"/>
      <c r="GEE248" s="7"/>
      <c r="GEF248" s="8"/>
      <c r="GEG248" s="9"/>
      <c r="GEH248" s="10"/>
      <c r="GEI248" s="11"/>
      <c r="GEJ248" s="10"/>
      <c r="GEK248" s="6"/>
      <c r="GEL248" s="7"/>
      <c r="GEM248" s="8"/>
      <c r="GEN248" s="9"/>
      <c r="GEO248" s="10"/>
      <c r="GEP248" s="11"/>
      <c r="GEQ248" s="10"/>
      <c r="GER248" s="6"/>
      <c r="GES248" s="7"/>
      <c r="GET248" s="8"/>
      <c r="GEU248" s="9"/>
      <c r="GEV248" s="10"/>
      <c r="GEW248" s="11"/>
      <c r="GEX248" s="10"/>
      <c r="GEY248" s="6"/>
      <c r="GEZ248" s="7"/>
      <c r="GFA248" s="8"/>
      <c r="GFB248" s="9"/>
      <c r="GFC248" s="10"/>
      <c r="GFD248" s="11"/>
      <c r="GFE248" s="10"/>
      <c r="GFF248" s="6"/>
      <c r="GFG248" s="7"/>
      <c r="GFH248" s="8"/>
      <c r="GFI248" s="9"/>
      <c r="GFJ248" s="10"/>
      <c r="GFK248" s="11"/>
      <c r="GFL248" s="10"/>
      <c r="GFM248" s="6"/>
      <c r="GFN248" s="7"/>
      <c r="GFO248" s="8"/>
      <c r="GFP248" s="9"/>
      <c r="GFQ248" s="10"/>
      <c r="GFR248" s="11"/>
      <c r="GFS248" s="10"/>
      <c r="GFT248" s="6"/>
      <c r="GFU248" s="7"/>
      <c r="GFV248" s="8"/>
      <c r="GFW248" s="9"/>
      <c r="GFX248" s="10"/>
      <c r="GFY248" s="11"/>
      <c r="GFZ248" s="10"/>
      <c r="GGA248" s="6"/>
      <c r="GGB248" s="7"/>
      <c r="GGC248" s="8"/>
      <c r="GGD248" s="9"/>
      <c r="GGE248" s="10"/>
      <c r="GGF248" s="11"/>
      <c r="GGG248" s="10"/>
      <c r="GGH248" s="6"/>
      <c r="GGI248" s="7"/>
      <c r="GGJ248" s="8"/>
      <c r="GGK248" s="9"/>
      <c r="GGL248" s="10"/>
      <c r="GGM248" s="11"/>
      <c r="GGN248" s="10"/>
      <c r="GGO248" s="6"/>
      <c r="GGP248" s="7"/>
      <c r="GGQ248" s="8"/>
      <c r="GGR248" s="9"/>
      <c r="GGS248" s="10"/>
      <c r="GGT248" s="11"/>
      <c r="GGU248" s="10"/>
      <c r="GGV248" s="6"/>
      <c r="GGW248" s="7"/>
      <c r="GGX248" s="8"/>
      <c r="GGY248" s="9"/>
      <c r="GGZ248" s="10"/>
      <c r="GHA248" s="11"/>
      <c r="GHB248" s="10"/>
      <c r="GHC248" s="6"/>
      <c r="GHD248" s="7"/>
      <c r="GHE248" s="8"/>
      <c r="GHF248" s="9"/>
      <c r="GHG248" s="10"/>
      <c r="GHH248" s="11"/>
      <c r="GHI248" s="10"/>
      <c r="GHJ248" s="6"/>
      <c r="GHK248" s="7"/>
      <c r="GHL248" s="8"/>
      <c r="GHM248" s="9"/>
      <c r="GHN248" s="10"/>
      <c r="GHO248" s="11"/>
      <c r="GHP248" s="10"/>
      <c r="GHQ248" s="6"/>
      <c r="GHR248" s="7"/>
      <c r="GHS248" s="8"/>
      <c r="GHT248" s="9"/>
      <c r="GHU248" s="10"/>
      <c r="GHV248" s="11"/>
      <c r="GHW248" s="10"/>
      <c r="GHX248" s="6"/>
      <c r="GHY248" s="7"/>
      <c r="GHZ248" s="8"/>
      <c r="GIA248" s="9"/>
      <c r="GIB248" s="10"/>
      <c r="GIC248" s="11"/>
      <c r="GID248" s="10"/>
      <c r="GIE248" s="6"/>
      <c r="GIF248" s="7"/>
      <c r="GIG248" s="8"/>
      <c r="GIH248" s="9"/>
      <c r="GII248" s="10"/>
      <c r="GIJ248" s="11"/>
      <c r="GIK248" s="10"/>
      <c r="GIL248" s="6"/>
      <c r="GIM248" s="7"/>
      <c r="GIN248" s="8"/>
      <c r="GIO248" s="9"/>
      <c r="GIP248" s="10"/>
      <c r="GIQ248" s="11"/>
      <c r="GIR248" s="10"/>
      <c r="GIS248" s="6"/>
      <c r="GIT248" s="7"/>
      <c r="GIU248" s="8"/>
      <c r="GIV248" s="9"/>
      <c r="GIW248" s="10"/>
      <c r="GIX248" s="11"/>
      <c r="GIY248" s="10"/>
      <c r="GIZ248" s="6"/>
      <c r="GJA248" s="7"/>
      <c r="GJB248" s="8"/>
      <c r="GJC248" s="9"/>
      <c r="GJD248" s="10"/>
      <c r="GJE248" s="11"/>
      <c r="GJF248" s="10"/>
      <c r="GJG248" s="6"/>
      <c r="GJH248" s="7"/>
      <c r="GJI248" s="8"/>
      <c r="GJJ248" s="9"/>
      <c r="GJK248" s="10"/>
      <c r="GJL248" s="11"/>
      <c r="GJM248" s="10"/>
      <c r="GJN248" s="6"/>
      <c r="GJO248" s="7"/>
      <c r="GJP248" s="8"/>
      <c r="GJQ248" s="9"/>
      <c r="GJR248" s="10"/>
      <c r="GJS248" s="11"/>
      <c r="GJT248" s="10"/>
      <c r="GJU248" s="6"/>
      <c r="GJV248" s="7"/>
      <c r="GJW248" s="8"/>
      <c r="GJX248" s="9"/>
      <c r="GJY248" s="10"/>
      <c r="GJZ248" s="11"/>
      <c r="GKA248" s="10"/>
      <c r="GKB248" s="6"/>
      <c r="GKC248" s="7"/>
      <c r="GKD248" s="8"/>
      <c r="GKE248" s="9"/>
      <c r="GKF248" s="10"/>
      <c r="GKG248" s="11"/>
      <c r="GKH248" s="10"/>
      <c r="GKI248" s="6"/>
      <c r="GKJ248" s="7"/>
      <c r="GKK248" s="8"/>
      <c r="GKL248" s="9"/>
      <c r="GKM248" s="10"/>
      <c r="GKN248" s="11"/>
      <c r="GKO248" s="10"/>
      <c r="GKP248" s="6"/>
      <c r="GKQ248" s="7"/>
      <c r="GKR248" s="8"/>
      <c r="GKS248" s="9"/>
      <c r="GKT248" s="10"/>
      <c r="GKU248" s="11"/>
      <c r="GKV248" s="10"/>
      <c r="GKW248" s="6"/>
      <c r="GKX248" s="7"/>
      <c r="GKY248" s="8"/>
      <c r="GKZ248" s="9"/>
      <c r="GLA248" s="10"/>
      <c r="GLB248" s="11"/>
      <c r="GLC248" s="10"/>
      <c r="GLD248" s="6"/>
      <c r="GLE248" s="7"/>
      <c r="GLF248" s="8"/>
      <c r="GLG248" s="9"/>
      <c r="GLH248" s="10"/>
      <c r="GLI248" s="11"/>
      <c r="GLJ248" s="10"/>
      <c r="GLK248" s="6"/>
      <c r="GLL248" s="7"/>
      <c r="GLM248" s="8"/>
      <c r="GLN248" s="9"/>
      <c r="GLO248" s="10"/>
      <c r="GLP248" s="11"/>
      <c r="GLQ248" s="10"/>
      <c r="GLR248" s="6"/>
      <c r="GLS248" s="7"/>
      <c r="GLT248" s="8"/>
      <c r="GLU248" s="9"/>
      <c r="GLV248" s="10"/>
      <c r="GLW248" s="11"/>
      <c r="GLX248" s="10"/>
      <c r="GLY248" s="6"/>
      <c r="GLZ248" s="7"/>
      <c r="GMA248" s="8"/>
      <c r="GMB248" s="9"/>
      <c r="GMC248" s="10"/>
      <c r="GMD248" s="11"/>
      <c r="GME248" s="10"/>
      <c r="GMF248" s="6"/>
      <c r="GMG248" s="7"/>
      <c r="GMH248" s="8"/>
      <c r="GMI248" s="9"/>
      <c r="GMJ248" s="10"/>
      <c r="GMK248" s="11"/>
      <c r="GML248" s="10"/>
      <c r="GMM248" s="6"/>
      <c r="GMN248" s="7"/>
      <c r="GMO248" s="8"/>
      <c r="GMP248" s="9"/>
      <c r="GMQ248" s="10"/>
      <c r="GMR248" s="11"/>
      <c r="GMS248" s="10"/>
      <c r="GMT248" s="6"/>
      <c r="GMU248" s="7"/>
      <c r="GMV248" s="8"/>
      <c r="GMW248" s="9"/>
      <c r="GMX248" s="10"/>
      <c r="GMY248" s="11"/>
      <c r="GMZ248" s="10"/>
      <c r="GNA248" s="6"/>
      <c r="GNB248" s="7"/>
      <c r="GNC248" s="8"/>
      <c r="GND248" s="9"/>
      <c r="GNE248" s="10"/>
      <c r="GNF248" s="11"/>
      <c r="GNG248" s="10"/>
      <c r="GNH248" s="6"/>
      <c r="GNI248" s="7"/>
      <c r="GNJ248" s="8"/>
      <c r="GNK248" s="9"/>
      <c r="GNL248" s="10"/>
      <c r="GNM248" s="11"/>
      <c r="GNN248" s="10"/>
      <c r="GNO248" s="6"/>
      <c r="GNP248" s="7"/>
      <c r="GNQ248" s="8"/>
      <c r="GNR248" s="9"/>
      <c r="GNS248" s="10"/>
      <c r="GNT248" s="11"/>
      <c r="GNU248" s="10"/>
      <c r="GNV248" s="6"/>
      <c r="GNW248" s="7"/>
      <c r="GNX248" s="8"/>
      <c r="GNY248" s="9"/>
      <c r="GNZ248" s="10"/>
      <c r="GOA248" s="11"/>
      <c r="GOB248" s="10"/>
      <c r="GOC248" s="6"/>
      <c r="GOD248" s="7"/>
      <c r="GOE248" s="8"/>
      <c r="GOF248" s="9"/>
      <c r="GOG248" s="10"/>
      <c r="GOH248" s="11"/>
      <c r="GOI248" s="10"/>
      <c r="GOJ248" s="6"/>
      <c r="GOK248" s="7"/>
      <c r="GOL248" s="8"/>
      <c r="GOM248" s="9"/>
      <c r="GON248" s="10"/>
      <c r="GOO248" s="11"/>
      <c r="GOP248" s="10"/>
      <c r="GOQ248" s="6"/>
      <c r="GOR248" s="7"/>
      <c r="GOS248" s="8"/>
      <c r="GOT248" s="9"/>
      <c r="GOU248" s="10"/>
      <c r="GOV248" s="11"/>
      <c r="GOW248" s="10"/>
      <c r="GOX248" s="6"/>
      <c r="GOY248" s="7"/>
      <c r="GOZ248" s="8"/>
      <c r="GPA248" s="9"/>
      <c r="GPB248" s="10"/>
      <c r="GPC248" s="11"/>
      <c r="GPD248" s="10"/>
      <c r="GPE248" s="6"/>
      <c r="GPF248" s="7"/>
      <c r="GPG248" s="8"/>
      <c r="GPH248" s="9"/>
      <c r="GPI248" s="10"/>
      <c r="GPJ248" s="11"/>
      <c r="GPK248" s="10"/>
      <c r="GPL248" s="6"/>
      <c r="GPM248" s="7"/>
      <c r="GPN248" s="8"/>
      <c r="GPO248" s="9"/>
      <c r="GPP248" s="10"/>
      <c r="GPQ248" s="11"/>
      <c r="GPR248" s="10"/>
      <c r="GPS248" s="6"/>
      <c r="GPT248" s="7"/>
      <c r="GPU248" s="8"/>
      <c r="GPV248" s="9"/>
      <c r="GPW248" s="10"/>
      <c r="GPX248" s="11"/>
      <c r="GPY248" s="10"/>
      <c r="GPZ248" s="6"/>
      <c r="GQA248" s="7"/>
      <c r="GQB248" s="8"/>
      <c r="GQC248" s="9"/>
      <c r="GQD248" s="10"/>
      <c r="GQE248" s="11"/>
      <c r="GQF248" s="10"/>
      <c r="GQG248" s="6"/>
      <c r="GQH248" s="7"/>
      <c r="GQI248" s="8"/>
      <c r="GQJ248" s="9"/>
      <c r="GQK248" s="10"/>
      <c r="GQL248" s="11"/>
      <c r="GQM248" s="10"/>
      <c r="GQN248" s="6"/>
      <c r="GQO248" s="7"/>
      <c r="GQP248" s="8"/>
      <c r="GQQ248" s="9"/>
      <c r="GQR248" s="10"/>
      <c r="GQS248" s="11"/>
      <c r="GQT248" s="10"/>
      <c r="GQU248" s="6"/>
      <c r="GQV248" s="7"/>
      <c r="GQW248" s="8"/>
      <c r="GQX248" s="9"/>
      <c r="GQY248" s="10"/>
      <c r="GQZ248" s="11"/>
      <c r="GRA248" s="10"/>
      <c r="GRB248" s="6"/>
      <c r="GRC248" s="7"/>
      <c r="GRD248" s="8"/>
      <c r="GRE248" s="9"/>
      <c r="GRF248" s="10"/>
      <c r="GRG248" s="11"/>
      <c r="GRH248" s="10"/>
      <c r="GRI248" s="6"/>
      <c r="GRJ248" s="7"/>
      <c r="GRK248" s="8"/>
      <c r="GRL248" s="9"/>
      <c r="GRM248" s="10"/>
      <c r="GRN248" s="11"/>
      <c r="GRO248" s="10"/>
      <c r="GRP248" s="6"/>
      <c r="GRQ248" s="7"/>
      <c r="GRR248" s="8"/>
      <c r="GRS248" s="9"/>
      <c r="GRT248" s="10"/>
      <c r="GRU248" s="11"/>
      <c r="GRV248" s="10"/>
      <c r="GRW248" s="6"/>
      <c r="GRX248" s="7"/>
      <c r="GRY248" s="8"/>
      <c r="GRZ248" s="9"/>
      <c r="GSA248" s="10"/>
      <c r="GSB248" s="11"/>
      <c r="GSC248" s="10"/>
      <c r="GSD248" s="6"/>
      <c r="GSE248" s="7"/>
      <c r="GSF248" s="8"/>
      <c r="GSG248" s="9"/>
      <c r="GSH248" s="10"/>
      <c r="GSI248" s="11"/>
      <c r="GSJ248" s="10"/>
      <c r="GSK248" s="6"/>
      <c r="GSL248" s="7"/>
      <c r="GSM248" s="8"/>
      <c r="GSN248" s="9"/>
      <c r="GSO248" s="10"/>
      <c r="GSP248" s="11"/>
      <c r="GSQ248" s="10"/>
      <c r="GSR248" s="6"/>
      <c r="GSS248" s="7"/>
      <c r="GST248" s="8"/>
      <c r="GSU248" s="9"/>
      <c r="GSV248" s="10"/>
      <c r="GSW248" s="11"/>
      <c r="GSX248" s="10"/>
      <c r="GSY248" s="6"/>
      <c r="GSZ248" s="7"/>
      <c r="GTA248" s="8"/>
      <c r="GTB248" s="9"/>
      <c r="GTC248" s="10"/>
      <c r="GTD248" s="11"/>
      <c r="GTE248" s="10"/>
      <c r="GTF248" s="6"/>
      <c r="GTG248" s="7"/>
      <c r="GTH248" s="8"/>
      <c r="GTI248" s="9"/>
      <c r="GTJ248" s="10"/>
      <c r="GTK248" s="11"/>
      <c r="GTL248" s="10"/>
      <c r="GTM248" s="6"/>
      <c r="GTN248" s="7"/>
      <c r="GTO248" s="8"/>
      <c r="GTP248" s="9"/>
      <c r="GTQ248" s="10"/>
      <c r="GTR248" s="11"/>
      <c r="GTS248" s="10"/>
      <c r="GTT248" s="6"/>
      <c r="GTU248" s="7"/>
      <c r="GTV248" s="8"/>
      <c r="GTW248" s="9"/>
      <c r="GTX248" s="10"/>
      <c r="GTY248" s="11"/>
      <c r="GTZ248" s="10"/>
      <c r="GUA248" s="6"/>
      <c r="GUB248" s="7"/>
      <c r="GUC248" s="8"/>
      <c r="GUD248" s="9"/>
      <c r="GUE248" s="10"/>
      <c r="GUF248" s="11"/>
      <c r="GUG248" s="10"/>
      <c r="GUH248" s="6"/>
      <c r="GUI248" s="7"/>
      <c r="GUJ248" s="8"/>
      <c r="GUK248" s="9"/>
      <c r="GUL248" s="10"/>
      <c r="GUM248" s="11"/>
      <c r="GUN248" s="10"/>
      <c r="GUO248" s="6"/>
      <c r="GUP248" s="7"/>
      <c r="GUQ248" s="8"/>
      <c r="GUR248" s="9"/>
      <c r="GUS248" s="10"/>
      <c r="GUT248" s="11"/>
      <c r="GUU248" s="10"/>
      <c r="GUV248" s="6"/>
      <c r="GUW248" s="7"/>
      <c r="GUX248" s="8"/>
      <c r="GUY248" s="9"/>
      <c r="GUZ248" s="10"/>
      <c r="GVA248" s="11"/>
      <c r="GVB248" s="10"/>
      <c r="GVC248" s="6"/>
      <c r="GVD248" s="7"/>
      <c r="GVE248" s="8"/>
      <c r="GVF248" s="9"/>
      <c r="GVG248" s="10"/>
      <c r="GVH248" s="11"/>
      <c r="GVI248" s="10"/>
      <c r="GVJ248" s="6"/>
      <c r="GVK248" s="7"/>
      <c r="GVL248" s="8"/>
      <c r="GVM248" s="9"/>
      <c r="GVN248" s="10"/>
      <c r="GVO248" s="11"/>
      <c r="GVP248" s="10"/>
      <c r="GVQ248" s="6"/>
      <c r="GVR248" s="7"/>
      <c r="GVS248" s="8"/>
      <c r="GVT248" s="9"/>
      <c r="GVU248" s="10"/>
      <c r="GVV248" s="11"/>
      <c r="GVW248" s="10"/>
      <c r="GVX248" s="6"/>
      <c r="GVY248" s="7"/>
      <c r="GVZ248" s="8"/>
      <c r="GWA248" s="9"/>
      <c r="GWB248" s="10"/>
      <c r="GWC248" s="11"/>
      <c r="GWD248" s="10"/>
      <c r="GWE248" s="6"/>
      <c r="GWF248" s="7"/>
      <c r="GWG248" s="8"/>
      <c r="GWH248" s="9"/>
      <c r="GWI248" s="10"/>
      <c r="GWJ248" s="11"/>
      <c r="GWK248" s="10"/>
      <c r="GWL248" s="6"/>
      <c r="GWM248" s="7"/>
      <c r="GWN248" s="8"/>
      <c r="GWO248" s="9"/>
      <c r="GWP248" s="10"/>
      <c r="GWQ248" s="11"/>
      <c r="GWR248" s="10"/>
      <c r="GWS248" s="6"/>
      <c r="GWT248" s="7"/>
      <c r="GWU248" s="8"/>
      <c r="GWV248" s="9"/>
      <c r="GWW248" s="10"/>
      <c r="GWX248" s="11"/>
      <c r="GWY248" s="10"/>
      <c r="GWZ248" s="6"/>
      <c r="GXA248" s="7"/>
      <c r="GXB248" s="8"/>
      <c r="GXC248" s="9"/>
      <c r="GXD248" s="10"/>
      <c r="GXE248" s="11"/>
      <c r="GXF248" s="10"/>
      <c r="GXG248" s="6"/>
      <c r="GXH248" s="7"/>
      <c r="GXI248" s="8"/>
      <c r="GXJ248" s="9"/>
      <c r="GXK248" s="10"/>
      <c r="GXL248" s="11"/>
      <c r="GXM248" s="10"/>
      <c r="GXN248" s="6"/>
      <c r="GXO248" s="7"/>
      <c r="GXP248" s="8"/>
      <c r="GXQ248" s="9"/>
      <c r="GXR248" s="10"/>
      <c r="GXS248" s="11"/>
      <c r="GXT248" s="10"/>
      <c r="GXU248" s="6"/>
      <c r="GXV248" s="7"/>
      <c r="GXW248" s="8"/>
      <c r="GXX248" s="9"/>
      <c r="GXY248" s="10"/>
      <c r="GXZ248" s="11"/>
      <c r="GYA248" s="10"/>
      <c r="GYB248" s="6"/>
      <c r="GYC248" s="7"/>
      <c r="GYD248" s="8"/>
      <c r="GYE248" s="9"/>
      <c r="GYF248" s="10"/>
      <c r="GYG248" s="11"/>
      <c r="GYH248" s="10"/>
      <c r="GYI248" s="6"/>
      <c r="GYJ248" s="7"/>
      <c r="GYK248" s="8"/>
      <c r="GYL248" s="9"/>
      <c r="GYM248" s="10"/>
      <c r="GYN248" s="11"/>
      <c r="GYO248" s="10"/>
      <c r="GYP248" s="6"/>
      <c r="GYQ248" s="7"/>
      <c r="GYR248" s="8"/>
      <c r="GYS248" s="9"/>
      <c r="GYT248" s="10"/>
      <c r="GYU248" s="11"/>
      <c r="GYV248" s="10"/>
      <c r="GYW248" s="6"/>
      <c r="GYX248" s="7"/>
      <c r="GYY248" s="8"/>
      <c r="GYZ248" s="9"/>
      <c r="GZA248" s="10"/>
      <c r="GZB248" s="11"/>
      <c r="GZC248" s="10"/>
      <c r="GZD248" s="6"/>
      <c r="GZE248" s="7"/>
      <c r="GZF248" s="8"/>
      <c r="GZG248" s="9"/>
      <c r="GZH248" s="10"/>
      <c r="GZI248" s="11"/>
      <c r="GZJ248" s="10"/>
      <c r="GZK248" s="6"/>
      <c r="GZL248" s="7"/>
      <c r="GZM248" s="8"/>
      <c r="GZN248" s="9"/>
      <c r="GZO248" s="10"/>
      <c r="GZP248" s="11"/>
      <c r="GZQ248" s="10"/>
      <c r="GZR248" s="6"/>
      <c r="GZS248" s="7"/>
      <c r="GZT248" s="8"/>
      <c r="GZU248" s="9"/>
      <c r="GZV248" s="10"/>
      <c r="GZW248" s="11"/>
      <c r="GZX248" s="10"/>
      <c r="GZY248" s="6"/>
      <c r="GZZ248" s="7"/>
      <c r="HAA248" s="8"/>
      <c r="HAB248" s="9"/>
      <c r="HAC248" s="10"/>
      <c r="HAD248" s="11"/>
      <c r="HAE248" s="10"/>
      <c r="HAF248" s="6"/>
      <c r="HAG248" s="7"/>
      <c r="HAH248" s="8"/>
      <c r="HAI248" s="9"/>
      <c r="HAJ248" s="10"/>
      <c r="HAK248" s="11"/>
      <c r="HAL248" s="10"/>
      <c r="HAM248" s="6"/>
      <c r="HAN248" s="7"/>
      <c r="HAO248" s="8"/>
      <c r="HAP248" s="9"/>
      <c r="HAQ248" s="10"/>
      <c r="HAR248" s="11"/>
      <c r="HAS248" s="10"/>
      <c r="HAT248" s="6"/>
      <c r="HAU248" s="7"/>
      <c r="HAV248" s="8"/>
      <c r="HAW248" s="9"/>
      <c r="HAX248" s="10"/>
      <c r="HAY248" s="11"/>
      <c r="HAZ248" s="10"/>
      <c r="HBA248" s="6"/>
      <c r="HBB248" s="7"/>
      <c r="HBC248" s="8"/>
      <c r="HBD248" s="9"/>
      <c r="HBE248" s="10"/>
      <c r="HBF248" s="11"/>
      <c r="HBG248" s="10"/>
      <c r="HBH248" s="6"/>
      <c r="HBI248" s="7"/>
      <c r="HBJ248" s="8"/>
      <c r="HBK248" s="9"/>
      <c r="HBL248" s="10"/>
      <c r="HBM248" s="11"/>
      <c r="HBN248" s="10"/>
      <c r="HBO248" s="6"/>
      <c r="HBP248" s="7"/>
      <c r="HBQ248" s="8"/>
      <c r="HBR248" s="9"/>
      <c r="HBS248" s="10"/>
      <c r="HBT248" s="11"/>
      <c r="HBU248" s="10"/>
      <c r="HBV248" s="6"/>
      <c r="HBW248" s="7"/>
      <c r="HBX248" s="8"/>
      <c r="HBY248" s="9"/>
      <c r="HBZ248" s="10"/>
      <c r="HCA248" s="11"/>
      <c r="HCB248" s="10"/>
      <c r="HCC248" s="6"/>
      <c r="HCD248" s="7"/>
      <c r="HCE248" s="8"/>
      <c r="HCF248" s="9"/>
      <c r="HCG248" s="10"/>
      <c r="HCH248" s="11"/>
      <c r="HCI248" s="10"/>
      <c r="HCJ248" s="6"/>
      <c r="HCK248" s="7"/>
      <c r="HCL248" s="8"/>
      <c r="HCM248" s="9"/>
      <c r="HCN248" s="10"/>
      <c r="HCO248" s="11"/>
      <c r="HCP248" s="10"/>
      <c r="HCQ248" s="6"/>
      <c r="HCR248" s="7"/>
      <c r="HCS248" s="8"/>
      <c r="HCT248" s="9"/>
      <c r="HCU248" s="10"/>
      <c r="HCV248" s="11"/>
      <c r="HCW248" s="10"/>
      <c r="HCX248" s="6"/>
      <c r="HCY248" s="7"/>
      <c r="HCZ248" s="8"/>
      <c r="HDA248" s="9"/>
      <c r="HDB248" s="10"/>
      <c r="HDC248" s="11"/>
      <c r="HDD248" s="10"/>
      <c r="HDE248" s="6"/>
      <c r="HDF248" s="7"/>
      <c r="HDG248" s="8"/>
      <c r="HDH248" s="9"/>
      <c r="HDI248" s="10"/>
      <c r="HDJ248" s="11"/>
      <c r="HDK248" s="10"/>
      <c r="HDL248" s="6"/>
      <c r="HDM248" s="7"/>
      <c r="HDN248" s="8"/>
      <c r="HDO248" s="9"/>
      <c r="HDP248" s="10"/>
      <c r="HDQ248" s="11"/>
      <c r="HDR248" s="10"/>
      <c r="HDS248" s="6"/>
      <c r="HDT248" s="7"/>
      <c r="HDU248" s="8"/>
      <c r="HDV248" s="9"/>
      <c r="HDW248" s="10"/>
      <c r="HDX248" s="11"/>
      <c r="HDY248" s="10"/>
      <c r="HDZ248" s="6"/>
      <c r="HEA248" s="7"/>
      <c r="HEB248" s="8"/>
      <c r="HEC248" s="9"/>
      <c r="HED248" s="10"/>
      <c r="HEE248" s="11"/>
      <c r="HEF248" s="10"/>
      <c r="HEG248" s="6"/>
      <c r="HEH248" s="7"/>
      <c r="HEI248" s="8"/>
      <c r="HEJ248" s="9"/>
      <c r="HEK248" s="10"/>
      <c r="HEL248" s="11"/>
      <c r="HEM248" s="10"/>
      <c r="HEN248" s="6"/>
      <c r="HEO248" s="7"/>
      <c r="HEP248" s="8"/>
      <c r="HEQ248" s="9"/>
      <c r="HER248" s="10"/>
      <c r="HES248" s="11"/>
      <c r="HET248" s="10"/>
      <c r="HEU248" s="6"/>
      <c r="HEV248" s="7"/>
      <c r="HEW248" s="8"/>
      <c r="HEX248" s="9"/>
      <c r="HEY248" s="10"/>
      <c r="HEZ248" s="11"/>
      <c r="HFA248" s="10"/>
      <c r="HFB248" s="6"/>
      <c r="HFC248" s="7"/>
      <c r="HFD248" s="8"/>
      <c r="HFE248" s="9"/>
      <c r="HFF248" s="10"/>
      <c r="HFG248" s="11"/>
      <c r="HFH248" s="10"/>
      <c r="HFI248" s="6"/>
      <c r="HFJ248" s="7"/>
      <c r="HFK248" s="8"/>
      <c r="HFL248" s="9"/>
      <c r="HFM248" s="10"/>
      <c r="HFN248" s="11"/>
      <c r="HFO248" s="10"/>
      <c r="HFP248" s="6"/>
      <c r="HFQ248" s="7"/>
      <c r="HFR248" s="8"/>
      <c r="HFS248" s="9"/>
      <c r="HFT248" s="10"/>
      <c r="HFU248" s="11"/>
      <c r="HFV248" s="10"/>
      <c r="HFW248" s="6"/>
      <c r="HFX248" s="7"/>
      <c r="HFY248" s="8"/>
      <c r="HFZ248" s="9"/>
      <c r="HGA248" s="10"/>
      <c r="HGB248" s="11"/>
      <c r="HGC248" s="10"/>
      <c r="HGD248" s="6"/>
      <c r="HGE248" s="7"/>
      <c r="HGF248" s="8"/>
      <c r="HGG248" s="9"/>
      <c r="HGH248" s="10"/>
      <c r="HGI248" s="11"/>
      <c r="HGJ248" s="10"/>
      <c r="HGK248" s="6"/>
      <c r="HGL248" s="7"/>
      <c r="HGM248" s="8"/>
      <c r="HGN248" s="9"/>
      <c r="HGO248" s="10"/>
      <c r="HGP248" s="11"/>
      <c r="HGQ248" s="10"/>
      <c r="HGR248" s="6"/>
      <c r="HGS248" s="7"/>
      <c r="HGT248" s="8"/>
      <c r="HGU248" s="9"/>
      <c r="HGV248" s="10"/>
      <c r="HGW248" s="11"/>
      <c r="HGX248" s="10"/>
      <c r="HGY248" s="6"/>
      <c r="HGZ248" s="7"/>
      <c r="HHA248" s="8"/>
      <c r="HHB248" s="9"/>
      <c r="HHC248" s="10"/>
      <c r="HHD248" s="11"/>
      <c r="HHE248" s="10"/>
      <c r="HHF248" s="6"/>
      <c r="HHG248" s="7"/>
      <c r="HHH248" s="8"/>
      <c r="HHI248" s="9"/>
      <c r="HHJ248" s="10"/>
      <c r="HHK248" s="11"/>
      <c r="HHL248" s="10"/>
      <c r="HHM248" s="6"/>
      <c r="HHN248" s="7"/>
      <c r="HHO248" s="8"/>
      <c r="HHP248" s="9"/>
      <c r="HHQ248" s="10"/>
      <c r="HHR248" s="11"/>
      <c r="HHS248" s="10"/>
      <c r="HHT248" s="6"/>
      <c r="HHU248" s="7"/>
      <c r="HHV248" s="8"/>
      <c r="HHW248" s="9"/>
      <c r="HHX248" s="10"/>
      <c r="HHY248" s="11"/>
      <c r="HHZ248" s="10"/>
      <c r="HIA248" s="6"/>
      <c r="HIB248" s="7"/>
      <c r="HIC248" s="8"/>
      <c r="HID248" s="9"/>
      <c r="HIE248" s="10"/>
      <c r="HIF248" s="11"/>
      <c r="HIG248" s="10"/>
      <c r="HIH248" s="6"/>
      <c r="HII248" s="7"/>
      <c r="HIJ248" s="8"/>
      <c r="HIK248" s="9"/>
      <c r="HIL248" s="10"/>
      <c r="HIM248" s="11"/>
      <c r="HIN248" s="10"/>
      <c r="HIO248" s="6"/>
      <c r="HIP248" s="7"/>
      <c r="HIQ248" s="8"/>
      <c r="HIR248" s="9"/>
      <c r="HIS248" s="10"/>
      <c r="HIT248" s="11"/>
      <c r="HIU248" s="10"/>
      <c r="HIV248" s="6"/>
      <c r="HIW248" s="7"/>
      <c r="HIX248" s="8"/>
      <c r="HIY248" s="9"/>
      <c r="HIZ248" s="10"/>
      <c r="HJA248" s="11"/>
      <c r="HJB248" s="10"/>
      <c r="HJC248" s="6"/>
      <c r="HJD248" s="7"/>
      <c r="HJE248" s="8"/>
      <c r="HJF248" s="9"/>
      <c r="HJG248" s="10"/>
      <c r="HJH248" s="11"/>
      <c r="HJI248" s="10"/>
      <c r="HJJ248" s="6"/>
      <c r="HJK248" s="7"/>
      <c r="HJL248" s="8"/>
      <c r="HJM248" s="9"/>
      <c r="HJN248" s="10"/>
      <c r="HJO248" s="11"/>
      <c r="HJP248" s="10"/>
      <c r="HJQ248" s="6"/>
      <c r="HJR248" s="7"/>
      <c r="HJS248" s="8"/>
      <c r="HJT248" s="9"/>
      <c r="HJU248" s="10"/>
      <c r="HJV248" s="11"/>
      <c r="HJW248" s="10"/>
      <c r="HJX248" s="6"/>
      <c r="HJY248" s="7"/>
      <c r="HJZ248" s="8"/>
      <c r="HKA248" s="9"/>
      <c r="HKB248" s="10"/>
      <c r="HKC248" s="11"/>
      <c r="HKD248" s="10"/>
      <c r="HKE248" s="6"/>
      <c r="HKF248" s="7"/>
      <c r="HKG248" s="8"/>
      <c r="HKH248" s="9"/>
      <c r="HKI248" s="10"/>
      <c r="HKJ248" s="11"/>
      <c r="HKK248" s="10"/>
      <c r="HKL248" s="6"/>
      <c r="HKM248" s="7"/>
      <c r="HKN248" s="8"/>
      <c r="HKO248" s="9"/>
      <c r="HKP248" s="10"/>
      <c r="HKQ248" s="11"/>
      <c r="HKR248" s="10"/>
      <c r="HKS248" s="6"/>
      <c r="HKT248" s="7"/>
      <c r="HKU248" s="8"/>
      <c r="HKV248" s="9"/>
      <c r="HKW248" s="10"/>
      <c r="HKX248" s="11"/>
      <c r="HKY248" s="10"/>
      <c r="HKZ248" s="6"/>
      <c r="HLA248" s="7"/>
      <c r="HLB248" s="8"/>
      <c r="HLC248" s="9"/>
      <c r="HLD248" s="10"/>
      <c r="HLE248" s="11"/>
      <c r="HLF248" s="10"/>
      <c r="HLG248" s="6"/>
      <c r="HLH248" s="7"/>
      <c r="HLI248" s="8"/>
      <c r="HLJ248" s="9"/>
      <c r="HLK248" s="10"/>
      <c r="HLL248" s="11"/>
      <c r="HLM248" s="10"/>
      <c r="HLN248" s="6"/>
      <c r="HLO248" s="7"/>
      <c r="HLP248" s="8"/>
      <c r="HLQ248" s="9"/>
      <c r="HLR248" s="10"/>
      <c r="HLS248" s="11"/>
      <c r="HLT248" s="10"/>
      <c r="HLU248" s="6"/>
      <c r="HLV248" s="7"/>
      <c r="HLW248" s="8"/>
      <c r="HLX248" s="9"/>
      <c r="HLY248" s="10"/>
      <c r="HLZ248" s="11"/>
      <c r="HMA248" s="10"/>
      <c r="HMB248" s="6"/>
      <c r="HMC248" s="7"/>
      <c r="HMD248" s="8"/>
      <c r="HME248" s="9"/>
      <c r="HMF248" s="10"/>
      <c r="HMG248" s="11"/>
      <c r="HMH248" s="10"/>
      <c r="HMI248" s="6"/>
      <c r="HMJ248" s="7"/>
      <c r="HMK248" s="8"/>
      <c r="HML248" s="9"/>
      <c r="HMM248" s="10"/>
      <c r="HMN248" s="11"/>
      <c r="HMO248" s="10"/>
      <c r="HMP248" s="6"/>
      <c r="HMQ248" s="7"/>
      <c r="HMR248" s="8"/>
      <c r="HMS248" s="9"/>
      <c r="HMT248" s="10"/>
      <c r="HMU248" s="11"/>
      <c r="HMV248" s="10"/>
      <c r="HMW248" s="6"/>
      <c r="HMX248" s="7"/>
      <c r="HMY248" s="8"/>
      <c r="HMZ248" s="9"/>
      <c r="HNA248" s="10"/>
      <c r="HNB248" s="11"/>
      <c r="HNC248" s="10"/>
      <c r="HND248" s="6"/>
      <c r="HNE248" s="7"/>
      <c r="HNF248" s="8"/>
      <c r="HNG248" s="9"/>
      <c r="HNH248" s="10"/>
      <c r="HNI248" s="11"/>
      <c r="HNJ248" s="10"/>
      <c r="HNK248" s="6"/>
      <c r="HNL248" s="7"/>
      <c r="HNM248" s="8"/>
      <c r="HNN248" s="9"/>
      <c r="HNO248" s="10"/>
      <c r="HNP248" s="11"/>
      <c r="HNQ248" s="10"/>
      <c r="HNR248" s="6"/>
      <c r="HNS248" s="7"/>
      <c r="HNT248" s="8"/>
      <c r="HNU248" s="9"/>
      <c r="HNV248" s="10"/>
      <c r="HNW248" s="11"/>
      <c r="HNX248" s="10"/>
      <c r="HNY248" s="6"/>
      <c r="HNZ248" s="7"/>
      <c r="HOA248" s="8"/>
      <c r="HOB248" s="9"/>
      <c r="HOC248" s="10"/>
      <c r="HOD248" s="11"/>
      <c r="HOE248" s="10"/>
      <c r="HOF248" s="6"/>
      <c r="HOG248" s="7"/>
      <c r="HOH248" s="8"/>
      <c r="HOI248" s="9"/>
      <c r="HOJ248" s="10"/>
      <c r="HOK248" s="11"/>
      <c r="HOL248" s="10"/>
      <c r="HOM248" s="6"/>
      <c r="HON248" s="7"/>
      <c r="HOO248" s="8"/>
      <c r="HOP248" s="9"/>
      <c r="HOQ248" s="10"/>
      <c r="HOR248" s="11"/>
      <c r="HOS248" s="10"/>
      <c r="HOT248" s="6"/>
      <c r="HOU248" s="7"/>
      <c r="HOV248" s="8"/>
      <c r="HOW248" s="9"/>
      <c r="HOX248" s="10"/>
      <c r="HOY248" s="11"/>
      <c r="HOZ248" s="10"/>
      <c r="HPA248" s="6"/>
      <c r="HPB248" s="7"/>
      <c r="HPC248" s="8"/>
      <c r="HPD248" s="9"/>
      <c r="HPE248" s="10"/>
      <c r="HPF248" s="11"/>
      <c r="HPG248" s="10"/>
      <c r="HPH248" s="6"/>
      <c r="HPI248" s="7"/>
      <c r="HPJ248" s="8"/>
      <c r="HPK248" s="9"/>
      <c r="HPL248" s="10"/>
      <c r="HPM248" s="11"/>
      <c r="HPN248" s="10"/>
      <c r="HPO248" s="6"/>
      <c r="HPP248" s="7"/>
      <c r="HPQ248" s="8"/>
      <c r="HPR248" s="9"/>
      <c r="HPS248" s="10"/>
      <c r="HPT248" s="11"/>
      <c r="HPU248" s="10"/>
      <c r="HPV248" s="6"/>
      <c r="HPW248" s="7"/>
      <c r="HPX248" s="8"/>
      <c r="HPY248" s="9"/>
      <c r="HPZ248" s="10"/>
      <c r="HQA248" s="11"/>
      <c r="HQB248" s="10"/>
      <c r="HQC248" s="6"/>
      <c r="HQD248" s="7"/>
      <c r="HQE248" s="8"/>
      <c r="HQF248" s="9"/>
      <c r="HQG248" s="10"/>
      <c r="HQH248" s="11"/>
      <c r="HQI248" s="10"/>
      <c r="HQJ248" s="6"/>
      <c r="HQK248" s="7"/>
      <c r="HQL248" s="8"/>
      <c r="HQM248" s="9"/>
      <c r="HQN248" s="10"/>
      <c r="HQO248" s="11"/>
      <c r="HQP248" s="10"/>
      <c r="HQQ248" s="6"/>
      <c r="HQR248" s="7"/>
      <c r="HQS248" s="8"/>
      <c r="HQT248" s="9"/>
      <c r="HQU248" s="10"/>
      <c r="HQV248" s="11"/>
      <c r="HQW248" s="10"/>
      <c r="HQX248" s="6"/>
      <c r="HQY248" s="7"/>
      <c r="HQZ248" s="8"/>
      <c r="HRA248" s="9"/>
      <c r="HRB248" s="10"/>
      <c r="HRC248" s="11"/>
      <c r="HRD248" s="10"/>
      <c r="HRE248" s="6"/>
      <c r="HRF248" s="7"/>
      <c r="HRG248" s="8"/>
      <c r="HRH248" s="9"/>
      <c r="HRI248" s="10"/>
      <c r="HRJ248" s="11"/>
      <c r="HRK248" s="10"/>
      <c r="HRL248" s="6"/>
      <c r="HRM248" s="7"/>
      <c r="HRN248" s="8"/>
      <c r="HRO248" s="9"/>
      <c r="HRP248" s="10"/>
      <c r="HRQ248" s="11"/>
      <c r="HRR248" s="10"/>
      <c r="HRS248" s="6"/>
      <c r="HRT248" s="7"/>
      <c r="HRU248" s="8"/>
      <c r="HRV248" s="9"/>
      <c r="HRW248" s="10"/>
      <c r="HRX248" s="11"/>
      <c r="HRY248" s="10"/>
      <c r="HRZ248" s="6"/>
      <c r="HSA248" s="7"/>
      <c r="HSB248" s="8"/>
      <c r="HSC248" s="9"/>
      <c r="HSD248" s="10"/>
      <c r="HSE248" s="11"/>
      <c r="HSF248" s="10"/>
      <c r="HSG248" s="6"/>
      <c r="HSH248" s="7"/>
      <c r="HSI248" s="8"/>
      <c r="HSJ248" s="9"/>
      <c r="HSK248" s="10"/>
      <c r="HSL248" s="11"/>
      <c r="HSM248" s="10"/>
      <c r="HSN248" s="6"/>
      <c r="HSO248" s="7"/>
      <c r="HSP248" s="8"/>
      <c r="HSQ248" s="9"/>
      <c r="HSR248" s="10"/>
      <c r="HSS248" s="11"/>
      <c r="HST248" s="10"/>
      <c r="HSU248" s="6"/>
      <c r="HSV248" s="7"/>
      <c r="HSW248" s="8"/>
      <c r="HSX248" s="9"/>
      <c r="HSY248" s="10"/>
      <c r="HSZ248" s="11"/>
      <c r="HTA248" s="10"/>
      <c r="HTB248" s="6"/>
      <c r="HTC248" s="7"/>
      <c r="HTD248" s="8"/>
      <c r="HTE248" s="9"/>
      <c r="HTF248" s="10"/>
      <c r="HTG248" s="11"/>
      <c r="HTH248" s="10"/>
      <c r="HTI248" s="6"/>
      <c r="HTJ248" s="7"/>
      <c r="HTK248" s="8"/>
      <c r="HTL248" s="9"/>
      <c r="HTM248" s="10"/>
      <c r="HTN248" s="11"/>
      <c r="HTO248" s="10"/>
      <c r="HTP248" s="6"/>
      <c r="HTQ248" s="7"/>
      <c r="HTR248" s="8"/>
      <c r="HTS248" s="9"/>
      <c r="HTT248" s="10"/>
      <c r="HTU248" s="11"/>
      <c r="HTV248" s="10"/>
      <c r="HTW248" s="6"/>
      <c r="HTX248" s="7"/>
      <c r="HTY248" s="8"/>
      <c r="HTZ248" s="9"/>
      <c r="HUA248" s="10"/>
      <c r="HUB248" s="11"/>
      <c r="HUC248" s="10"/>
      <c r="HUD248" s="6"/>
      <c r="HUE248" s="7"/>
      <c r="HUF248" s="8"/>
      <c r="HUG248" s="9"/>
      <c r="HUH248" s="10"/>
      <c r="HUI248" s="11"/>
      <c r="HUJ248" s="10"/>
      <c r="HUK248" s="6"/>
      <c r="HUL248" s="7"/>
      <c r="HUM248" s="8"/>
      <c r="HUN248" s="9"/>
      <c r="HUO248" s="10"/>
      <c r="HUP248" s="11"/>
      <c r="HUQ248" s="10"/>
      <c r="HUR248" s="6"/>
      <c r="HUS248" s="7"/>
      <c r="HUT248" s="8"/>
      <c r="HUU248" s="9"/>
      <c r="HUV248" s="10"/>
      <c r="HUW248" s="11"/>
      <c r="HUX248" s="10"/>
      <c r="HUY248" s="6"/>
      <c r="HUZ248" s="7"/>
      <c r="HVA248" s="8"/>
      <c r="HVB248" s="9"/>
      <c r="HVC248" s="10"/>
      <c r="HVD248" s="11"/>
      <c r="HVE248" s="10"/>
      <c r="HVF248" s="6"/>
      <c r="HVG248" s="7"/>
      <c r="HVH248" s="8"/>
      <c r="HVI248" s="9"/>
      <c r="HVJ248" s="10"/>
      <c r="HVK248" s="11"/>
      <c r="HVL248" s="10"/>
      <c r="HVM248" s="6"/>
      <c r="HVN248" s="7"/>
      <c r="HVO248" s="8"/>
      <c r="HVP248" s="9"/>
      <c r="HVQ248" s="10"/>
      <c r="HVR248" s="11"/>
      <c r="HVS248" s="10"/>
      <c r="HVT248" s="6"/>
      <c r="HVU248" s="7"/>
      <c r="HVV248" s="8"/>
      <c r="HVW248" s="9"/>
      <c r="HVX248" s="10"/>
      <c r="HVY248" s="11"/>
      <c r="HVZ248" s="10"/>
      <c r="HWA248" s="6"/>
      <c r="HWB248" s="7"/>
      <c r="HWC248" s="8"/>
      <c r="HWD248" s="9"/>
      <c r="HWE248" s="10"/>
      <c r="HWF248" s="11"/>
      <c r="HWG248" s="10"/>
      <c r="HWH248" s="6"/>
      <c r="HWI248" s="7"/>
      <c r="HWJ248" s="8"/>
      <c r="HWK248" s="9"/>
      <c r="HWL248" s="10"/>
      <c r="HWM248" s="11"/>
      <c r="HWN248" s="10"/>
      <c r="HWO248" s="6"/>
      <c r="HWP248" s="7"/>
      <c r="HWQ248" s="8"/>
      <c r="HWR248" s="9"/>
      <c r="HWS248" s="10"/>
      <c r="HWT248" s="11"/>
      <c r="HWU248" s="10"/>
      <c r="HWV248" s="6"/>
      <c r="HWW248" s="7"/>
      <c r="HWX248" s="8"/>
      <c r="HWY248" s="9"/>
      <c r="HWZ248" s="10"/>
      <c r="HXA248" s="11"/>
      <c r="HXB248" s="10"/>
      <c r="HXC248" s="6"/>
      <c r="HXD248" s="7"/>
      <c r="HXE248" s="8"/>
      <c r="HXF248" s="9"/>
      <c r="HXG248" s="10"/>
      <c r="HXH248" s="11"/>
      <c r="HXI248" s="10"/>
      <c r="HXJ248" s="6"/>
      <c r="HXK248" s="7"/>
      <c r="HXL248" s="8"/>
      <c r="HXM248" s="9"/>
      <c r="HXN248" s="10"/>
      <c r="HXO248" s="11"/>
      <c r="HXP248" s="10"/>
      <c r="HXQ248" s="6"/>
      <c r="HXR248" s="7"/>
      <c r="HXS248" s="8"/>
      <c r="HXT248" s="9"/>
      <c r="HXU248" s="10"/>
      <c r="HXV248" s="11"/>
      <c r="HXW248" s="10"/>
      <c r="HXX248" s="6"/>
      <c r="HXY248" s="7"/>
      <c r="HXZ248" s="8"/>
      <c r="HYA248" s="9"/>
      <c r="HYB248" s="10"/>
      <c r="HYC248" s="11"/>
      <c r="HYD248" s="10"/>
      <c r="HYE248" s="6"/>
      <c r="HYF248" s="7"/>
      <c r="HYG248" s="8"/>
      <c r="HYH248" s="9"/>
      <c r="HYI248" s="10"/>
      <c r="HYJ248" s="11"/>
      <c r="HYK248" s="10"/>
      <c r="HYL248" s="6"/>
      <c r="HYM248" s="7"/>
      <c r="HYN248" s="8"/>
      <c r="HYO248" s="9"/>
      <c r="HYP248" s="10"/>
      <c r="HYQ248" s="11"/>
      <c r="HYR248" s="10"/>
      <c r="HYS248" s="6"/>
      <c r="HYT248" s="7"/>
      <c r="HYU248" s="8"/>
      <c r="HYV248" s="9"/>
      <c r="HYW248" s="10"/>
      <c r="HYX248" s="11"/>
      <c r="HYY248" s="10"/>
      <c r="HYZ248" s="6"/>
      <c r="HZA248" s="7"/>
      <c r="HZB248" s="8"/>
      <c r="HZC248" s="9"/>
      <c r="HZD248" s="10"/>
      <c r="HZE248" s="11"/>
      <c r="HZF248" s="10"/>
      <c r="HZG248" s="6"/>
      <c r="HZH248" s="7"/>
      <c r="HZI248" s="8"/>
      <c r="HZJ248" s="9"/>
      <c r="HZK248" s="10"/>
      <c r="HZL248" s="11"/>
      <c r="HZM248" s="10"/>
      <c r="HZN248" s="6"/>
      <c r="HZO248" s="7"/>
      <c r="HZP248" s="8"/>
      <c r="HZQ248" s="9"/>
      <c r="HZR248" s="10"/>
      <c r="HZS248" s="11"/>
      <c r="HZT248" s="10"/>
      <c r="HZU248" s="6"/>
      <c r="HZV248" s="7"/>
      <c r="HZW248" s="8"/>
      <c r="HZX248" s="9"/>
      <c r="HZY248" s="10"/>
      <c r="HZZ248" s="11"/>
      <c r="IAA248" s="10"/>
      <c r="IAB248" s="6"/>
      <c r="IAC248" s="7"/>
      <c r="IAD248" s="8"/>
      <c r="IAE248" s="9"/>
      <c r="IAF248" s="10"/>
      <c r="IAG248" s="11"/>
      <c r="IAH248" s="10"/>
      <c r="IAI248" s="6"/>
      <c r="IAJ248" s="7"/>
      <c r="IAK248" s="8"/>
      <c r="IAL248" s="9"/>
      <c r="IAM248" s="10"/>
      <c r="IAN248" s="11"/>
      <c r="IAO248" s="10"/>
      <c r="IAP248" s="6"/>
      <c r="IAQ248" s="7"/>
      <c r="IAR248" s="8"/>
      <c r="IAS248" s="9"/>
      <c r="IAT248" s="10"/>
      <c r="IAU248" s="11"/>
      <c r="IAV248" s="10"/>
      <c r="IAW248" s="6"/>
      <c r="IAX248" s="7"/>
      <c r="IAY248" s="8"/>
      <c r="IAZ248" s="9"/>
      <c r="IBA248" s="10"/>
      <c r="IBB248" s="11"/>
      <c r="IBC248" s="10"/>
      <c r="IBD248" s="6"/>
      <c r="IBE248" s="7"/>
      <c r="IBF248" s="8"/>
      <c r="IBG248" s="9"/>
      <c r="IBH248" s="10"/>
      <c r="IBI248" s="11"/>
      <c r="IBJ248" s="10"/>
      <c r="IBK248" s="6"/>
      <c r="IBL248" s="7"/>
      <c r="IBM248" s="8"/>
      <c r="IBN248" s="9"/>
      <c r="IBO248" s="10"/>
      <c r="IBP248" s="11"/>
      <c r="IBQ248" s="10"/>
      <c r="IBR248" s="6"/>
      <c r="IBS248" s="7"/>
      <c r="IBT248" s="8"/>
      <c r="IBU248" s="9"/>
      <c r="IBV248" s="10"/>
      <c r="IBW248" s="11"/>
      <c r="IBX248" s="10"/>
      <c r="IBY248" s="6"/>
      <c r="IBZ248" s="7"/>
      <c r="ICA248" s="8"/>
      <c r="ICB248" s="9"/>
      <c r="ICC248" s="10"/>
      <c r="ICD248" s="11"/>
      <c r="ICE248" s="10"/>
      <c r="ICF248" s="6"/>
      <c r="ICG248" s="7"/>
      <c r="ICH248" s="8"/>
      <c r="ICI248" s="9"/>
      <c r="ICJ248" s="10"/>
      <c r="ICK248" s="11"/>
      <c r="ICL248" s="10"/>
      <c r="ICM248" s="6"/>
      <c r="ICN248" s="7"/>
      <c r="ICO248" s="8"/>
      <c r="ICP248" s="9"/>
      <c r="ICQ248" s="10"/>
      <c r="ICR248" s="11"/>
      <c r="ICS248" s="10"/>
      <c r="ICT248" s="6"/>
      <c r="ICU248" s="7"/>
      <c r="ICV248" s="8"/>
      <c r="ICW248" s="9"/>
      <c r="ICX248" s="10"/>
      <c r="ICY248" s="11"/>
      <c r="ICZ248" s="10"/>
      <c r="IDA248" s="6"/>
      <c r="IDB248" s="7"/>
      <c r="IDC248" s="8"/>
      <c r="IDD248" s="9"/>
      <c r="IDE248" s="10"/>
      <c r="IDF248" s="11"/>
      <c r="IDG248" s="10"/>
      <c r="IDH248" s="6"/>
      <c r="IDI248" s="7"/>
      <c r="IDJ248" s="8"/>
      <c r="IDK248" s="9"/>
      <c r="IDL248" s="10"/>
      <c r="IDM248" s="11"/>
      <c r="IDN248" s="10"/>
      <c r="IDO248" s="6"/>
      <c r="IDP248" s="7"/>
      <c r="IDQ248" s="8"/>
      <c r="IDR248" s="9"/>
      <c r="IDS248" s="10"/>
      <c r="IDT248" s="11"/>
      <c r="IDU248" s="10"/>
      <c r="IDV248" s="6"/>
      <c r="IDW248" s="7"/>
      <c r="IDX248" s="8"/>
      <c r="IDY248" s="9"/>
      <c r="IDZ248" s="10"/>
      <c r="IEA248" s="11"/>
      <c r="IEB248" s="10"/>
      <c r="IEC248" s="6"/>
      <c r="IED248" s="7"/>
      <c r="IEE248" s="8"/>
      <c r="IEF248" s="9"/>
      <c r="IEG248" s="10"/>
      <c r="IEH248" s="11"/>
      <c r="IEI248" s="10"/>
      <c r="IEJ248" s="6"/>
      <c r="IEK248" s="7"/>
      <c r="IEL248" s="8"/>
      <c r="IEM248" s="9"/>
      <c r="IEN248" s="10"/>
      <c r="IEO248" s="11"/>
      <c r="IEP248" s="10"/>
      <c r="IEQ248" s="6"/>
      <c r="IER248" s="7"/>
      <c r="IES248" s="8"/>
      <c r="IET248" s="9"/>
      <c r="IEU248" s="10"/>
      <c r="IEV248" s="11"/>
      <c r="IEW248" s="10"/>
      <c r="IEX248" s="6"/>
      <c r="IEY248" s="7"/>
      <c r="IEZ248" s="8"/>
      <c r="IFA248" s="9"/>
      <c r="IFB248" s="10"/>
      <c r="IFC248" s="11"/>
      <c r="IFD248" s="10"/>
      <c r="IFE248" s="6"/>
      <c r="IFF248" s="7"/>
      <c r="IFG248" s="8"/>
      <c r="IFH248" s="9"/>
      <c r="IFI248" s="10"/>
      <c r="IFJ248" s="11"/>
      <c r="IFK248" s="10"/>
      <c r="IFL248" s="6"/>
      <c r="IFM248" s="7"/>
      <c r="IFN248" s="8"/>
      <c r="IFO248" s="9"/>
      <c r="IFP248" s="10"/>
      <c r="IFQ248" s="11"/>
      <c r="IFR248" s="10"/>
      <c r="IFS248" s="6"/>
      <c r="IFT248" s="7"/>
      <c r="IFU248" s="8"/>
      <c r="IFV248" s="9"/>
      <c r="IFW248" s="10"/>
      <c r="IFX248" s="11"/>
      <c r="IFY248" s="10"/>
      <c r="IFZ248" s="6"/>
      <c r="IGA248" s="7"/>
      <c r="IGB248" s="8"/>
      <c r="IGC248" s="9"/>
      <c r="IGD248" s="10"/>
      <c r="IGE248" s="11"/>
      <c r="IGF248" s="10"/>
      <c r="IGG248" s="6"/>
      <c r="IGH248" s="7"/>
      <c r="IGI248" s="8"/>
      <c r="IGJ248" s="9"/>
      <c r="IGK248" s="10"/>
      <c r="IGL248" s="11"/>
      <c r="IGM248" s="10"/>
      <c r="IGN248" s="6"/>
      <c r="IGO248" s="7"/>
      <c r="IGP248" s="8"/>
      <c r="IGQ248" s="9"/>
      <c r="IGR248" s="10"/>
      <c r="IGS248" s="11"/>
      <c r="IGT248" s="10"/>
      <c r="IGU248" s="6"/>
      <c r="IGV248" s="7"/>
      <c r="IGW248" s="8"/>
      <c r="IGX248" s="9"/>
      <c r="IGY248" s="10"/>
      <c r="IGZ248" s="11"/>
      <c r="IHA248" s="10"/>
      <c r="IHB248" s="6"/>
      <c r="IHC248" s="7"/>
      <c r="IHD248" s="8"/>
      <c r="IHE248" s="9"/>
      <c r="IHF248" s="10"/>
      <c r="IHG248" s="11"/>
      <c r="IHH248" s="10"/>
      <c r="IHI248" s="6"/>
      <c r="IHJ248" s="7"/>
      <c r="IHK248" s="8"/>
      <c r="IHL248" s="9"/>
      <c r="IHM248" s="10"/>
      <c r="IHN248" s="11"/>
      <c r="IHO248" s="10"/>
      <c r="IHP248" s="6"/>
      <c r="IHQ248" s="7"/>
      <c r="IHR248" s="8"/>
      <c r="IHS248" s="9"/>
      <c r="IHT248" s="10"/>
      <c r="IHU248" s="11"/>
      <c r="IHV248" s="10"/>
      <c r="IHW248" s="6"/>
      <c r="IHX248" s="7"/>
      <c r="IHY248" s="8"/>
      <c r="IHZ248" s="9"/>
      <c r="IIA248" s="10"/>
      <c r="IIB248" s="11"/>
      <c r="IIC248" s="10"/>
      <c r="IID248" s="6"/>
      <c r="IIE248" s="7"/>
      <c r="IIF248" s="8"/>
      <c r="IIG248" s="9"/>
      <c r="IIH248" s="10"/>
      <c r="III248" s="11"/>
      <c r="IIJ248" s="10"/>
      <c r="IIK248" s="6"/>
      <c r="IIL248" s="7"/>
      <c r="IIM248" s="8"/>
      <c r="IIN248" s="9"/>
      <c r="IIO248" s="10"/>
      <c r="IIP248" s="11"/>
      <c r="IIQ248" s="10"/>
      <c r="IIR248" s="6"/>
      <c r="IIS248" s="7"/>
      <c r="IIT248" s="8"/>
      <c r="IIU248" s="9"/>
      <c r="IIV248" s="10"/>
      <c r="IIW248" s="11"/>
      <c r="IIX248" s="10"/>
      <c r="IIY248" s="6"/>
      <c r="IIZ248" s="7"/>
      <c r="IJA248" s="8"/>
      <c r="IJB248" s="9"/>
      <c r="IJC248" s="10"/>
      <c r="IJD248" s="11"/>
      <c r="IJE248" s="10"/>
      <c r="IJF248" s="6"/>
      <c r="IJG248" s="7"/>
      <c r="IJH248" s="8"/>
      <c r="IJI248" s="9"/>
      <c r="IJJ248" s="10"/>
      <c r="IJK248" s="11"/>
      <c r="IJL248" s="10"/>
      <c r="IJM248" s="6"/>
      <c r="IJN248" s="7"/>
      <c r="IJO248" s="8"/>
      <c r="IJP248" s="9"/>
      <c r="IJQ248" s="10"/>
      <c r="IJR248" s="11"/>
      <c r="IJS248" s="10"/>
      <c r="IJT248" s="6"/>
      <c r="IJU248" s="7"/>
      <c r="IJV248" s="8"/>
      <c r="IJW248" s="9"/>
      <c r="IJX248" s="10"/>
      <c r="IJY248" s="11"/>
      <c r="IJZ248" s="10"/>
      <c r="IKA248" s="6"/>
      <c r="IKB248" s="7"/>
      <c r="IKC248" s="8"/>
      <c r="IKD248" s="9"/>
      <c r="IKE248" s="10"/>
      <c r="IKF248" s="11"/>
      <c r="IKG248" s="10"/>
      <c r="IKH248" s="6"/>
      <c r="IKI248" s="7"/>
      <c r="IKJ248" s="8"/>
      <c r="IKK248" s="9"/>
      <c r="IKL248" s="10"/>
      <c r="IKM248" s="11"/>
      <c r="IKN248" s="10"/>
      <c r="IKO248" s="6"/>
      <c r="IKP248" s="7"/>
      <c r="IKQ248" s="8"/>
      <c r="IKR248" s="9"/>
      <c r="IKS248" s="10"/>
      <c r="IKT248" s="11"/>
      <c r="IKU248" s="10"/>
      <c r="IKV248" s="6"/>
      <c r="IKW248" s="7"/>
      <c r="IKX248" s="8"/>
      <c r="IKY248" s="9"/>
      <c r="IKZ248" s="10"/>
      <c r="ILA248" s="11"/>
      <c r="ILB248" s="10"/>
      <c r="ILC248" s="6"/>
      <c r="ILD248" s="7"/>
      <c r="ILE248" s="8"/>
      <c r="ILF248" s="9"/>
      <c r="ILG248" s="10"/>
      <c r="ILH248" s="11"/>
      <c r="ILI248" s="10"/>
      <c r="ILJ248" s="6"/>
      <c r="ILK248" s="7"/>
      <c r="ILL248" s="8"/>
      <c r="ILM248" s="9"/>
      <c r="ILN248" s="10"/>
      <c r="ILO248" s="11"/>
      <c r="ILP248" s="10"/>
      <c r="ILQ248" s="6"/>
      <c r="ILR248" s="7"/>
      <c r="ILS248" s="8"/>
      <c r="ILT248" s="9"/>
      <c r="ILU248" s="10"/>
      <c r="ILV248" s="11"/>
      <c r="ILW248" s="10"/>
      <c r="ILX248" s="6"/>
      <c r="ILY248" s="7"/>
      <c r="ILZ248" s="8"/>
      <c r="IMA248" s="9"/>
      <c r="IMB248" s="10"/>
      <c r="IMC248" s="11"/>
      <c r="IMD248" s="10"/>
      <c r="IME248" s="6"/>
      <c r="IMF248" s="7"/>
      <c r="IMG248" s="8"/>
      <c r="IMH248" s="9"/>
      <c r="IMI248" s="10"/>
      <c r="IMJ248" s="11"/>
      <c r="IMK248" s="10"/>
      <c r="IML248" s="6"/>
      <c r="IMM248" s="7"/>
      <c r="IMN248" s="8"/>
      <c r="IMO248" s="9"/>
      <c r="IMP248" s="10"/>
      <c r="IMQ248" s="11"/>
      <c r="IMR248" s="10"/>
      <c r="IMS248" s="6"/>
      <c r="IMT248" s="7"/>
      <c r="IMU248" s="8"/>
      <c r="IMV248" s="9"/>
      <c r="IMW248" s="10"/>
      <c r="IMX248" s="11"/>
      <c r="IMY248" s="10"/>
      <c r="IMZ248" s="6"/>
      <c r="INA248" s="7"/>
      <c r="INB248" s="8"/>
      <c r="INC248" s="9"/>
      <c r="IND248" s="10"/>
      <c r="INE248" s="11"/>
      <c r="INF248" s="10"/>
      <c r="ING248" s="6"/>
      <c r="INH248" s="7"/>
      <c r="INI248" s="8"/>
      <c r="INJ248" s="9"/>
      <c r="INK248" s="10"/>
      <c r="INL248" s="11"/>
      <c r="INM248" s="10"/>
      <c r="INN248" s="6"/>
      <c r="INO248" s="7"/>
      <c r="INP248" s="8"/>
      <c r="INQ248" s="9"/>
      <c r="INR248" s="10"/>
      <c r="INS248" s="11"/>
      <c r="INT248" s="10"/>
      <c r="INU248" s="6"/>
      <c r="INV248" s="7"/>
      <c r="INW248" s="8"/>
      <c r="INX248" s="9"/>
      <c r="INY248" s="10"/>
      <c r="INZ248" s="11"/>
      <c r="IOA248" s="10"/>
      <c r="IOB248" s="6"/>
      <c r="IOC248" s="7"/>
      <c r="IOD248" s="8"/>
      <c r="IOE248" s="9"/>
      <c r="IOF248" s="10"/>
      <c r="IOG248" s="11"/>
      <c r="IOH248" s="10"/>
      <c r="IOI248" s="6"/>
      <c r="IOJ248" s="7"/>
      <c r="IOK248" s="8"/>
      <c r="IOL248" s="9"/>
      <c r="IOM248" s="10"/>
      <c r="ION248" s="11"/>
      <c r="IOO248" s="10"/>
      <c r="IOP248" s="6"/>
      <c r="IOQ248" s="7"/>
      <c r="IOR248" s="8"/>
      <c r="IOS248" s="9"/>
      <c r="IOT248" s="10"/>
      <c r="IOU248" s="11"/>
      <c r="IOV248" s="10"/>
      <c r="IOW248" s="6"/>
      <c r="IOX248" s="7"/>
      <c r="IOY248" s="8"/>
      <c r="IOZ248" s="9"/>
      <c r="IPA248" s="10"/>
      <c r="IPB248" s="11"/>
      <c r="IPC248" s="10"/>
      <c r="IPD248" s="6"/>
      <c r="IPE248" s="7"/>
      <c r="IPF248" s="8"/>
      <c r="IPG248" s="9"/>
      <c r="IPH248" s="10"/>
      <c r="IPI248" s="11"/>
      <c r="IPJ248" s="10"/>
      <c r="IPK248" s="6"/>
      <c r="IPL248" s="7"/>
      <c r="IPM248" s="8"/>
      <c r="IPN248" s="9"/>
      <c r="IPO248" s="10"/>
      <c r="IPP248" s="11"/>
      <c r="IPQ248" s="10"/>
      <c r="IPR248" s="6"/>
      <c r="IPS248" s="7"/>
      <c r="IPT248" s="8"/>
      <c r="IPU248" s="9"/>
      <c r="IPV248" s="10"/>
      <c r="IPW248" s="11"/>
      <c r="IPX248" s="10"/>
      <c r="IPY248" s="6"/>
      <c r="IPZ248" s="7"/>
      <c r="IQA248" s="8"/>
      <c r="IQB248" s="9"/>
      <c r="IQC248" s="10"/>
      <c r="IQD248" s="11"/>
      <c r="IQE248" s="10"/>
      <c r="IQF248" s="6"/>
      <c r="IQG248" s="7"/>
      <c r="IQH248" s="8"/>
      <c r="IQI248" s="9"/>
      <c r="IQJ248" s="10"/>
      <c r="IQK248" s="11"/>
      <c r="IQL248" s="10"/>
      <c r="IQM248" s="6"/>
      <c r="IQN248" s="7"/>
      <c r="IQO248" s="8"/>
      <c r="IQP248" s="9"/>
      <c r="IQQ248" s="10"/>
      <c r="IQR248" s="11"/>
      <c r="IQS248" s="10"/>
      <c r="IQT248" s="6"/>
      <c r="IQU248" s="7"/>
      <c r="IQV248" s="8"/>
      <c r="IQW248" s="9"/>
      <c r="IQX248" s="10"/>
      <c r="IQY248" s="11"/>
      <c r="IQZ248" s="10"/>
      <c r="IRA248" s="6"/>
      <c r="IRB248" s="7"/>
      <c r="IRC248" s="8"/>
      <c r="IRD248" s="9"/>
      <c r="IRE248" s="10"/>
      <c r="IRF248" s="11"/>
      <c r="IRG248" s="10"/>
      <c r="IRH248" s="6"/>
      <c r="IRI248" s="7"/>
      <c r="IRJ248" s="8"/>
      <c r="IRK248" s="9"/>
      <c r="IRL248" s="10"/>
      <c r="IRM248" s="11"/>
      <c r="IRN248" s="10"/>
      <c r="IRO248" s="6"/>
      <c r="IRP248" s="7"/>
      <c r="IRQ248" s="8"/>
      <c r="IRR248" s="9"/>
      <c r="IRS248" s="10"/>
      <c r="IRT248" s="11"/>
      <c r="IRU248" s="10"/>
      <c r="IRV248" s="6"/>
      <c r="IRW248" s="7"/>
      <c r="IRX248" s="8"/>
      <c r="IRY248" s="9"/>
      <c r="IRZ248" s="10"/>
      <c r="ISA248" s="11"/>
      <c r="ISB248" s="10"/>
      <c r="ISC248" s="6"/>
      <c r="ISD248" s="7"/>
      <c r="ISE248" s="8"/>
      <c r="ISF248" s="9"/>
      <c r="ISG248" s="10"/>
      <c r="ISH248" s="11"/>
      <c r="ISI248" s="10"/>
      <c r="ISJ248" s="6"/>
      <c r="ISK248" s="7"/>
      <c r="ISL248" s="8"/>
      <c r="ISM248" s="9"/>
      <c r="ISN248" s="10"/>
      <c r="ISO248" s="11"/>
      <c r="ISP248" s="10"/>
      <c r="ISQ248" s="6"/>
      <c r="ISR248" s="7"/>
      <c r="ISS248" s="8"/>
      <c r="IST248" s="9"/>
      <c r="ISU248" s="10"/>
      <c r="ISV248" s="11"/>
      <c r="ISW248" s="10"/>
      <c r="ISX248" s="6"/>
      <c r="ISY248" s="7"/>
      <c r="ISZ248" s="8"/>
      <c r="ITA248" s="9"/>
      <c r="ITB248" s="10"/>
      <c r="ITC248" s="11"/>
      <c r="ITD248" s="10"/>
      <c r="ITE248" s="6"/>
      <c r="ITF248" s="7"/>
      <c r="ITG248" s="8"/>
      <c r="ITH248" s="9"/>
      <c r="ITI248" s="10"/>
      <c r="ITJ248" s="11"/>
      <c r="ITK248" s="10"/>
      <c r="ITL248" s="6"/>
      <c r="ITM248" s="7"/>
      <c r="ITN248" s="8"/>
      <c r="ITO248" s="9"/>
      <c r="ITP248" s="10"/>
      <c r="ITQ248" s="11"/>
      <c r="ITR248" s="10"/>
      <c r="ITS248" s="6"/>
      <c r="ITT248" s="7"/>
      <c r="ITU248" s="8"/>
      <c r="ITV248" s="9"/>
      <c r="ITW248" s="10"/>
      <c r="ITX248" s="11"/>
      <c r="ITY248" s="10"/>
      <c r="ITZ248" s="6"/>
      <c r="IUA248" s="7"/>
      <c r="IUB248" s="8"/>
      <c r="IUC248" s="9"/>
      <c r="IUD248" s="10"/>
      <c r="IUE248" s="11"/>
      <c r="IUF248" s="10"/>
      <c r="IUG248" s="6"/>
      <c r="IUH248" s="7"/>
      <c r="IUI248" s="8"/>
      <c r="IUJ248" s="9"/>
      <c r="IUK248" s="10"/>
      <c r="IUL248" s="11"/>
      <c r="IUM248" s="10"/>
      <c r="IUN248" s="6"/>
      <c r="IUO248" s="7"/>
      <c r="IUP248" s="8"/>
      <c r="IUQ248" s="9"/>
      <c r="IUR248" s="10"/>
      <c r="IUS248" s="11"/>
      <c r="IUT248" s="10"/>
      <c r="IUU248" s="6"/>
      <c r="IUV248" s="7"/>
      <c r="IUW248" s="8"/>
      <c r="IUX248" s="9"/>
      <c r="IUY248" s="10"/>
      <c r="IUZ248" s="11"/>
      <c r="IVA248" s="10"/>
      <c r="IVB248" s="6"/>
      <c r="IVC248" s="7"/>
      <c r="IVD248" s="8"/>
      <c r="IVE248" s="9"/>
      <c r="IVF248" s="10"/>
      <c r="IVG248" s="11"/>
      <c r="IVH248" s="10"/>
      <c r="IVI248" s="6"/>
      <c r="IVJ248" s="7"/>
      <c r="IVK248" s="8"/>
      <c r="IVL248" s="9"/>
      <c r="IVM248" s="10"/>
      <c r="IVN248" s="11"/>
      <c r="IVO248" s="10"/>
      <c r="IVP248" s="6"/>
      <c r="IVQ248" s="7"/>
      <c r="IVR248" s="8"/>
      <c r="IVS248" s="9"/>
      <c r="IVT248" s="10"/>
      <c r="IVU248" s="11"/>
      <c r="IVV248" s="10"/>
      <c r="IVW248" s="6"/>
      <c r="IVX248" s="7"/>
      <c r="IVY248" s="8"/>
      <c r="IVZ248" s="9"/>
      <c r="IWA248" s="10"/>
      <c r="IWB248" s="11"/>
      <c r="IWC248" s="10"/>
      <c r="IWD248" s="6"/>
      <c r="IWE248" s="7"/>
      <c r="IWF248" s="8"/>
      <c r="IWG248" s="9"/>
      <c r="IWH248" s="10"/>
      <c r="IWI248" s="11"/>
      <c r="IWJ248" s="10"/>
      <c r="IWK248" s="6"/>
      <c r="IWL248" s="7"/>
      <c r="IWM248" s="8"/>
      <c r="IWN248" s="9"/>
      <c r="IWO248" s="10"/>
      <c r="IWP248" s="11"/>
      <c r="IWQ248" s="10"/>
      <c r="IWR248" s="6"/>
      <c r="IWS248" s="7"/>
      <c r="IWT248" s="8"/>
      <c r="IWU248" s="9"/>
      <c r="IWV248" s="10"/>
      <c r="IWW248" s="11"/>
      <c r="IWX248" s="10"/>
      <c r="IWY248" s="6"/>
      <c r="IWZ248" s="7"/>
      <c r="IXA248" s="8"/>
      <c r="IXB248" s="9"/>
      <c r="IXC248" s="10"/>
      <c r="IXD248" s="11"/>
      <c r="IXE248" s="10"/>
      <c r="IXF248" s="6"/>
      <c r="IXG248" s="7"/>
      <c r="IXH248" s="8"/>
      <c r="IXI248" s="9"/>
      <c r="IXJ248" s="10"/>
      <c r="IXK248" s="11"/>
      <c r="IXL248" s="10"/>
      <c r="IXM248" s="6"/>
      <c r="IXN248" s="7"/>
      <c r="IXO248" s="8"/>
      <c r="IXP248" s="9"/>
      <c r="IXQ248" s="10"/>
      <c r="IXR248" s="11"/>
      <c r="IXS248" s="10"/>
      <c r="IXT248" s="6"/>
      <c r="IXU248" s="7"/>
      <c r="IXV248" s="8"/>
      <c r="IXW248" s="9"/>
      <c r="IXX248" s="10"/>
      <c r="IXY248" s="11"/>
      <c r="IXZ248" s="10"/>
      <c r="IYA248" s="6"/>
      <c r="IYB248" s="7"/>
      <c r="IYC248" s="8"/>
      <c r="IYD248" s="9"/>
      <c r="IYE248" s="10"/>
      <c r="IYF248" s="11"/>
      <c r="IYG248" s="10"/>
      <c r="IYH248" s="6"/>
      <c r="IYI248" s="7"/>
      <c r="IYJ248" s="8"/>
      <c r="IYK248" s="9"/>
      <c r="IYL248" s="10"/>
      <c r="IYM248" s="11"/>
      <c r="IYN248" s="10"/>
      <c r="IYO248" s="6"/>
      <c r="IYP248" s="7"/>
      <c r="IYQ248" s="8"/>
      <c r="IYR248" s="9"/>
      <c r="IYS248" s="10"/>
      <c r="IYT248" s="11"/>
      <c r="IYU248" s="10"/>
      <c r="IYV248" s="6"/>
      <c r="IYW248" s="7"/>
      <c r="IYX248" s="8"/>
      <c r="IYY248" s="9"/>
      <c r="IYZ248" s="10"/>
      <c r="IZA248" s="11"/>
      <c r="IZB248" s="10"/>
      <c r="IZC248" s="6"/>
      <c r="IZD248" s="7"/>
      <c r="IZE248" s="8"/>
      <c r="IZF248" s="9"/>
      <c r="IZG248" s="10"/>
      <c r="IZH248" s="11"/>
      <c r="IZI248" s="10"/>
      <c r="IZJ248" s="6"/>
      <c r="IZK248" s="7"/>
      <c r="IZL248" s="8"/>
      <c r="IZM248" s="9"/>
      <c r="IZN248" s="10"/>
      <c r="IZO248" s="11"/>
      <c r="IZP248" s="10"/>
      <c r="IZQ248" s="6"/>
      <c r="IZR248" s="7"/>
      <c r="IZS248" s="8"/>
      <c r="IZT248" s="9"/>
      <c r="IZU248" s="10"/>
      <c r="IZV248" s="11"/>
      <c r="IZW248" s="10"/>
      <c r="IZX248" s="6"/>
      <c r="IZY248" s="7"/>
      <c r="IZZ248" s="8"/>
      <c r="JAA248" s="9"/>
      <c r="JAB248" s="10"/>
      <c r="JAC248" s="11"/>
      <c r="JAD248" s="10"/>
      <c r="JAE248" s="6"/>
      <c r="JAF248" s="7"/>
      <c r="JAG248" s="8"/>
      <c r="JAH248" s="9"/>
      <c r="JAI248" s="10"/>
      <c r="JAJ248" s="11"/>
      <c r="JAK248" s="10"/>
      <c r="JAL248" s="6"/>
      <c r="JAM248" s="7"/>
      <c r="JAN248" s="8"/>
      <c r="JAO248" s="9"/>
      <c r="JAP248" s="10"/>
      <c r="JAQ248" s="11"/>
      <c r="JAR248" s="10"/>
      <c r="JAS248" s="6"/>
      <c r="JAT248" s="7"/>
      <c r="JAU248" s="8"/>
      <c r="JAV248" s="9"/>
      <c r="JAW248" s="10"/>
      <c r="JAX248" s="11"/>
      <c r="JAY248" s="10"/>
      <c r="JAZ248" s="6"/>
      <c r="JBA248" s="7"/>
      <c r="JBB248" s="8"/>
      <c r="JBC248" s="9"/>
      <c r="JBD248" s="10"/>
      <c r="JBE248" s="11"/>
      <c r="JBF248" s="10"/>
      <c r="JBG248" s="6"/>
      <c r="JBH248" s="7"/>
      <c r="JBI248" s="8"/>
      <c r="JBJ248" s="9"/>
      <c r="JBK248" s="10"/>
      <c r="JBL248" s="11"/>
      <c r="JBM248" s="10"/>
      <c r="JBN248" s="6"/>
      <c r="JBO248" s="7"/>
      <c r="JBP248" s="8"/>
      <c r="JBQ248" s="9"/>
      <c r="JBR248" s="10"/>
      <c r="JBS248" s="11"/>
      <c r="JBT248" s="10"/>
      <c r="JBU248" s="6"/>
      <c r="JBV248" s="7"/>
      <c r="JBW248" s="8"/>
      <c r="JBX248" s="9"/>
      <c r="JBY248" s="10"/>
      <c r="JBZ248" s="11"/>
      <c r="JCA248" s="10"/>
      <c r="JCB248" s="6"/>
      <c r="JCC248" s="7"/>
      <c r="JCD248" s="8"/>
      <c r="JCE248" s="9"/>
      <c r="JCF248" s="10"/>
      <c r="JCG248" s="11"/>
      <c r="JCH248" s="10"/>
      <c r="JCI248" s="6"/>
      <c r="JCJ248" s="7"/>
      <c r="JCK248" s="8"/>
      <c r="JCL248" s="9"/>
      <c r="JCM248" s="10"/>
      <c r="JCN248" s="11"/>
      <c r="JCO248" s="10"/>
      <c r="JCP248" s="6"/>
      <c r="JCQ248" s="7"/>
      <c r="JCR248" s="8"/>
      <c r="JCS248" s="9"/>
      <c r="JCT248" s="10"/>
      <c r="JCU248" s="11"/>
      <c r="JCV248" s="10"/>
      <c r="JCW248" s="6"/>
      <c r="JCX248" s="7"/>
      <c r="JCY248" s="8"/>
      <c r="JCZ248" s="9"/>
      <c r="JDA248" s="10"/>
      <c r="JDB248" s="11"/>
      <c r="JDC248" s="10"/>
      <c r="JDD248" s="6"/>
      <c r="JDE248" s="7"/>
      <c r="JDF248" s="8"/>
      <c r="JDG248" s="9"/>
      <c r="JDH248" s="10"/>
      <c r="JDI248" s="11"/>
      <c r="JDJ248" s="10"/>
      <c r="JDK248" s="6"/>
      <c r="JDL248" s="7"/>
      <c r="JDM248" s="8"/>
      <c r="JDN248" s="9"/>
      <c r="JDO248" s="10"/>
      <c r="JDP248" s="11"/>
      <c r="JDQ248" s="10"/>
      <c r="JDR248" s="6"/>
      <c r="JDS248" s="7"/>
      <c r="JDT248" s="8"/>
      <c r="JDU248" s="9"/>
      <c r="JDV248" s="10"/>
      <c r="JDW248" s="11"/>
      <c r="JDX248" s="10"/>
      <c r="JDY248" s="6"/>
      <c r="JDZ248" s="7"/>
      <c r="JEA248" s="8"/>
      <c r="JEB248" s="9"/>
      <c r="JEC248" s="10"/>
      <c r="JED248" s="11"/>
      <c r="JEE248" s="10"/>
      <c r="JEF248" s="6"/>
      <c r="JEG248" s="7"/>
      <c r="JEH248" s="8"/>
      <c r="JEI248" s="9"/>
      <c r="JEJ248" s="10"/>
      <c r="JEK248" s="11"/>
      <c r="JEL248" s="10"/>
      <c r="JEM248" s="6"/>
      <c r="JEN248" s="7"/>
      <c r="JEO248" s="8"/>
      <c r="JEP248" s="9"/>
      <c r="JEQ248" s="10"/>
      <c r="JER248" s="11"/>
      <c r="JES248" s="10"/>
      <c r="JET248" s="6"/>
      <c r="JEU248" s="7"/>
      <c r="JEV248" s="8"/>
      <c r="JEW248" s="9"/>
      <c r="JEX248" s="10"/>
      <c r="JEY248" s="11"/>
      <c r="JEZ248" s="10"/>
      <c r="JFA248" s="6"/>
      <c r="JFB248" s="7"/>
      <c r="JFC248" s="8"/>
      <c r="JFD248" s="9"/>
      <c r="JFE248" s="10"/>
      <c r="JFF248" s="11"/>
      <c r="JFG248" s="10"/>
      <c r="JFH248" s="6"/>
      <c r="JFI248" s="7"/>
      <c r="JFJ248" s="8"/>
      <c r="JFK248" s="9"/>
      <c r="JFL248" s="10"/>
      <c r="JFM248" s="11"/>
      <c r="JFN248" s="10"/>
      <c r="JFO248" s="6"/>
      <c r="JFP248" s="7"/>
      <c r="JFQ248" s="8"/>
      <c r="JFR248" s="9"/>
      <c r="JFS248" s="10"/>
      <c r="JFT248" s="11"/>
      <c r="JFU248" s="10"/>
      <c r="JFV248" s="6"/>
      <c r="JFW248" s="7"/>
      <c r="JFX248" s="8"/>
      <c r="JFY248" s="9"/>
      <c r="JFZ248" s="10"/>
      <c r="JGA248" s="11"/>
      <c r="JGB248" s="10"/>
      <c r="JGC248" s="6"/>
      <c r="JGD248" s="7"/>
      <c r="JGE248" s="8"/>
      <c r="JGF248" s="9"/>
      <c r="JGG248" s="10"/>
      <c r="JGH248" s="11"/>
      <c r="JGI248" s="10"/>
      <c r="JGJ248" s="6"/>
      <c r="JGK248" s="7"/>
      <c r="JGL248" s="8"/>
      <c r="JGM248" s="9"/>
      <c r="JGN248" s="10"/>
      <c r="JGO248" s="11"/>
      <c r="JGP248" s="10"/>
      <c r="JGQ248" s="6"/>
      <c r="JGR248" s="7"/>
      <c r="JGS248" s="8"/>
      <c r="JGT248" s="9"/>
      <c r="JGU248" s="10"/>
      <c r="JGV248" s="11"/>
      <c r="JGW248" s="10"/>
      <c r="JGX248" s="6"/>
      <c r="JGY248" s="7"/>
      <c r="JGZ248" s="8"/>
      <c r="JHA248" s="9"/>
      <c r="JHB248" s="10"/>
      <c r="JHC248" s="11"/>
      <c r="JHD248" s="10"/>
      <c r="JHE248" s="6"/>
      <c r="JHF248" s="7"/>
      <c r="JHG248" s="8"/>
      <c r="JHH248" s="9"/>
      <c r="JHI248" s="10"/>
      <c r="JHJ248" s="11"/>
      <c r="JHK248" s="10"/>
      <c r="JHL248" s="6"/>
      <c r="JHM248" s="7"/>
      <c r="JHN248" s="8"/>
      <c r="JHO248" s="9"/>
      <c r="JHP248" s="10"/>
      <c r="JHQ248" s="11"/>
      <c r="JHR248" s="10"/>
      <c r="JHS248" s="6"/>
      <c r="JHT248" s="7"/>
      <c r="JHU248" s="8"/>
      <c r="JHV248" s="9"/>
      <c r="JHW248" s="10"/>
      <c r="JHX248" s="11"/>
      <c r="JHY248" s="10"/>
      <c r="JHZ248" s="6"/>
      <c r="JIA248" s="7"/>
      <c r="JIB248" s="8"/>
      <c r="JIC248" s="9"/>
      <c r="JID248" s="10"/>
      <c r="JIE248" s="11"/>
      <c r="JIF248" s="10"/>
      <c r="JIG248" s="6"/>
      <c r="JIH248" s="7"/>
      <c r="JII248" s="8"/>
      <c r="JIJ248" s="9"/>
      <c r="JIK248" s="10"/>
      <c r="JIL248" s="11"/>
      <c r="JIM248" s="10"/>
      <c r="JIN248" s="6"/>
      <c r="JIO248" s="7"/>
      <c r="JIP248" s="8"/>
      <c r="JIQ248" s="9"/>
      <c r="JIR248" s="10"/>
      <c r="JIS248" s="11"/>
      <c r="JIT248" s="10"/>
      <c r="JIU248" s="6"/>
      <c r="JIV248" s="7"/>
      <c r="JIW248" s="8"/>
      <c r="JIX248" s="9"/>
      <c r="JIY248" s="10"/>
      <c r="JIZ248" s="11"/>
      <c r="JJA248" s="10"/>
      <c r="JJB248" s="6"/>
      <c r="JJC248" s="7"/>
      <c r="JJD248" s="8"/>
      <c r="JJE248" s="9"/>
      <c r="JJF248" s="10"/>
      <c r="JJG248" s="11"/>
      <c r="JJH248" s="10"/>
      <c r="JJI248" s="6"/>
      <c r="JJJ248" s="7"/>
      <c r="JJK248" s="8"/>
      <c r="JJL248" s="9"/>
      <c r="JJM248" s="10"/>
      <c r="JJN248" s="11"/>
      <c r="JJO248" s="10"/>
      <c r="JJP248" s="6"/>
      <c r="JJQ248" s="7"/>
      <c r="JJR248" s="8"/>
      <c r="JJS248" s="9"/>
      <c r="JJT248" s="10"/>
      <c r="JJU248" s="11"/>
      <c r="JJV248" s="10"/>
      <c r="JJW248" s="6"/>
      <c r="JJX248" s="7"/>
      <c r="JJY248" s="8"/>
      <c r="JJZ248" s="9"/>
      <c r="JKA248" s="10"/>
      <c r="JKB248" s="11"/>
      <c r="JKC248" s="10"/>
      <c r="JKD248" s="6"/>
      <c r="JKE248" s="7"/>
      <c r="JKF248" s="8"/>
      <c r="JKG248" s="9"/>
      <c r="JKH248" s="10"/>
      <c r="JKI248" s="11"/>
      <c r="JKJ248" s="10"/>
      <c r="JKK248" s="6"/>
      <c r="JKL248" s="7"/>
      <c r="JKM248" s="8"/>
      <c r="JKN248" s="9"/>
      <c r="JKO248" s="10"/>
      <c r="JKP248" s="11"/>
      <c r="JKQ248" s="10"/>
      <c r="JKR248" s="6"/>
      <c r="JKS248" s="7"/>
      <c r="JKT248" s="8"/>
      <c r="JKU248" s="9"/>
      <c r="JKV248" s="10"/>
      <c r="JKW248" s="11"/>
      <c r="JKX248" s="10"/>
      <c r="JKY248" s="6"/>
      <c r="JKZ248" s="7"/>
      <c r="JLA248" s="8"/>
      <c r="JLB248" s="9"/>
      <c r="JLC248" s="10"/>
      <c r="JLD248" s="11"/>
      <c r="JLE248" s="10"/>
      <c r="JLF248" s="6"/>
      <c r="JLG248" s="7"/>
      <c r="JLH248" s="8"/>
      <c r="JLI248" s="9"/>
      <c r="JLJ248" s="10"/>
      <c r="JLK248" s="11"/>
      <c r="JLL248" s="10"/>
      <c r="JLM248" s="6"/>
      <c r="JLN248" s="7"/>
      <c r="JLO248" s="8"/>
      <c r="JLP248" s="9"/>
      <c r="JLQ248" s="10"/>
      <c r="JLR248" s="11"/>
      <c r="JLS248" s="10"/>
      <c r="JLT248" s="6"/>
      <c r="JLU248" s="7"/>
      <c r="JLV248" s="8"/>
      <c r="JLW248" s="9"/>
      <c r="JLX248" s="10"/>
      <c r="JLY248" s="11"/>
      <c r="JLZ248" s="10"/>
      <c r="JMA248" s="6"/>
      <c r="JMB248" s="7"/>
      <c r="JMC248" s="8"/>
      <c r="JMD248" s="9"/>
      <c r="JME248" s="10"/>
      <c r="JMF248" s="11"/>
      <c r="JMG248" s="10"/>
      <c r="JMH248" s="6"/>
      <c r="JMI248" s="7"/>
      <c r="JMJ248" s="8"/>
      <c r="JMK248" s="9"/>
      <c r="JML248" s="10"/>
      <c r="JMM248" s="11"/>
      <c r="JMN248" s="10"/>
      <c r="JMO248" s="6"/>
      <c r="JMP248" s="7"/>
      <c r="JMQ248" s="8"/>
      <c r="JMR248" s="9"/>
      <c r="JMS248" s="10"/>
      <c r="JMT248" s="11"/>
      <c r="JMU248" s="10"/>
      <c r="JMV248" s="6"/>
      <c r="JMW248" s="7"/>
      <c r="JMX248" s="8"/>
      <c r="JMY248" s="9"/>
      <c r="JMZ248" s="10"/>
      <c r="JNA248" s="11"/>
      <c r="JNB248" s="10"/>
      <c r="JNC248" s="6"/>
      <c r="JND248" s="7"/>
      <c r="JNE248" s="8"/>
      <c r="JNF248" s="9"/>
      <c r="JNG248" s="10"/>
      <c r="JNH248" s="11"/>
      <c r="JNI248" s="10"/>
      <c r="JNJ248" s="6"/>
      <c r="JNK248" s="7"/>
      <c r="JNL248" s="8"/>
      <c r="JNM248" s="9"/>
      <c r="JNN248" s="10"/>
      <c r="JNO248" s="11"/>
      <c r="JNP248" s="10"/>
      <c r="JNQ248" s="6"/>
      <c r="JNR248" s="7"/>
      <c r="JNS248" s="8"/>
      <c r="JNT248" s="9"/>
      <c r="JNU248" s="10"/>
      <c r="JNV248" s="11"/>
      <c r="JNW248" s="10"/>
      <c r="JNX248" s="6"/>
      <c r="JNY248" s="7"/>
      <c r="JNZ248" s="8"/>
      <c r="JOA248" s="9"/>
      <c r="JOB248" s="10"/>
      <c r="JOC248" s="11"/>
      <c r="JOD248" s="10"/>
      <c r="JOE248" s="6"/>
      <c r="JOF248" s="7"/>
      <c r="JOG248" s="8"/>
      <c r="JOH248" s="9"/>
      <c r="JOI248" s="10"/>
      <c r="JOJ248" s="11"/>
      <c r="JOK248" s="10"/>
      <c r="JOL248" s="6"/>
      <c r="JOM248" s="7"/>
      <c r="JON248" s="8"/>
      <c r="JOO248" s="9"/>
      <c r="JOP248" s="10"/>
      <c r="JOQ248" s="11"/>
      <c r="JOR248" s="10"/>
      <c r="JOS248" s="6"/>
      <c r="JOT248" s="7"/>
      <c r="JOU248" s="8"/>
      <c r="JOV248" s="9"/>
      <c r="JOW248" s="10"/>
      <c r="JOX248" s="11"/>
      <c r="JOY248" s="10"/>
      <c r="JOZ248" s="6"/>
      <c r="JPA248" s="7"/>
      <c r="JPB248" s="8"/>
      <c r="JPC248" s="9"/>
      <c r="JPD248" s="10"/>
      <c r="JPE248" s="11"/>
      <c r="JPF248" s="10"/>
      <c r="JPG248" s="6"/>
      <c r="JPH248" s="7"/>
      <c r="JPI248" s="8"/>
      <c r="JPJ248" s="9"/>
      <c r="JPK248" s="10"/>
      <c r="JPL248" s="11"/>
      <c r="JPM248" s="10"/>
      <c r="JPN248" s="6"/>
      <c r="JPO248" s="7"/>
      <c r="JPP248" s="8"/>
      <c r="JPQ248" s="9"/>
      <c r="JPR248" s="10"/>
      <c r="JPS248" s="11"/>
      <c r="JPT248" s="10"/>
      <c r="JPU248" s="6"/>
      <c r="JPV248" s="7"/>
      <c r="JPW248" s="8"/>
      <c r="JPX248" s="9"/>
      <c r="JPY248" s="10"/>
      <c r="JPZ248" s="11"/>
      <c r="JQA248" s="10"/>
      <c r="JQB248" s="6"/>
      <c r="JQC248" s="7"/>
      <c r="JQD248" s="8"/>
      <c r="JQE248" s="9"/>
      <c r="JQF248" s="10"/>
      <c r="JQG248" s="11"/>
      <c r="JQH248" s="10"/>
      <c r="JQI248" s="6"/>
      <c r="JQJ248" s="7"/>
      <c r="JQK248" s="8"/>
      <c r="JQL248" s="9"/>
      <c r="JQM248" s="10"/>
      <c r="JQN248" s="11"/>
      <c r="JQO248" s="10"/>
      <c r="JQP248" s="6"/>
      <c r="JQQ248" s="7"/>
      <c r="JQR248" s="8"/>
      <c r="JQS248" s="9"/>
      <c r="JQT248" s="10"/>
      <c r="JQU248" s="11"/>
      <c r="JQV248" s="10"/>
      <c r="JQW248" s="6"/>
      <c r="JQX248" s="7"/>
      <c r="JQY248" s="8"/>
      <c r="JQZ248" s="9"/>
      <c r="JRA248" s="10"/>
      <c r="JRB248" s="11"/>
      <c r="JRC248" s="10"/>
      <c r="JRD248" s="6"/>
      <c r="JRE248" s="7"/>
      <c r="JRF248" s="8"/>
      <c r="JRG248" s="9"/>
      <c r="JRH248" s="10"/>
      <c r="JRI248" s="11"/>
      <c r="JRJ248" s="10"/>
      <c r="JRK248" s="6"/>
      <c r="JRL248" s="7"/>
      <c r="JRM248" s="8"/>
      <c r="JRN248" s="9"/>
      <c r="JRO248" s="10"/>
      <c r="JRP248" s="11"/>
      <c r="JRQ248" s="10"/>
      <c r="JRR248" s="6"/>
      <c r="JRS248" s="7"/>
      <c r="JRT248" s="8"/>
      <c r="JRU248" s="9"/>
      <c r="JRV248" s="10"/>
      <c r="JRW248" s="11"/>
      <c r="JRX248" s="10"/>
      <c r="JRY248" s="6"/>
      <c r="JRZ248" s="7"/>
      <c r="JSA248" s="8"/>
      <c r="JSB248" s="9"/>
      <c r="JSC248" s="10"/>
      <c r="JSD248" s="11"/>
      <c r="JSE248" s="10"/>
      <c r="JSF248" s="6"/>
      <c r="JSG248" s="7"/>
      <c r="JSH248" s="8"/>
      <c r="JSI248" s="9"/>
      <c r="JSJ248" s="10"/>
      <c r="JSK248" s="11"/>
      <c r="JSL248" s="10"/>
      <c r="JSM248" s="6"/>
      <c r="JSN248" s="7"/>
      <c r="JSO248" s="8"/>
      <c r="JSP248" s="9"/>
      <c r="JSQ248" s="10"/>
      <c r="JSR248" s="11"/>
      <c r="JSS248" s="10"/>
      <c r="JST248" s="6"/>
      <c r="JSU248" s="7"/>
      <c r="JSV248" s="8"/>
      <c r="JSW248" s="9"/>
      <c r="JSX248" s="10"/>
      <c r="JSY248" s="11"/>
      <c r="JSZ248" s="10"/>
      <c r="JTA248" s="6"/>
      <c r="JTB248" s="7"/>
      <c r="JTC248" s="8"/>
      <c r="JTD248" s="9"/>
      <c r="JTE248" s="10"/>
      <c r="JTF248" s="11"/>
      <c r="JTG248" s="10"/>
      <c r="JTH248" s="6"/>
      <c r="JTI248" s="7"/>
      <c r="JTJ248" s="8"/>
      <c r="JTK248" s="9"/>
      <c r="JTL248" s="10"/>
      <c r="JTM248" s="11"/>
      <c r="JTN248" s="10"/>
      <c r="JTO248" s="6"/>
      <c r="JTP248" s="7"/>
      <c r="JTQ248" s="8"/>
      <c r="JTR248" s="9"/>
      <c r="JTS248" s="10"/>
      <c r="JTT248" s="11"/>
      <c r="JTU248" s="10"/>
      <c r="JTV248" s="6"/>
      <c r="JTW248" s="7"/>
      <c r="JTX248" s="8"/>
      <c r="JTY248" s="9"/>
      <c r="JTZ248" s="10"/>
      <c r="JUA248" s="11"/>
      <c r="JUB248" s="10"/>
      <c r="JUC248" s="6"/>
      <c r="JUD248" s="7"/>
      <c r="JUE248" s="8"/>
      <c r="JUF248" s="9"/>
      <c r="JUG248" s="10"/>
      <c r="JUH248" s="11"/>
      <c r="JUI248" s="10"/>
      <c r="JUJ248" s="6"/>
      <c r="JUK248" s="7"/>
      <c r="JUL248" s="8"/>
      <c r="JUM248" s="9"/>
      <c r="JUN248" s="10"/>
      <c r="JUO248" s="11"/>
      <c r="JUP248" s="10"/>
      <c r="JUQ248" s="6"/>
      <c r="JUR248" s="7"/>
      <c r="JUS248" s="8"/>
      <c r="JUT248" s="9"/>
      <c r="JUU248" s="10"/>
      <c r="JUV248" s="11"/>
      <c r="JUW248" s="10"/>
      <c r="JUX248" s="6"/>
      <c r="JUY248" s="7"/>
      <c r="JUZ248" s="8"/>
      <c r="JVA248" s="9"/>
      <c r="JVB248" s="10"/>
      <c r="JVC248" s="11"/>
      <c r="JVD248" s="10"/>
      <c r="JVE248" s="6"/>
      <c r="JVF248" s="7"/>
      <c r="JVG248" s="8"/>
      <c r="JVH248" s="9"/>
      <c r="JVI248" s="10"/>
      <c r="JVJ248" s="11"/>
      <c r="JVK248" s="10"/>
      <c r="JVL248" s="6"/>
      <c r="JVM248" s="7"/>
      <c r="JVN248" s="8"/>
      <c r="JVO248" s="9"/>
      <c r="JVP248" s="10"/>
      <c r="JVQ248" s="11"/>
      <c r="JVR248" s="10"/>
      <c r="JVS248" s="6"/>
      <c r="JVT248" s="7"/>
      <c r="JVU248" s="8"/>
      <c r="JVV248" s="9"/>
      <c r="JVW248" s="10"/>
      <c r="JVX248" s="11"/>
      <c r="JVY248" s="10"/>
      <c r="JVZ248" s="6"/>
      <c r="JWA248" s="7"/>
      <c r="JWB248" s="8"/>
      <c r="JWC248" s="9"/>
      <c r="JWD248" s="10"/>
      <c r="JWE248" s="11"/>
      <c r="JWF248" s="10"/>
      <c r="JWG248" s="6"/>
      <c r="JWH248" s="7"/>
      <c r="JWI248" s="8"/>
      <c r="JWJ248" s="9"/>
      <c r="JWK248" s="10"/>
      <c r="JWL248" s="11"/>
      <c r="JWM248" s="10"/>
      <c r="JWN248" s="6"/>
      <c r="JWO248" s="7"/>
      <c r="JWP248" s="8"/>
      <c r="JWQ248" s="9"/>
      <c r="JWR248" s="10"/>
      <c r="JWS248" s="11"/>
      <c r="JWT248" s="10"/>
      <c r="JWU248" s="6"/>
      <c r="JWV248" s="7"/>
      <c r="JWW248" s="8"/>
      <c r="JWX248" s="9"/>
      <c r="JWY248" s="10"/>
      <c r="JWZ248" s="11"/>
      <c r="JXA248" s="10"/>
      <c r="JXB248" s="6"/>
      <c r="JXC248" s="7"/>
      <c r="JXD248" s="8"/>
      <c r="JXE248" s="9"/>
      <c r="JXF248" s="10"/>
      <c r="JXG248" s="11"/>
      <c r="JXH248" s="10"/>
      <c r="JXI248" s="6"/>
      <c r="JXJ248" s="7"/>
      <c r="JXK248" s="8"/>
      <c r="JXL248" s="9"/>
      <c r="JXM248" s="10"/>
      <c r="JXN248" s="11"/>
      <c r="JXO248" s="10"/>
      <c r="JXP248" s="6"/>
      <c r="JXQ248" s="7"/>
      <c r="JXR248" s="8"/>
      <c r="JXS248" s="9"/>
      <c r="JXT248" s="10"/>
      <c r="JXU248" s="11"/>
      <c r="JXV248" s="10"/>
      <c r="JXW248" s="6"/>
      <c r="JXX248" s="7"/>
      <c r="JXY248" s="8"/>
      <c r="JXZ248" s="9"/>
      <c r="JYA248" s="10"/>
      <c r="JYB248" s="11"/>
      <c r="JYC248" s="10"/>
      <c r="JYD248" s="6"/>
      <c r="JYE248" s="7"/>
      <c r="JYF248" s="8"/>
      <c r="JYG248" s="9"/>
      <c r="JYH248" s="10"/>
      <c r="JYI248" s="11"/>
      <c r="JYJ248" s="10"/>
      <c r="JYK248" s="6"/>
      <c r="JYL248" s="7"/>
      <c r="JYM248" s="8"/>
      <c r="JYN248" s="9"/>
      <c r="JYO248" s="10"/>
      <c r="JYP248" s="11"/>
      <c r="JYQ248" s="10"/>
      <c r="JYR248" s="6"/>
      <c r="JYS248" s="7"/>
      <c r="JYT248" s="8"/>
      <c r="JYU248" s="9"/>
      <c r="JYV248" s="10"/>
      <c r="JYW248" s="11"/>
      <c r="JYX248" s="10"/>
      <c r="JYY248" s="6"/>
      <c r="JYZ248" s="7"/>
      <c r="JZA248" s="8"/>
      <c r="JZB248" s="9"/>
      <c r="JZC248" s="10"/>
      <c r="JZD248" s="11"/>
      <c r="JZE248" s="10"/>
      <c r="JZF248" s="6"/>
      <c r="JZG248" s="7"/>
      <c r="JZH248" s="8"/>
      <c r="JZI248" s="9"/>
      <c r="JZJ248" s="10"/>
      <c r="JZK248" s="11"/>
      <c r="JZL248" s="10"/>
      <c r="JZM248" s="6"/>
      <c r="JZN248" s="7"/>
      <c r="JZO248" s="8"/>
      <c r="JZP248" s="9"/>
      <c r="JZQ248" s="10"/>
      <c r="JZR248" s="11"/>
      <c r="JZS248" s="10"/>
      <c r="JZT248" s="6"/>
      <c r="JZU248" s="7"/>
      <c r="JZV248" s="8"/>
      <c r="JZW248" s="9"/>
      <c r="JZX248" s="10"/>
      <c r="JZY248" s="11"/>
      <c r="JZZ248" s="10"/>
      <c r="KAA248" s="6"/>
      <c r="KAB248" s="7"/>
      <c r="KAC248" s="8"/>
      <c r="KAD248" s="9"/>
      <c r="KAE248" s="10"/>
      <c r="KAF248" s="11"/>
      <c r="KAG248" s="10"/>
      <c r="KAH248" s="6"/>
      <c r="KAI248" s="7"/>
      <c r="KAJ248" s="8"/>
      <c r="KAK248" s="9"/>
      <c r="KAL248" s="10"/>
      <c r="KAM248" s="11"/>
      <c r="KAN248" s="10"/>
      <c r="KAO248" s="6"/>
      <c r="KAP248" s="7"/>
      <c r="KAQ248" s="8"/>
      <c r="KAR248" s="9"/>
      <c r="KAS248" s="10"/>
      <c r="KAT248" s="11"/>
      <c r="KAU248" s="10"/>
      <c r="KAV248" s="6"/>
      <c r="KAW248" s="7"/>
      <c r="KAX248" s="8"/>
      <c r="KAY248" s="9"/>
      <c r="KAZ248" s="10"/>
      <c r="KBA248" s="11"/>
      <c r="KBB248" s="10"/>
      <c r="KBC248" s="6"/>
      <c r="KBD248" s="7"/>
      <c r="KBE248" s="8"/>
      <c r="KBF248" s="9"/>
      <c r="KBG248" s="10"/>
      <c r="KBH248" s="11"/>
      <c r="KBI248" s="10"/>
      <c r="KBJ248" s="6"/>
      <c r="KBK248" s="7"/>
      <c r="KBL248" s="8"/>
      <c r="KBM248" s="9"/>
      <c r="KBN248" s="10"/>
      <c r="KBO248" s="11"/>
      <c r="KBP248" s="10"/>
      <c r="KBQ248" s="6"/>
      <c r="KBR248" s="7"/>
      <c r="KBS248" s="8"/>
      <c r="KBT248" s="9"/>
      <c r="KBU248" s="10"/>
      <c r="KBV248" s="11"/>
      <c r="KBW248" s="10"/>
      <c r="KBX248" s="6"/>
      <c r="KBY248" s="7"/>
      <c r="KBZ248" s="8"/>
      <c r="KCA248" s="9"/>
      <c r="KCB248" s="10"/>
      <c r="KCC248" s="11"/>
      <c r="KCD248" s="10"/>
      <c r="KCE248" s="6"/>
      <c r="KCF248" s="7"/>
      <c r="KCG248" s="8"/>
      <c r="KCH248" s="9"/>
      <c r="KCI248" s="10"/>
      <c r="KCJ248" s="11"/>
      <c r="KCK248" s="10"/>
      <c r="KCL248" s="6"/>
      <c r="KCM248" s="7"/>
      <c r="KCN248" s="8"/>
      <c r="KCO248" s="9"/>
      <c r="KCP248" s="10"/>
      <c r="KCQ248" s="11"/>
      <c r="KCR248" s="10"/>
      <c r="KCS248" s="6"/>
      <c r="KCT248" s="7"/>
      <c r="KCU248" s="8"/>
      <c r="KCV248" s="9"/>
      <c r="KCW248" s="10"/>
      <c r="KCX248" s="11"/>
      <c r="KCY248" s="10"/>
      <c r="KCZ248" s="6"/>
      <c r="KDA248" s="7"/>
      <c r="KDB248" s="8"/>
      <c r="KDC248" s="9"/>
      <c r="KDD248" s="10"/>
      <c r="KDE248" s="11"/>
      <c r="KDF248" s="10"/>
      <c r="KDG248" s="6"/>
      <c r="KDH248" s="7"/>
      <c r="KDI248" s="8"/>
      <c r="KDJ248" s="9"/>
      <c r="KDK248" s="10"/>
      <c r="KDL248" s="11"/>
      <c r="KDM248" s="10"/>
      <c r="KDN248" s="6"/>
      <c r="KDO248" s="7"/>
      <c r="KDP248" s="8"/>
      <c r="KDQ248" s="9"/>
      <c r="KDR248" s="10"/>
      <c r="KDS248" s="11"/>
      <c r="KDT248" s="10"/>
      <c r="KDU248" s="6"/>
      <c r="KDV248" s="7"/>
      <c r="KDW248" s="8"/>
      <c r="KDX248" s="9"/>
      <c r="KDY248" s="10"/>
      <c r="KDZ248" s="11"/>
      <c r="KEA248" s="10"/>
      <c r="KEB248" s="6"/>
      <c r="KEC248" s="7"/>
      <c r="KED248" s="8"/>
      <c r="KEE248" s="9"/>
      <c r="KEF248" s="10"/>
      <c r="KEG248" s="11"/>
      <c r="KEH248" s="10"/>
      <c r="KEI248" s="6"/>
      <c r="KEJ248" s="7"/>
      <c r="KEK248" s="8"/>
      <c r="KEL248" s="9"/>
      <c r="KEM248" s="10"/>
      <c r="KEN248" s="11"/>
      <c r="KEO248" s="10"/>
      <c r="KEP248" s="6"/>
      <c r="KEQ248" s="7"/>
      <c r="KER248" s="8"/>
      <c r="KES248" s="9"/>
      <c r="KET248" s="10"/>
      <c r="KEU248" s="11"/>
      <c r="KEV248" s="10"/>
      <c r="KEW248" s="6"/>
      <c r="KEX248" s="7"/>
      <c r="KEY248" s="8"/>
      <c r="KEZ248" s="9"/>
      <c r="KFA248" s="10"/>
      <c r="KFB248" s="11"/>
      <c r="KFC248" s="10"/>
      <c r="KFD248" s="6"/>
      <c r="KFE248" s="7"/>
      <c r="KFF248" s="8"/>
      <c r="KFG248" s="9"/>
      <c r="KFH248" s="10"/>
      <c r="KFI248" s="11"/>
      <c r="KFJ248" s="10"/>
      <c r="KFK248" s="6"/>
      <c r="KFL248" s="7"/>
      <c r="KFM248" s="8"/>
      <c r="KFN248" s="9"/>
      <c r="KFO248" s="10"/>
      <c r="KFP248" s="11"/>
      <c r="KFQ248" s="10"/>
      <c r="KFR248" s="6"/>
      <c r="KFS248" s="7"/>
      <c r="KFT248" s="8"/>
      <c r="KFU248" s="9"/>
      <c r="KFV248" s="10"/>
      <c r="KFW248" s="11"/>
      <c r="KFX248" s="10"/>
      <c r="KFY248" s="6"/>
      <c r="KFZ248" s="7"/>
      <c r="KGA248" s="8"/>
      <c r="KGB248" s="9"/>
      <c r="KGC248" s="10"/>
      <c r="KGD248" s="11"/>
      <c r="KGE248" s="10"/>
      <c r="KGF248" s="6"/>
      <c r="KGG248" s="7"/>
      <c r="KGH248" s="8"/>
      <c r="KGI248" s="9"/>
      <c r="KGJ248" s="10"/>
      <c r="KGK248" s="11"/>
      <c r="KGL248" s="10"/>
      <c r="KGM248" s="6"/>
      <c r="KGN248" s="7"/>
      <c r="KGO248" s="8"/>
      <c r="KGP248" s="9"/>
      <c r="KGQ248" s="10"/>
      <c r="KGR248" s="11"/>
      <c r="KGS248" s="10"/>
      <c r="KGT248" s="6"/>
      <c r="KGU248" s="7"/>
      <c r="KGV248" s="8"/>
      <c r="KGW248" s="9"/>
      <c r="KGX248" s="10"/>
      <c r="KGY248" s="11"/>
      <c r="KGZ248" s="10"/>
      <c r="KHA248" s="6"/>
      <c r="KHB248" s="7"/>
      <c r="KHC248" s="8"/>
      <c r="KHD248" s="9"/>
      <c r="KHE248" s="10"/>
      <c r="KHF248" s="11"/>
      <c r="KHG248" s="10"/>
      <c r="KHH248" s="6"/>
      <c r="KHI248" s="7"/>
      <c r="KHJ248" s="8"/>
      <c r="KHK248" s="9"/>
      <c r="KHL248" s="10"/>
      <c r="KHM248" s="11"/>
      <c r="KHN248" s="10"/>
      <c r="KHO248" s="6"/>
      <c r="KHP248" s="7"/>
      <c r="KHQ248" s="8"/>
      <c r="KHR248" s="9"/>
      <c r="KHS248" s="10"/>
      <c r="KHT248" s="11"/>
      <c r="KHU248" s="10"/>
      <c r="KHV248" s="6"/>
      <c r="KHW248" s="7"/>
      <c r="KHX248" s="8"/>
      <c r="KHY248" s="9"/>
      <c r="KHZ248" s="10"/>
      <c r="KIA248" s="11"/>
      <c r="KIB248" s="10"/>
      <c r="KIC248" s="6"/>
      <c r="KID248" s="7"/>
      <c r="KIE248" s="8"/>
      <c r="KIF248" s="9"/>
      <c r="KIG248" s="10"/>
      <c r="KIH248" s="11"/>
      <c r="KII248" s="10"/>
      <c r="KIJ248" s="6"/>
      <c r="KIK248" s="7"/>
      <c r="KIL248" s="8"/>
      <c r="KIM248" s="9"/>
      <c r="KIN248" s="10"/>
      <c r="KIO248" s="11"/>
      <c r="KIP248" s="10"/>
      <c r="KIQ248" s="6"/>
      <c r="KIR248" s="7"/>
      <c r="KIS248" s="8"/>
      <c r="KIT248" s="9"/>
      <c r="KIU248" s="10"/>
      <c r="KIV248" s="11"/>
      <c r="KIW248" s="10"/>
      <c r="KIX248" s="6"/>
      <c r="KIY248" s="7"/>
      <c r="KIZ248" s="8"/>
      <c r="KJA248" s="9"/>
      <c r="KJB248" s="10"/>
      <c r="KJC248" s="11"/>
      <c r="KJD248" s="10"/>
      <c r="KJE248" s="6"/>
      <c r="KJF248" s="7"/>
      <c r="KJG248" s="8"/>
      <c r="KJH248" s="9"/>
      <c r="KJI248" s="10"/>
      <c r="KJJ248" s="11"/>
      <c r="KJK248" s="10"/>
      <c r="KJL248" s="6"/>
      <c r="KJM248" s="7"/>
      <c r="KJN248" s="8"/>
      <c r="KJO248" s="9"/>
      <c r="KJP248" s="10"/>
      <c r="KJQ248" s="11"/>
      <c r="KJR248" s="10"/>
      <c r="KJS248" s="6"/>
      <c r="KJT248" s="7"/>
      <c r="KJU248" s="8"/>
      <c r="KJV248" s="9"/>
      <c r="KJW248" s="10"/>
      <c r="KJX248" s="11"/>
      <c r="KJY248" s="10"/>
      <c r="KJZ248" s="6"/>
      <c r="KKA248" s="7"/>
      <c r="KKB248" s="8"/>
      <c r="KKC248" s="9"/>
      <c r="KKD248" s="10"/>
      <c r="KKE248" s="11"/>
      <c r="KKF248" s="10"/>
      <c r="KKG248" s="6"/>
      <c r="KKH248" s="7"/>
      <c r="KKI248" s="8"/>
      <c r="KKJ248" s="9"/>
      <c r="KKK248" s="10"/>
      <c r="KKL248" s="11"/>
      <c r="KKM248" s="10"/>
      <c r="KKN248" s="6"/>
      <c r="KKO248" s="7"/>
      <c r="KKP248" s="8"/>
      <c r="KKQ248" s="9"/>
      <c r="KKR248" s="10"/>
      <c r="KKS248" s="11"/>
      <c r="KKT248" s="10"/>
      <c r="KKU248" s="6"/>
      <c r="KKV248" s="7"/>
      <c r="KKW248" s="8"/>
      <c r="KKX248" s="9"/>
      <c r="KKY248" s="10"/>
      <c r="KKZ248" s="11"/>
      <c r="KLA248" s="10"/>
      <c r="KLB248" s="6"/>
      <c r="KLC248" s="7"/>
      <c r="KLD248" s="8"/>
      <c r="KLE248" s="9"/>
      <c r="KLF248" s="10"/>
      <c r="KLG248" s="11"/>
      <c r="KLH248" s="10"/>
      <c r="KLI248" s="6"/>
      <c r="KLJ248" s="7"/>
      <c r="KLK248" s="8"/>
      <c r="KLL248" s="9"/>
      <c r="KLM248" s="10"/>
      <c r="KLN248" s="11"/>
      <c r="KLO248" s="10"/>
      <c r="KLP248" s="6"/>
      <c r="KLQ248" s="7"/>
      <c r="KLR248" s="8"/>
      <c r="KLS248" s="9"/>
      <c r="KLT248" s="10"/>
      <c r="KLU248" s="11"/>
      <c r="KLV248" s="10"/>
      <c r="KLW248" s="6"/>
      <c r="KLX248" s="7"/>
      <c r="KLY248" s="8"/>
      <c r="KLZ248" s="9"/>
      <c r="KMA248" s="10"/>
      <c r="KMB248" s="11"/>
      <c r="KMC248" s="10"/>
      <c r="KMD248" s="6"/>
      <c r="KME248" s="7"/>
      <c r="KMF248" s="8"/>
      <c r="KMG248" s="9"/>
      <c r="KMH248" s="10"/>
      <c r="KMI248" s="11"/>
      <c r="KMJ248" s="10"/>
      <c r="KMK248" s="6"/>
      <c r="KML248" s="7"/>
      <c r="KMM248" s="8"/>
      <c r="KMN248" s="9"/>
      <c r="KMO248" s="10"/>
      <c r="KMP248" s="11"/>
      <c r="KMQ248" s="10"/>
      <c r="KMR248" s="6"/>
      <c r="KMS248" s="7"/>
      <c r="KMT248" s="8"/>
      <c r="KMU248" s="9"/>
      <c r="KMV248" s="10"/>
      <c r="KMW248" s="11"/>
      <c r="KMX248" s="10"/>
      <c r="KMY248" s="6"/>
      <c r="KMZ248" s="7"/>
      <c r="KNA248" s="8"/>
      <c r="KNB248" s="9"/>
      <c r="KNC248" s="10"/>
      <c r="KND248" s="11"/>
      <c r="KNE248" s="10"/>
      <c r="KNF248" s="6"/>
      <c r="KNG248" s="7"/>
      <c r="KNH248" s="8"/>
      <c r="KNI248" s="9"/>
      <c r="KNJ248" s="10"/>
      <c r="KNK248" s="11"/>
      <c r="KNL248" s="10"/>
      <c r="KNM248" s="6"/>
      <c r="KNN248" s="7"/>
      <c r="KNO248" s="8"/>
      <c r="KNP248" s="9"/>
      <c r="KNQ248" s="10"/>
      <c r="KNR248" s="11"/>
      <c r="KNS248" s="10"/>
      <c r="KNT248" s="6"/>
      <c r="KNU248" s="7"/>
      <c r="KNV248" s="8"/>
      <c r="KNW248" s="9"/>
      <c r="KNX248" s="10"/>
      <c r="KNY248" s="11"/>
      <c r="KNZ248" s="10"/>
      <c r="KOA248" s="6"/>
      <c r="KOB248" s="7"/>
      <c r="KOC248" s="8"/>
      <c r="KOD248" s="9"/>
      <c r="KOE248" s="10"/>
      <c r="KOF248" s="11"/>
      <c r="KOG248" s="10"/>
      <c r="KOH248" s="6"/>
      <c r="KOI248" s="7"/>
      <c r="KOJ248" s="8"/>
      <c r="KOK248" s="9"/>
      <c r="KOL248" s="10"/>
      <c r="KOM248" s="11"/>
      <c r="KON248" s="10"/>
      <c r="KOO248" s="6"/>
      <c r="KOP248" s="7"/>
      <c r="KOQ248" s="8"/>
      <c r="KOR248" s="9"/>
      <c r="KOS248" s="10"/>
      <c r="KOT248" s="11"/>
      <c r="KOU248" s="10"/>
      <c r="KOV248" s="6"/>
      <c r="KOW248" s="7"/>
      <c r="KOX248" s="8"/>
      <c r="KOY248" s="9"/>
      <c r="KOZ248" s="10"/>
      <c r="KPA248" s="11"/>
      <c r="KPB248" s="10"/>
      <c r="KPC248" s="6"/>
      <c r="KPD248" s="7"/>
      <c r="KPE248" s="8"/>
      <c r="KPF248" s="9"/>
      <c r="KPG248" s="10"/>
      <c r="KPH248" s="11"/>
      <c r="KPI248" s="10"/>
      <c r="KPJ248" s="6"/>
      <c r="KPK248" s="7"/>
      <c r="KPL248" s="8"/>
      <c r="KPM248" s="9"/>
      <c r="KPN248" s="10"/>
      <c r="KPO248" s="11"/>
      <c r="KPP248" s="10"/>
      <c r="KPQ248" s="6"/>
      <c r="KPR248" s="7"/>
      <c r="KPS248" s="8"/>
      <c r="KPT248" s="9"/>
      <c r="KPU248" s="10"/>
      <c r="KPV248" s="11"/>
      <c r="KPW248" s="10"/>
      <c r="KPX248" s="6"/>
      <c r="KPY248" s="7"/>
      <c r="KPZ248" s="8"/>
      <c r="KQA248" s="9"/>
      <c r="KQB248" s="10"/>
      <c r="KQC248" s="11"/>
      <c r="KQD248" s="10"/>
      <c r="KQE248" s="6"/>
      <c r="KQF248" s="7"/>
      <c r="KQG248" s="8"/>
      <c r="KQH248" s="9"/>
      <c r="KQI248" s="10"/>
      <c r="KQJ248" s="11"/>
      <c r="KQK248" s="10"/>
      <c r="KQL248" s="6"/>
      <c r="KQM248" s="7"/>
      <c r="KQN248" s="8"/>
      <c r="KQO248" s="9"/>
      <c r="KQP248" s="10"/>
      <c r="KQQ248" s="11"/>
      <c r="KQR248" s="10"/>
      <c r="KQS248" s="6"/>
      <c r="KQT248" s="7"/>
      <c r="KQU248" s="8"/>
      <c r="KQV248" s="9"/>
      <c r="KQW248" s="10"/>
      <c r="KQX248" s="11"/>
      <c r="KQY248" s="10"/>
      <c r="KQZ248" s="6"/>
      <c r="KRA248" s="7"/>
      <c r="KRB248" s="8"/>
      <c r="KRC248" s="9"/>
      <c r="KRD248" s="10"/>
      <c r="KRE248" s="11"/>
      <c r="KRF248" s="10"/>
      <c r="KRG248" s="6"/>
      <c r="KRH248" s="7"/>
      <c r="KRI248" s="8"/>
      <c r="KRJ248" s="9"/>
      <c r="KRK248" s="10"/>
      <c r="KRL248" s="11"/>
      <c r="KRM248" s="10"/>
      <c r="KRN248" s="6"/>
      <c r="KRO248" s="7"/>
      <c r="KRP248" s="8"/>
      <c r="KRQ248" s="9"/>
      <c r="KRR248" s="10"/>
      <c r="KRS248" s="11"/>
      <c r="KRT248" s="10"/>
      <c r="KRU248" s="6"/>
      <c r="KRV248" s="7"/>
      <c r="KRW248" s="8"/>
      <c r="KRX248" s="9"/>
      <c r="KRY248" s="10"/>
      <c r="KRZ248" s="11"/>
      <c r="KSA248" s="10"/>
      <c r="KSB248" s="6"/>
      <c r="KSC248" s="7"/>
      <c r="KSD248" s="8"/>
      <c r="KSE248" s="9"/>
      <c r="KSF248" s="10"/>
      <c r="KSG248" s="11"/>
      <c r="KSH248" s="10"/>
      <c r="KSI248" s="6"/>
      <c r="KSJ248" s="7"/>
      <c r="KSK248" s="8"/>
      <c r="KSL248" s="9"/>
      <c r="KSM248" s="10"/>
      <c r="KSN248" s="11"/>
      <c r="KSO248" s="10"/>
      <c r="KSP248" s="6"/>
      <c r="KSQ248" s="7"/>
      <c r="KSR248" s="8"/>
      <c r="KSS248" s="9"/>
      <c r="KST248" s="10"/>
      <c r="KSU248" s="11"/>
      <c r="KSV248" s="10"/>
      <c r="KSW248" s="6"/>
      <c r="KSX248" s="7"/>
      <c r="KSY248" s="8"/>
      <c r="KSZ248" s="9"/>
      <c r="KTA248" s="10"/>
      <c r="KTB248" s="11"/>
      <c r="KTC248" s="10"/>
      <c r="KTD248" s="6"/>
      <c r="KTE248" s="7"/>
      <c r="KTF248" s="8"/>
      <c r="KTG248" s="9"/>
      <c r="KTH248" s="10"/>
      <c r="KTI248" s="11"/>
      <c r="KTJ248" s="10"/>
      <c r="KTK248" s="6"/>
      <c r="KTL248" s="7"/>
      <c r="KTM248" s="8"/>
      <c r="KTN248" s="9"/>
      <c r="KTO248" s="10"/>
      <c r="KTP248" s="11"/>
      <c r="KTQ248" s="10"/>
      <c r="KTR248" s="6"/>
      <c r="KTS248" s="7"/>
      <c r="KTT248" s="8"/>
      <c r="KTU248" s="9"/>
      <c r="KTV248" s="10"/>
      <c r="KTW248" s="11"/>
      <c r="KTX248" s="10"/>
      <c r="KTY248" s="6"/>
      <c r="KTZ248" s="7"/>
      <c r="KUA248" s="8"/>
      <c r="KUB248" s="9"/>
      <c r="KUC248" s="10"/>
      <c r="KUD248" s="11"/>
      <c r="KUE248" s="10"/>
      <c r="KUF248" s="6"/>
      <c r="KUG248" s="7"/>
      <c r="KUH248" s="8"/>
      <c r="KUI248" s="9"/>
      <c r="KUJ248" s="10"/>
      <c r="KUK248" s="11"/>
      <c r="KUL248" s="10"/>
      <c r="KUM248" s="6"/>
      <c r="KUN248" s="7"/>
      <c r="KUO248" s="8"/>
      <c r="KUP248" s="9"/>
      <c r="KUQ248" s="10"/>
      <c r="KUR248" s="11"/>
      <c r="KUS248" s="10"/>
      <c r="KUT248" s="6"/>
      <c r="KUU248" s="7"/>
      <c r="KUV248" s="8"/>
      <c r="KUW248" s="9"/>
      <c r="KUX248" s="10"/>
      <c r="KUY248" s="11"/>
      <c r="KUZ248" s="10"/>
      <c r="KVA248" s="6"/>
      <c r="KVB248" s="7"/>
      <c r="KVC248" s="8"/>
      <c r="KVD248" s="9"/>
      <c r="KVE248" s="10"/>
      <c r="KVF248" s="11"/>
      <c r="KVG248" s="10"/>
      <c r="KVH248" s="6"/>
      <c r="KVI248" s="7"/>
      <c r="KVJ248" s="8"/>
      <c r="KVK248" s="9"/>
      <c r="KVL248" s="10"/>
      <c r="KVM248" s="11"/>
      <c r="KVN248" s="10"/>
      <c r="KVO248" s="6"/>
      <c r="KVP248" s="7"/>
      <c r="KVQ248" s="8"/>
      <c r="KVR248" s="9"/>
      <c r="KVS248" s="10"/>
      <c r="KVT248" s="11"/>
      <c r="KVU248" s="10"/>
      <c r="KVV248" s="6"/>
      <c r="KVW248" s="7"/>
      <c r="KVX248" s="8"/>
      <c r="KVY248" s="9"/>
      <c r="KVZ248" s="10"/>
      <c r="KWA248" s="11"/>
      <c r="KWB248" s="10"/>
      <c r="KWC248" s="6"/>
      <c r="KWD248" s="7"/>
      <c r="KWE248" s="8"/>
      <c r="KWF248" s="9"/>
      <c r="KWG248" s="10"/>
      <c r="KWH248" s="11"/>
      <c r="KWI248" s="10"/>
      <c r="KWJ248" s="6"/>
      <c r="KWK248" s="7"/>
      <c r="KWL248" s="8"/>
      <c r="KWM248" s="9"/>
      <c r="KWN248" s="10"/>
      <c r="KWO248" s="11"/>
      <c r="KWP248" s="10"/>
      <c r="KWQ248" s="6"/>
      <c r="KWR248" s="7"/>
      <c r="KWS248" s="8"/>
      <c r="KWT248" s="9"/>
      <c r="KWU248" s="10"/>
      <c r="KWV248" s="11"/>
      <c r="KWW248" s="10"/>
      <c r="KWX248" s="6"/>
      <c r="KWY248" s="7"/>
      <c r="KWZ248" s="8"/>
      <c r="KXA248" s="9"/>
      <c r="KXB248" s="10"/>
      <c r="KXC248" s="11"/>
      <c r="KXD248" s="10"/>
      <c r="KXE248" s="6"/>
      <c r="KXF248" s="7"/>
      <c r="KXG248" s="8"/>
      <c r="KXH248" s="9"/>
      <c r="KXI248" s="10"/>
      <c r="KXJ248" s="11"/>
      <c r="KXK248" s="10"/>
      <c r="KXL248" s="6"/>
      <c r="KXM248" s="7"/>
      <c r="KXN248" s="8"/>
      <c r="KXO248" s="9"/>
      <c r="KXP248" s="10"/>
      <c r="KXQ248" s="11"/>
      <c r="KXR248" s="10"/>
      <c r="KXS248" s="6"/>
      <c r="KXT248" s="7"/>
      <c r="KXU248" s="8"/>
      <c r="KXV248" s="9"/>
      <c r="KXW248" s="10"/>
      <c r="KXX248" s="11"/>
      <c r="KXY248" s="10"/>
      <c r="KXZ248" s="6"/>
      <c r="KYA248" s="7"/>
      <c r="KYB248" s="8"/>
      <c r="KYC248" s="9"/>
      <c r="KYD248" s="10"/>
      <c r="KYE248" s="11"/>
      <c r="KYF248" s="10"/>
      <c r="KYG248" s="6"/>
      <c r="KYH248" s="7"/>
      <c r="KYI248" s="8"/>
      <c r="KYJ248" s="9"/>
      <c r="KYK248" s="10"/>
      <c r="KYL248" s="11"/>
      <c r="KYM248" s="10"/>
      <c r="KYN248" s="6"/>
      <c r="KYO248" s="7"/>
      <c r="KYP248" s="8"/>
      <c r="KYQ248" s="9"/>
      <c r="KYR248" s="10"/>
      <c r="KYS248" s="11"/>
      <c r="KYT248" s="10"/>
      <c r="KYU248" s="6"/>
      <c r="KYV248" s="7"/>
      <c r="KYW248" s="8"/>
      <c r="KYX248" s="9"/>
      <c r="KYY248" s="10"/>
      <c r="KYZ248" s="11"/>
      <c r="KZA248" s="10"/>
      <c r="KZB248" s="6"/>
      <c r="KZC248" s="7"/>
      <c r="KZD248" s="8"/>
      <c r="KZE248" s="9"/>
      <c r="KZF248" s="10"/>
      <c r="KZG248" s="11"/>
      <c r="KZH248" s="10"/>
      <c r="KZI248" s="6"/>
      <c r="KZJ248" s="7"/>
      <c r="KZK248" s="8"/>
      <c r="KZL248" s="9"/>
      <c r="KZM248" s="10"/>
      <c r="KZN248" s="11"/>
      <c r="KZO248" s="10"/>
      <c r="KZP248" s="6"/>
      <c r="KZQ248" s="7"/>
      <c r="KZR248" s="8"/>
      <c r="KZS248" s="9"/>
      <c r="KZT248" s="10"/>
      <c r="KZU248" s="11"/>
      <c r="KZV248" s="10"/>
      <c r="KZW248" s="6"/>
      <c r="KZX248" s="7"/>
      <c r="KZY248" s="8"/>
      <c r="KZZ248" s="9"/>
      <c r="LAA248" s="10"/>
      <c r="LAB248" s="11"/>
      <c r="LAC248" s="10"/>
      <c r="LAD248" s="6"/>
      <c r="LAE248" s="7"/>
      <c r="LAF248" s="8"/>
      <c r="LAG248" s="9"/>
      <c r="LAH248" s="10"/>
      <c r="LAI248" s="11"/>
      <c r="LAJ248" s="10"/>
      <c r="LAK248" s="6"/>
      <c r="LAL248" s="7"/>
      <c r="LAM248" s="8"/>
      <c r="LAN248" s="9"/>
      <c r="LAO248" s="10"/>
      <c r="LAP248" s="11"/>
      <c r="LAQ248" s="10"/>
      <c r="LAR248" s="6"/>
      <c r="LAS248" s="7"/>
      <c r="LAT248" s="8"/>
      <c r="LAU248" s="9"/>
      <c r="LAV248" s="10"/>
      <c r="LAW248" s="11"/>
      <c r="LAX248" s="10"/>
      <c r="LAY248" s="6"/>
      <c r="LAZ248" s="7"/>
      <c r="LBA248" s="8"/>
      <c r="LBB248" s="9"/>
      <c r="LBC248" s="10"/>
      <c r="LBD248" s="11"/>
      <c r="LBE248" s="10"/>
      <c r="LBF248" s="6"/>
      <c r="LBG248" s="7"/>
      <c r="LBH248" s="8"/>
      <c r="LBI248" s="9"/>
      <c r="LBJ248" s="10"/>
      <c r="LBK248" s="11"/>
      <c r="LBL248" s="10"/>
      <c r="LBM248" s="6"/>
      <c r="LBN248" s="7"/>
      <c r="LBO248" s="8"/>
      <c r="LBP248" s="9"/>
      <c r="LBQ248" s="10"/>
      <c r="LBR248" s="11"/>
      <c r="LBS248" s="10"/>
      <c r="LBT248" s="6"/>
      <c r="LBU248" s="7"/>
      <c r="LBV248" s="8"/>
      <c r="LBW248" s="9"/>
      <c r="LBX248" s="10"/>
      <c r="LBY248" s="11"/>
      <c r="LBZ248" s="10"/>
      <c r="LCA248" s="6"/>
      <c r="LCB248" s="7"/>
      <c r="LCC248" s="8"/>
      <c r="LCD248" s="9"/>
      <c r="LCE248" s="10"/>
      <c r="LCF248" s="11"/>
      <c r="LCG248" s="10"/>
      <c r="LCH248" s="6"/>
      <c r="LCI248" s="7"/>
      <c r="LCJ248" s="8"/>
      <c r="LCK248" s="9"/>
      <c r="LCL248" s="10"/>
      <c r="LCM248" s="11"/>
      <c r="LCN248" s="10"/>
      <c r="LCO248" s="6"/>
      <c r="LCP248" s="7"/>
      <c r="LCQ248" s="8"/>
      <c r="LCR248" s="9"/>
      <c r="LCS248" s="10"/>
      <c r="LCT248" s="11"/>
      <c r="LCU248" s="10"/>
      <c r="LCV248" s="6"/>
      <c r="LCW248" s="7"/>
      <c r="LCX248" s="8"/>
      <c r="LCY248" s="9"/>
      <c r="LCZ248" s="10"/>
      <c r="LDA248" s="11"/>
      <c r="LDB248" s="10"/>
      <c r="LDC248" s="6"/>
      <c r="LDD248" s="7"/>
      <c r="LDE248" s="8"/>
      <c r="LDF248" s="9"/>
      <c r="LDG248" s="10"/>
      <c r="LDH248" s="11"/>
      <c r="LDI248" s="10"/>
      <c r="LDJ248" s="6"/>
      <c r="LDK248" s="7"/>
      <c r="LDL248" s="8"/>
      <c r="LDM248" s="9"/>
      <c r="LDN248" s="10"/>
      <c r="LDO248" s="11"/>
      <c r="LDP248" s="10"/>
      <c r="LDQ248" s="6"/>
      <c r="LDR248" s="7"/>
      <c r="LDS248" s="8"/>
      <c r="LDT248" s="9"/>
      <c r="LDU248" s="10"/>
      <c r="LDV248" s="11"/>
      <c r="LDW248" s="10"/>
      <c r="LDX248" s="6"/>
      <c r="LDY248" s="7"/>
      <c r="LDZ248" s="8"/>
      <c r="LEA248" s="9"/>
      <c r="LEB248" s="10"/>
      <c r="LEC248" s="11"/>
      <c r="LED248" s="10"/>
      <c r="LEE248" s="6"/>
      <c r="LEF248" s="7"/>
      <c r="LEG248" s="8"/>
      <c r="LEH248" s="9"/>
      <c r="LEI248" s="10"/>
      <c r="LEJ248" s="11"/>
      <c r="LEK248" s="10"/>
      <c r="LEL248" s="6"/>
      <c r="LEM248" s="7"/>
      <c r="LEN248" s="8"/>
      <c r="LEO248" s="9"/>
      <c r="LEP248" s="10"/>
      <c r="LEQ248" s="11"/>
      <c r="LER248" s="10"/>
      <c r="LES248" s="6"/>
      <c r="LET248" s="7"/>
      <c r="LEU248" s="8"/>
      <c r="LEV248" s="9"/>
      <c r="LEW248" s="10"/>
      <c r="LEX248" s="11"/>
      <c r="LEY248" s="10"/>
      <c r="LEZ248" s="6"/>
      <c r="LFA248" s="7"/>
      <c r="LFB248" s="8"/>
      <c r="LFC248" s="9"/>
      <c r="LFD248" s="10"/>
      <c r="LFE248" s="11"/>
      <c r="LFF248" s="10"/>
      <c r="LFG248" s="6"/>
      <c r="LFH248" s="7"/>
      <c r="LFI248" s="8"/>
      <c r="LFJ248" s="9"/>
      <c r="LFK248" s="10"/>
      <c r="LFL248" s="11"/>
      <c r="LFM248" s="10"/>
      <c r="LFN248" s="6"/>
      <c r="LFO248" s="7"/>
      <c r="LFP248" s="8"/>
      <c r="LFQ248" s="9"/>
      <c r="LFR248" s="10"/>
      <c r="LFS248" s="11"/>
      <c r="LFT248" s="10"/>
      <c r="LFU248" s="6"/>
      <c r="LFV248" s="7"/>
      <c r="LFW248" s="8"/>
      <c r="LFX248" s="9"/>
      <c r="LFY248" s="10"/>
      <c r="LFZ248" s="11"/>
      <c r="LGA248" s="10"/>
      <c r="LGB248" s="6"/>
      <c r="LGC248" s="7"/>
      <c r="LGD248" s="8"/>
      <c r="LGE248" s="9"/>
      <c r="LGF248" s="10"/>
      <c r="LGG248" s="11"/>
      <c r="LGH248" s="10"/>
      <c r="LGI248" s="6"/>
      <c r="LGJ248" s="7"/>
      <c r="LGK248" s="8"/>
      <c r="LGL248" s="9"/>
      <c r="LGM248" s="10"/>
      <c r="LGN248" s="11"/>
      <c r="LGO248" s="10"/>
      <c r="LGP248" s="6"/>
      <c r="LGQ248" s="7"/>
      <c r="LGR248" s="8"/>
      <c r="LGS248" s="9"/>
      <c r="LGT248" s="10"/>
      <c r="LGU248" s="11"/>
      <c r="LGV248" s="10"/>
      <c r="LGW248" s="6"/>
      <c r="LGX248" s="7"/>
      <c r="LGY248" s="8"/>
      <c r="LGZ248" s="9"/>
      <c r="LHA248" s="10"/>
      <c r="LHB248" s="11"/>
      <c r="LHC248" s="10"/>
      <c r="LHD248" s="6"/>
      <c r="LHE248" s="7"/>
      <c r="LHF248" s="8"/>
      <c r="LHG248" s="9"/>
      <c r="LHH248" s="10"/>
      <c r="LHI248" s="11"/>
      <c r="LHJ248" s="10"/>
      <c r="LHK248" s="6"/>
      <c r="LHL248" s="7"/>
      <c r="LHM248" s="8"/>
      <c r="LHN248" s="9"/>
      <c r="LHO248" s="10"/>
      <c r="LHP248" s="11"/>
      <c r="LHQ248" s="10"/>
      <c r="LHR248" s="6"/>
      <c r="LHS248" s="7"/>
      <c r="LHT248" s="8"/>
      <c r="LHU248" s="9"/>
      <c r="LHV248" s="10"/>
      <c r="LHW248" s="11"/>
      <c r="LHX248" s="10"/>
      <c r="LHY248" s="6"/>
      <c r="LHZ248" s="7"/>
      <c r="LIA248" s="8"/>
      <c r="LIB248" s="9"/>
      <c r="LIC248" s="10"/>
      <c r="LID248" s="11"/>
      <c r="LIE248" s="10"/>
      <c r="LIF248" s="6"/>
      <c r="LIG248" s="7"/>
      <c r="LIH248" s="8"/>
      <c r="LII248" s="9"/>
      <c r="LIJ248" s="10"/>
      <c r="LIK248" s="11"/>
      <c r="LIL248" s="10"/>
      <c r="LIM248" s="6"/>
      <c r="LIN248" s="7"/>
      <c r="LIO248" s="8"/>
      <c r="LIP248" s="9"/>
      <c r="LIQ248" s="10"/>
      <c r="LIR248" s="11"/>
      <c r="LIS248" s="10"/>
      <c r="LIT248" s="6"/>
      <c r="LIU248" s="7"/>
      <c r="LIV248" s="8"/>
      <c r="LIW248" s="9"/>
      <c r="LIX248" s="10"/>
      <c r="LIY248" s="11"/>
      <c r="LIZ248" s="10"/>
      <c r="LJA248" s="6"/>
      <c r="LJB248" s="7"/>
      <c r="LJC248" s="8"/>
      <c r="LJD248" s="9"/>
      <c r="LJE248" s="10"/>
      <c r="LJF248" s="11"/>
      <c r="LJG248" s="10"/>
      <c r="LJH248" s="6"/>
      <c r="LJI248" s="7"/>
      <c r="LJJ248" s="8"/>
      <c r="LJK248" s="9"/>
      <c r="LJL248" s="10"/>
      <c r="LJM248" s="11"/>
      <c r="LJN248" s="10"/>
      <c r="LJO248" s="6"/>
      <c r="LJP248" s="7"/>
      <c r="LJQ248" s="8"/>
      <c r="LJR248" s="9"/>
      <c r="LJS248" s="10"/>
      <c r="LJT248" s="11"/>
      <c r="LJU248" s="10"/>
      <c r="LJV248" s="6"/>
      <c r="LJW248" s="7"/>
      <c r="LJX248" s="8"/>
      <c r="LJY248" s="9"/>
      <c r="LJZ248" s="10"/>
      <c r="LKA248" s="11"/>
      <c r="LKB248" s="10"/>
      <c r="LKC248" s="6"/>
      <c r="LKD248" s="7"/>
      <c r="LKE248" s="8"/>
      <c r="LKF248" s="9"/>
      <c r="LKG248" s="10"/>
      <c r="LKH248" s="11"/>
      <c r="LKI248" s="10"/>
      <c r="LKJ248" s="6"/>
      <c r="LKK248" s="7"/>
      <c r="LKL248" s="8"/>
      <c r="LKM248" s="9"/>
      <c r="LKN248" s="10"/>
      <c r="LKO248" s="11"/>
      <c r="LKP248" s="10"/>
      <c r="LKQ248" s="6"/>
      <c r="LKR248" s="7"/>
      <c r="LKS248" s="8"/>
      <c r="LKT248" s="9"/>
      <c r="LKU248" s="10"/>
      <c r="LKV248" s="11"/>
      <c r="LKW248" s="10"/>
      <c r="LKX248" s="6"/>
      <c r="LKY248" s="7"/>
      <c r="LKZ248" s="8"/>
      <c r="LLA248" s="9"/>
      <c r="LLB248" s="10"/>
      <c r="LLC248" s="11"/>
      <c r="LLD248" s="10"/>
      <c r="LLE248" s="6"/>
      <c r="LLF248" s="7"/>
      <c r="LLG248" s="8"/>
      <c r="LLH248" s="9"/>
      <c r="LLI248" s="10"/>
      <c r="LLJ248" s="11"/>
      <c r="LLK248" s="10"/>
      <c r="LLL248" s="6"/>
      <c r="LLM248" s="7"/>
      <c r="LLN248" s="8"/>
      <c r="LLO248" s="9"/>
      <c r="LLP248" s="10"/>
      <c r="LLQ248" s="11"/>
      <c r="LLR248" s="10"/>
      <c r="LLS248" s="6"/>
      <c r="LLT248" s="7"/>
      <c r="LLU248" s="8"/>
      <c r="LLV248" s="9"/>
      <c r="LLW248" s="10"/>
      <c r="LLX248" s="11"/>
      <c r="LLY248" s="10"/>
      <c r="LLZ248" s="6"/>
      <c r="LMA248" s="7"/>
      <c r="LMB248" s="8"/>
      <c r="LMC248" s="9"/>
      <c r="LMD248" s="10"/>
      <c r="LME248" s="11"/>
      <c r="LMF248" s="10"/>
      <c r="LMG248" s="6"/>
      <c r="LMH248" s="7"/>
      <c r="LMI248" s="8"/>
      <c r="LMJ248" s="9"/>
      <c r="LMK248" s="10"/>
      <c r="LML248" s="11"/>
      <c r="LMM248" s="10"/>
      <c r="LMN248" s="6"/>
      <c r="LMO248" s="7"/>
      <c r="LMP248" s="8"/>
      <c r="LMQ248" s="9"/>
      <c r="LMR248" s="10"/>
      <c r="LMS248" s="11"/>
      <c r="LMT248" s="10"/>
      <c r="LMU248" s="6"/>
      <c r="LMV248" s="7"/>
      <c r="LMW248" s="8"/>
      <c r="LMX248" s="9"/>
      <c r="LMY248" s="10"/>
      <c r="LMZ248" s="11"/>
      <c r="LNA248" s="10"/>
      <c r="LNB248" s="6"/>
      <c r="LNC248" s="7"/>
      <c r="LND248" s="8"/>
      <c r="LNE248" s="9"/>
      <c r="LNF248" s="10"/>
      <c r="LNG248" s="11"/>
      <c r="LNH248" s="10"/>
      <c r="LNI248" s="6"/>
      <c r="LNJ248" s="7"/>
      <c r="LNK248" s="8"/>
      <c r="LNL248" s="9"/>
      <c r="LNM248" s="10"/>
      <c r="LNN248" s="11"/>
      <c r="LNO248" s="10"/>
      <c r="LNP248" s="6"/>
      <c r="LNQ248" s="7"/>
      <c r="LNR248" s="8"/>
      <c r="LNS248" s="9"/>
      <c r="LNT248" s="10"/>
      <c r="LNU248" s="11"/>
      <c r="LNV248" s="10"/>
      <c r="LNW248" s="6"/>
      <c r="LNX248" s="7"/>
      <c r="LNY248" s="8"/>
      <c r="LNZ248" s="9"/>
      <c r="LOA248" s="10"/>
      <c r="LOB248" s="11"/>
      <c r="LOC248" s="10"/>
      <c r="LOD248" s="6"/>
      <c r="LOE248" s="7"/>
      <c r="LOF248" s="8"/>
      <c r="LOG248" s="9"/>
      <c r="LOH248" s="10"/>
      <c r="LOI248" s="11"/>
      <c r="LOJ248" s="10"/>
      <c r="LOK248" s="6"/>
      <c r="LOL248" s="7"/>
      <c r="LOM248" s="8"/>
      <c r="LON248" s="9"/>
      <c r="LOO248" s="10"/>
      <c r="LOP248" s="11"/>
      <c r="LOQ248" s="10"/>
      <c r="LOR248" s="6"/>
      <c r="LOS248" s="7"/>
      <c r="LOT248" s="8"/>
      <c r="LOU248" s="9"/>
      <c r="LOV248" s="10"/>
      <c r="LOW248" s="11"/>
      <c r="LOX248" s="10"/>
      <c r="LOY248" s="6"/>
      <c r="LOZ248" s="7"/>
      <c r="LPA248" s="8"/>
      <c r="LPB248" s="9"/>
      <c r="LPC248" s="10"/>
      <c r="LPD248" s="11"/>
      <c r="LPE248" s="10"/>
      <c r="LPF248" s="6"/>
      <c r="LPG248" s="7"/>
      <c r="LPH248" s="8"/>
      <c r="LPI248" s="9"/>
      <c r="LPJ248" s="10"/>
      <c r="LPK248" s="11"/>
      <c r="LPL248" s="10"/>
      <c r="LPM248" s="6"/>
      <c r="LPN248" s="7"/>
      <c r="LPO248" s="8"/>
      <c r="LPP248" s="9"/>
      <c r="LPQ248" s="10"/>
      <c r="LPR248" s="11"/>
      <c r="LPS248" s="10"/>
      <c r="LPT248" s="6"/>
      <c r="LPU248" s="7"/>
      <c r="LPV248" s="8"/>
      <c r="LPW248" s="9"/>
      <c r="LPX248" s="10"/>
      <c r="LPY248" s="11"/>
      <c r="LPZ248" s="10"/>
      <c r="LQA248" s="6"/>
      <c r="LQB248" s="7"/>
      <c r="LQC248" s="8"/>
      <c r="LQD248" s="9"/>
      <c r="LQE248" s="10"/>
      <c r="LQF248" s="11"/>
      <c r="LQG248" s="10"/>
      <c r="LQH248" s="6"/>
      <c r="LQI248" s="7"/>
      <c r="LQJ248" s="8"/>
      <c r="LQK248" s="9"/>
      <c r="LQL248" s="10"/>
      <c r="LQM248" s="11"/>
      <c r="LQN248" s="10"/>
      <c r="LQO248" s="6"/>
      <c r="LQP248" s="7"/>
      <c r="LQQ248" s="8"/>
      <c r="LQR248" s="9"/>
      <c r="LQS248" s="10"/>
      <c r="LQT248" s="11"/>
      <c r="LQU248" s="10"/>
      <c r="LQV248" s="6"/>
      <c r="LQW248" s="7"/>
      <c r="LQX248" s="8"/>
      <c r="LQY248" s="9"/>
      <c r="LQZ248" s="10"/>
      <c r="LRA248" s="11"/>
      <c r="LRB248" s="10"/>
      <c r="LRC248" s="6"/>
      <c r="LRD248" s="7"/>
      <c r="LRE248" s="8"/>
      <c r="LRF248" s="9"/>
      <c r="LRG248" s="10"/>
      <c r="LRH248" s="11"/>
      <c r="LRI248" s="10"/>
      <c r="LRJ248" s="6"/>
      <c r="LRK248" s="7"/>
      <c r="LRL248" s="8"/>
      <c r="LRM248" s="9"/>
      <c r="LRN248" s="10"/>
      <c r="LRO248" s="11"/>
      <c r="LRP248" s="10"/>
      <c r="LRQ248" s="6"/>
      <c r="LRR248" s="7"/>
      <c r="LRS248" s="8"/>
      <c r="LRT248" s="9"/>
      <c r="LRU248" s="10"/>
      <c r="LRV248" s="11"/>
      <c r="LRW248" s="10"/>
      <c r="LRX248" s="6"/>
      <c r="LRY248" s="7"/>
      <c r="LRZ248" s="8"/>
      <c r="LSA248" s="9"/>
      <c r="LSB248" s="10"/>
      <c r="LSC248" s="11"/>
      <c r="LSD248" s="10"/>
      <c r="LSE248" s="6"/>
      <c r="LSF248" s="7"/>
      <c r="LSG248" s="8"/>
      <c r="LSH248" s="9"/>
      <c r="LSI248" s="10"/>
      <c r="LSJ248" s="11"/>
      <c r="LSK248" s="10"/>
      <c r="LSL248" s="6"/>
      <c r="LSM248" s="7"/>
      <c r="LSN248" s="8"/>
      <c r="LSO248" s="9"/>
      <c r="LSP248" s="10"/>
      <c r="LSQ248" s="11"/>
      <c r="LSR248" s="10"/>
      <c r="LSS248" s="6"/>
      <c r="LST248" s="7"/>
      <c r="LSU248" s="8"/>
      <c r="LSV248" s="9"/>
      <c r="LSW248" s="10"/>
      <c r="LSX248" s="11"/>
      <c r="LSY248" s="10"/>
      <c r="LSZ248" s="6"/>
      <c r="LTA248" s="7"/>
      <c r="LTB248" s="8"/>
      <c r="LTC248" s="9"/>
      <c r="LTD248" s="10"/>
      <c r="LTE248" s="11"/>
      <c r="LTF248" s="10"/>
      <c r="LTG248" s="6"/>
      <c r="LTH248" s="7"/>
      <c r="LTI248" s="8"/>
      <c r="LTJ248" s="9"/>
      <c r="LTK248" s="10"/>
      <c r="LTL248" s="11"/>
      <c r="LTM248" s="10"/>
      <c r="LTN248" s="6"/>
      <c r="LTO248" s="7"/>
      <c r="LTP248" s="8"/>
      <c r="LTQ248" s="9"/>
      <c r="LTR248" s="10"/>
      <c r="LTS248" s="11"/>
      <c r="LTT248" s="10"/>
      <c r="LTU248" s="6"/>
      <c r="LTV248" s="7"/>
      <c r="LTW248" s="8"/>
      <c r="LTX248" s="9"/>
      <c r="LTY248" s="10"/>
      <c r="LTZ248" s="11"/>
      <c r="LUA248" s="10"/>
      <c r="LUB248" s="6"/>
      <c r="LUC248" s="7"/>
      <c r="LUD248" s="8"/>
      <c r="LUE248" s="9"/>
      <c r="LUF248" s="10"/>
      <c r="LUG248" s="11"/>
      <c r="LUH248" s="10"/>
      <c r="LUI248" s="6"/>
      <c r="LUJ248" s="7"/>
      <c r="LUK248" s="8"/>
      <c r="LUL248" s="9"/>
      <c r="LUM248" s="10"/>
      <c r="LUN248" s="11"/>
      <c r="LUO248" s="10"/>
      <c r="LUP248" s="6"/>
      <c r="LUQ248" s="7"/>
      <c r="LUR248" s="8"/>
      <c r="LUS248" s="9"/>
      <c r="LUT248" s="10"/>
      <c r="LUU248" s="11"/>
      <c r="LUV248" s="10"/>
      <c r="LUW248" s="6"/>
      <c r="LUX248" s="7"/>
      <c r="LUY248" s="8"/>
      <c r="LUZ248" s="9"/>
      <c r="LVA248" s="10"/>
      <c r="LVB248" s="11"/>
      <c r="LVC248" s="10"/>
      <c r="LVD248" s="6"/>
      <c r="LVE248" s="7"/>
      <c r="LVF248" s="8"/>
      <c r="LVG248" s="9"/>
      <c r="LVH248" s="10"/>
      <c r="LVI248" s="11"/>
      <c r="LVJ248" s="10"/>
      <c r="LVK248" s="6"/>
      <c r="LVL248" s="7"/>
      <c r="LVM248" s="8"/>
      <c r="LVN248" s="9"/>
      <c r="LVO248" s="10"/>
      <c r="LVP248" s="11"/>
      <c r="LVQ248" s="10"/>
      <c r="LVR248" s="6"/>
      <c r="LVS248" s="7"/>
      <c r="LVT248" s="8"/>
      <c r="LVU248" s="9"/>
      <c r="LVV248" s="10"/>
      <c r="LVW248" s="11"/>
      <c r="LVX248" s="10"/>
      <c r="LVY248" s="6"/>
      <c r="LVZ248" s="7"/>
      <c r="LWA248" s="8"/>
      <c r="LWB248" s="9"/>
      <c r="LWC248" s="10"/>
      <c r="LWD248" s="11"/>
      <c r="LWE248" s="10"/>
      <c r="LWF248" s="6"/>
      <c r="LWG248" s="7"/>
      <c r="LWH248" s="8"/>
      <c r="LWI248" s="9"/>
      <c r="LWJ248" s="10"/>
      <c r="LWK248" s="11"/>
      <c r="LWL248" s="10"/>
      <c r="LWM248" s="6"/>
      <c r="LWN248" s="7"/>
      <c r="LWO248" s="8"/>
      <c r="LWP248" s="9"/>
      <c r="LWQ248" s="10"/>
      <c r="LWR248" s="11"/>
      <c r="LWS248" s="10"/>
      <c r="LWT248" s="6"/>
      <c r="LWU248" s="7"/>
      <c r="LWV248" s="8"/>
      <c r="LWW248" s="9"/>
      <c r="LWX248" s="10"/>
      <c r="LWY248" s="11"/>
      <c r="LWZ248" s="10"/>
      <c r="LXA248" s="6"/>
      <c r="LXB248" s="7"/>
      <c r="LXC248" s="8"/>
      <c r="LXD248" s="9"/>
      <c r="LXE248" s="10"/>
      <c r="LXF248" s="11"/>
      <c r="LXG248" s="10"/>
      <c r="LXH248" s="6"/>
      <c r="LXI248" s="7"/>
      <c r="LXJ248" s="8"/>
      <c r="LXK248" s="9"/>
      <c r="LXL248" s="10"/>
      <c r="LXM248" s="11"/>
      <c r="LXN248" s="10"/>
      <c r="LXO248" s="6"/>
      <c r="LXP248" s="7"/>
      <c r="LXQ248" s="8"/>
      <c r="LXR248" s="9"/>
      <c r="LXS248" s="10"/>
      <c r="LXT248" s="11"/>
      <c r="LXU248" s="10"/>
      <c r="LXV248" s="6"/>
      <c r="LXW248" s="7"/>
      <c r="LXX248" s="8"/>
      <c r="LXY248" s="9"/>
      <c r="LXZ248" s="10"/>
      <c r="LYA248" s="11"/>
      <c r="LYB248" s="10"/>
      <c r="LYC248" s="6"/>
      <c r="LYD248" s="7"/>
      <c r="LYE248" s="8"/>
      <c r="LYF248" s="9"/>
      <c r="LYG248" s="10"/>
      <c r="LYH248" s="11"/>
      <c r="LYI248" s="10"/>
      <c r="LYJ248" s="6"/>
      <c r="LYK248" s="7"/>
      <c r="LYL248" s="8"/>
      <c r="LYM248" s="9"/>
      <c r="LYN248" s="10"/>
      <c r="LYO248" s="11"/>
      <c r="LYP248" s="10"/>
      <c r="LYQ248" s="6"/>
      <c r="LYR248" s="7"/>
      <c r="LYS248" s="8"/>
      <c r="LYT248" s="9"/>
      <c r="LYU248" s="10"/>
      <c r="LYV248" s="11"/>
      <c r="LYW248" s="10"/>
      <c r="LYX248" s="6"/>
      <c r="LYY248" s="7"/>
      <c r="LYZ248" s="8"/>
      <c r="LZA248" s="9"/>
      <c r="LZB248" s="10"/>
      <c r="LZC248" s="11"/>
      <c r="LZD248" s="10"/>
      <c r="LZE248" s="6"/>
      <c r="LZF248" s="7"/>
      <c r="LZG248" s="8"/>
      <c r="LZH248" s="9"/>
      <c r="LZI248" s="10"/>
      <c r="LZJ248" s="11"/>
      <c r="LZK248" s="10"/>
      <c r="LZL248" s="6"/>
      <c r="LZM248" s="7"/>
      <c r="LZN248" s="8"/>
      <c r="LZO248" s="9"/>
      <c r="LZP248" s="10"/>
      <c r="LZQ248" s="11"/>
      <c r="LZR248" s="10"/>
      <c r="LZS248" s="6"/>
      <c r="LZT248" s="7"/>
      <c r="LZU248" s="8"/>
      <c r="LZV248" s="9"/>
      <c r="LZW248" s="10"/>
      <c r="LZX248" s="11"/>
      <c r="LZY248" s="10"/>
      <c r="LZZ248" s="6"/>
      <c r="MAA248" s="7"/>
      <c r="MAB248" s="8"/>
      <c r="MAC248" s="9"/>
      <c r="MAD248" s="10"/>
      <c r="MAE248" s="11"/>
      <c r="MAF248" s="10"/>
      <c r="MAG248" s="6"/>
      <c r="MAH248" s="7"/>
      <c r="MAI248" s="8"/>
      <c r="MAJ248" s="9"/>
      <c r="MAK248" s="10"/>
      <c r="MAL248" s="11"/>
      <c r="MAM248" s="10"/>
      <c r="MAN248" s="6"/>
      <c r="MAO248" s="7"/>
      <c r="MAP248" s="8"/>
      <c r="MAQ248" s="9"/>
      <c r="MAR248" s="10"/>
      <c r="MAS248" s="11"/>
      <c r="MAT248" s="10"/>
      <c r="MAU248" s="6"/>
      <c r="MAV248" s="7"/>
      <c r="MAW248" s="8"/>
      <c r="MAX248" s="9"/>
      <c r="MAY248" s="10"/>
      <c r="MAZ248" s="11"/>
      <c r="MBA248" s="10"/>
      <c r="MBB248" s="6"/>
      <c r="MBC248" s="7"/>
      <c r="MBD248" s="8"/>
      <c r="MBE248" s="9"/>
      <c r="MBF248" s="10"/>
      <c r="MBG248" s="11"/>
      <c r="MBH248" s="10"/>
      <c r="MBI248" s="6"/>
      <c r="MBJ248" s="7"/>
      <c r="MBK248" s="8"/>
      <c r="MBL248" s="9"/>
      <c r="MBM248" s="10"/>
      <c r="MBN248" s="11"/>
      <c r="MBO248" s="10"/>
      <c r="MBP248" s="6"/>
      <c r="MBQ248" s="7"/>
      <c r="MBR248" s="8"/>
      <c r="MBS248" s="9"/>
      <c r="MBT248" s="10"/>
      <c r="MBU248" s="11"/>
      <c r="MBV248" s="10"/>
      <c r="MBW248" s="6"/>
      <c r="MBX248" s="7"/>
      <c r="MBY248" s="8"/>
      <c r="MBZ248" s="9"/>
      <c r="MCA248" s="10"/>
      <c r="MCB248" s="11"/>
      <c r="MCC248" s="10"/>
      <c r="MCD248" s="6"/>
      <c r="MCE248" s="7"/>
      <c r="MCF248" s="8"/>
      <c r="MCG248" s="9"/>
      <c r="MCH248" s="10"/>
      <c r="MCI248" s="11"/>
      <c r="MCJ248" s="10"/>
      <c r="MCK248" s="6"/>
      <c r="MCL248" s="7"/>
      <c r="MCM248" s="8"/>
      <c r="MCN248" s="9"/>
      <c r="MCO248" s="10"/>
      <c r="MCP248" s="11"/>
      <c r="MCQ248" s="10"/>
      <c r="MCR248" s="6"/>
      <c r="MCS248" s="7"/>
      <c r="MCT248" s="8"/>
      <c r="MCU248" s="9"/>
      <c r="MCV248" s="10"/>
      <c r="MCW248" s="11"/>
      <c r="MCX248" s="10"/>
      <c r="MCY248" s="6"/>
      <c r="MCZ248" s="7"/>
      <c r="MDA248" s="8"/>
      <c r="MDB248" s="9"/>
      <c r="MDC248" s="10"/>
      <c r="MDD248" s="11"/>
      <c r="MDE248" s="10"/>
      <c r="MDF248" s="6"/>
      <c r="MDG248" s="7"/>
      <c r="MDH248" s="8"/>
      <c r="MDI248" s="9"/>
      <c r="MDJ248" s="10"/>
      <c r="MDK248" s="11"/>
      <c r="MDL248" s="10"/>
      <c r="MDM248" s="6"/>
      <c r="MDN248" s="7"/>
      <c r="MDO248" s="8"/>
      <c r="MDP248" s="9"/>
      <c r="MDQ248" s="10"/>
      <c r="MDR248" s="11"/>
      <c r="MDS248" s="10"/>
      <c r="MDT248" s="6"/>
      <c r="MDU248" s="7"/>
      <c r="MDV248" s="8"/>
      <c r="MDW248" s="9"/>
      <c r="MDX248" s="10"/>
      <c r="MDY248" s="11"/>
      <c r="MDZ248" s="10"/>
      <c r="MEA248" s="6"/>
      <c r="MEB248" s="7"/>
      <c r="MEC248" s="8"/>
      <c r="MED248" s="9"/>
      <c r="MEE248" s="10"/>
      <c r="MEF248" s="11"/>
      <c r="MEG248" s="10"/>
      <c r="MEH248" s="6"/>
      <c r="MEI248" s="7"/>
      <c r="MEJ248" s="8"/>
      <c r="MEK248" s="9"/>
      <c r="MEL248" s="10"/>
      <c r="MEM248" s="11"/>
      <c r="MEN248" s="10"/>
      <c r="MEO248" s="6"/>
      <c r="MEP248" s="7"/>
      <c r="MEQ248" s="8"/>
      <c r="MER248" s="9"/>
      <c r="MES248" s="10"/>
      <c r="MET248" s="11"/>
      <c r="MEU248" s="10"/>
      <c r="MEV248" s="6"/>
      <c r="MEW248" s="7"/>
      <c r="MEX248" s="8"/>
      <c r="MEY248" s="9"/>
      <c r="MEZ248" s="10"/>
      <c r="MFA248" s="11"/>
      <c r="MFB248" s="10"/>
      <c r="MFC248" s="6"/>
      <c r="MFD248" s="7"/>
      <c r="MFE248" s="8"/>
      <c r="MFF248" s="9"/>
      <c r="MFG248" s="10"/>
      <c r="MFH248" s="11"/>
      <c r="MFI248" s="10"/>
      <c r="MFJ248" s="6"/>
      <c r="MFK248" s="7"/>
      <c r="MFL248" s="8"/>
      <c r="MFM248" s="9"/>
      <c r="MFN248" s="10"/>
      <c r="MFO248" s="11"/>
      <c r="MFP248" s="10"/>
      <c r="MFQ248" s="6"/>
      <c r="MFR248" s="7"/>
      <c r="MFS248" s="8"/>
      <c r="MFT248" s="9"/>
      <c r="MFU248" s="10"/>
      <c r="MFV248" s="11"/>
      <c r="MFW248" s="10"/>
      <c r="MFX248" s="6"/>
      <c r="MFY248" s="7"/>
      <c r="MFZ248" s="8"/>
      <c r="MGA248" s="9"/>
      <c r="MGB248" s="10"/>
      <c r="MGC248" s="11"/>
      <c r="MGD248" s="10"/>
      <c r="MGE248" s="6"/>
      <c r="MGF248" s="7"/>
      <c r="MGG248" s="8"/>
      <c r="MGH248" s="9"/>
      <c r="MGI248" s="10"/>
      <c r="MGJ248" s="11"/>
      <c r="MGK248" s="10"/>
      <c r="MGL248" s="6"/>
      <c r="MGM248" s="7"/>
      <c r="MGN248" s="8"/>
      <c r="MGO248" s="9"/>
      <c r="MGP248" s="10"/>
      <c r="MGQ248" s="11"/>
      <c r="MGR248" s="10"/>
      <c r="MGS248" s="6"/>
      <c r="MGT248" s="7"/>
      <c r="MGU248" s="8"/>
      <c r="MGV248" s="9"/>
      <c r="MGW248" s="10"/>
      <c r="MGX248" s="11"/>
      <c r="MGY248" s="10"/>
      <c r="MGZ248" s="6"/>
      <c r="MHA248" s="7"/>
      <c r="MHB248" s="8"/>
      <c r="MHC248" s="9"/>
      <c r="MHD248" s="10"/>
      <c r="MHE248" s="11"/>
      <c r="MHF248" s="10"/>
      <c r="MHG248" s="6"/>
      <c r="MHH248" s="7"/>
      <c r="MHI248" s="8"/>
      <c r="MHJ248" s="9"/>
      <c r="MHK248" s="10"/>
      <c r="MHL248" s="11"/>
      <c r="MHM248" s="10"/>
      <c r="MHN248" s="6"/>
      <c r="MHO248" s="7"/>
      <c r="MHP248" s="8"/>
      <c r="MHQ248" s="9"/>
      <c r="MHR248" s="10"/>
      <c r="MHS248" s="11"/>
      <c r="MHT248" s="10"/>
      <c r="MHU248" s="6"/>
      <c r="MHV248" s="7"/>
      <c r="MHW248" s="8"/>
      <c r="MHX248" s="9"/>
      <c r="MHY248" s="10"/>
      <c r="MHZ248" s="11"/>
      <c r="MIA248" s="10"/>
      <c r="MIB248" s="6"/>
      <c r="MIC248" s="7"/>
      <c r="MID248" s="8"/>
      <c r="MIE248" s="9"/>
      <c r="MIF248" s="10"/>
      <c r="MIG248" s="11"/>
      <c r="MIH248" s="10"/>
      <c r="MII248" s="6"/>
      <c r="MIJ248" s="7"/>
      <c r="MIK248" s="8"/>
      <c r="MIL248" s="9"/>
      <c r="MIM248" s="10"/>
      <c r="MIN248" s="11"/>
      <c r="MIO248" s="10"/>
      <c r="MIP248" s="6"/>
      <c r="MIQ248" s="7"/>
      <c r="MIR248" s="8"/>
      <c r="MIS248" s="9"/>
      <c r="MIT248" s="10"/>
      <c r="MIU248" s="11"/>
      <c r="MIV248" s="10"/>
      <c r="MIW248" s="6"/>
      <c r="MIX248" s="7"/>
      <c r="MIY248" s="8"/>
      <c r="MIZ248" s="9"/>
      <c r="MJA248" s="10"/>
      <c r="MJB248" s="11"/>
      <c r="MJC248" s="10"/>
      <c r="MJD248" s="6"/>
      <c r="MJE248" s="7"/>
      <c r="MJF248" s="8"/>
      <c r="MJG248" s="9"/>
      <c r="MJH248" s="10"/>
      <c r="MJI248" s="11"/>
      <c r="MJJ248" s="10"/>
      <c r="MJK248" s="6"/>
      <c r="MJL248" s="7"/>
      <c r="MJM248" s="8"/>
      <c r="MJN248" s="9"/>
      <c r="MJO248" s="10"/>
      <c r="MJP248" s="11"/>
      <c r="MJQ248" s="10"/>
      <c r="MJR248" s="6"/>
      <c r="MJS248" s="7"/>
      <c r="MJT248" s="8"/>
      <c r="MJU248" s="9"/>
      <c r="MJV248" s="10"/>
      <c r="MJW248" s="11"/>
      <c r="MJX248" s="10"/>
      <c r="MJY248" s="6"/>
      <c r="MJZ248" s="7"/>
      <c r="MKA248" s="8"/>
      <c r="MKB248" s="9"/>
      <c r="MKC248" s="10"/>
      <c r="MKD248" s="11"/>
      <c r="MKE248" s="10"/>
      <c r="MKF248" s="6"/>
      <c r="MKG248" s="7"/>
      <c r="MKH248" s="8"/>
      <c r="MKI248" s="9"/>
      <c r="MKJ248" s="10"/>
      <c r="MKK248" s="11"/>
      <c r="MKL248" s="10"/>
      <c r="MKM248" s="6"/>
      <c r="MKN248" s="7"/>
      <c r="MKO248" s="8"/>
      <c r="MKP248" s="9"/>
      <c r="MKQ248" s="10"/>
      <c r="MKR248" s="11"/>
      <c r="MKS248" s="10"/>
      <c r="MKT248" s="6"/>
      <c r="MKU248" s="7"/>
      <c r="MKV248" s="8"/>
      <c r="MKW248" s="9"/>
      <c r="MKX248" s="10"/>
      <c r="MKY248" s="11"/>
      <c r="MKZ248" s="10"/>
      <c r="MLA248" s="6"/>
      <c r="MLB248" s="7"/>
      <c r="MLC248" s="8"/>
      <c r="MLD248" s="9"/>
      <c r="MLE248" s="10"/>
      <c r="MLF248" s="11"/>
      <c r="MLG248" s="10"/>
      <c r="MLH248" s="6"/>
      <c r="MLI248" s="7"/>
      <c r="MLJ248" s="8"/>
      <c r="MLK248" s="9"/>
      <c r="MLL248" s="10"/>
      <c r="MLM248" s="11"/>
      <c r="MLN248" s="10"/>
      <c r="MLO248" s="6"/>
      <c r="MLP248" s="7"/>
      <c r="MLQ248" s="8"/>
      <c r="MLR248" s="9"/>
      <c r="MLS248" s="10"/>
      <c r="MLT248" s="11"/>
      <c r="MLU248" s="10"/>
      <c r="MLV248" s="6"/>
      <c r="MLW248" s="7"/>
      <c r="MLX248" s="8"/>
      <c r="MLY248" s="9"/>
      <c r="MLZ248" s="10"/>
      <c r="MMA248" s="11"/>
      <c r="MMB248" s="10"/>
      <c r="MMC248" s="6"/>
      <c r="MMD248" s="7"/>
      <c r="MME248" s="8"/>
      <c r="MMF248" s="9"/>
      <c r="MMG248" s="10"/>
      <c r="MMH248" s="11"/>
      <c r="MMI248" s="10"/>
      <c r="MMJ248" s="6"/>
      <c r="MMK248" s="7"/>
      <c r="MML248" s="8"/>
      <c r="MMM248" s="9"/>
      <c r="MMN248" s="10"/>
      <c r="MMO248" s="11"/>
      <c r="MMP248" s="10"/>
      <c r="MMQ248" s="6"/>
      <c r="MMR248" s="7"/>
      <c r="MMS248" s="8"/>
      <c r="MMT248" s="9"/>
      <c r="MMU248" s="10"/>
      <c r="MMV248" s="11"/>
      <c r="MMW248" s="10"/>
      <c r="MMX248" s="6"/>
      <c r="MMY248" s="7"/>
      <c r="MMZ248" s="8"/>
      <c r="MNA248" s="9"/>
      <c r="MNB248" s="10"/>
      <c r="MNC248" s="11"/>
      <c r="MND248" s="10"/>
      <c r="MNE248" s="6"/>
      <c r="MNF248" s="7"/>
      <c r="MNG248" s="8"/>
      <c r="MNH248" s="9"/>
      <c r="MNI248" s="10"/>
      <c r="MNJ248" s="11"/>
      <c r="MNK248" s="10"/>
      <c r="MNL248" s="6"/>
      <c r="MNM248" s="7"/>
      <c r="MNN248" s="8"/>
      <c r="MNO248" s="9"/>
      <c r="MNP248" s="10"/>
      <c r="MNQ248" s="11"/>
      <c r="MNR248" s="10"/>
      <c r="MNS248" s="6"/>
      <c r="MNT248" s="7"/>
      <c r="MNU248" s="8"/>
      <c r="MNV248" s="9"/>
      <c r="MNW248" s="10"/>
      <c r="MNX248" s="11"/>
      <c r="MNY248" s="10"/>
      <c r="MNZ248" s="6"/>
      <c r="MOA248" s="7"/>
      <c r="MOB248" s="8"/>
      <c r="MOC248" s="9"/>
      <c r="MOD248" s="10"/>
      <c r="MOE248" s="11"/>
      <c r="MOF248" s="10"/>
      <c r="MOG248" s="6"/>
      <c r="MOH248" s="7"/>
      <c r="MOI248" s="8"/>
      <c r="MOJ248" s="9"/>
      <c r="MOK248" s="10"/>
      <c r="MOL248" s="11"/>
      <c r="MOM248" s="10"/>
      <c r="MON248" s="6"/>
      <c r="MOO248" s="7"/>
      <c r="MOP248" s="8"/>
      <c r="MOQ248" s="9"/>
      <c r="MOR248" s="10"/>
      <c r="MOS248" s="11"/>
      <c r="MOT248" s="10"/>
      <c r="MOU248" s="6"/>
      <c r="MOV248" s="7"/>
      <c r="MOW248" s="8"/>
      <c r="MOX248" s="9"/>
      <c r="MOY248" s="10"/>
      <c r="MOZ248" s="11"/>
      <c r="MPA248" s="10"/>
      <c r="MPB248" s="6"/>
      <c r="MPC248" s="7"/>
      <c r="MPD248" s="8"/>
      <c r="MPE248" s="9"/>
      <c r="MPF248" s="10"/>
      <c r="MPG248" s="11"/>
      <c r="MPH248" s="10"/>
      <c r="MPI248" s="6"/>
      <c r="MPJ248" s="7"/>
      <c r="MPK248" s="8"/>
      <c r="MPL248" s="9"/>
      <c r="MPM248" s="10"/>
      <c r="MPN248" s="11"/>
      <c r="MPO248" s="10"/>
      <c r="MPP248" s="6"/>
      <c r="MPQ248" s="7"/>
      <c r="MPR248" s="8"/>
      <c r="MPS248" s="9"/>
      <c r="MPT248" s="10"/>
      <c r="MPU248" s="11"/>
      <c r="MPV248" s="10"/>
      <c r="MPW248" s="6"/>
      <c r="MPX248" s="7"/>
      <c r="MPY248" s="8"/>
      <c r="MPZ248" s="9"/>
      <c r="MQA248" s="10"/>
      <c r="MQB248" s="11"/>
      <c r="MQC248" s="10"/>
      <c r="MQD248" s="6"/>
      <c r="MQE248" s="7"/>
      <c r="MQF248" s="8"/>
      <c r="MQG248" s="9"/>
      <c r="MQH248" s="10"/>
      <c r="MQI248" s="11"/>
      <c r="MQJ248" s="10"/>
      <c r="MQK248" s="6"/>
      <c r="MQL248" s="7"/>
      <c r="MQM248" s="8"/>
      <c r="MQN248" s="9"/>
      <c r="MQO248" s="10"/>
      <c r="MQP248" s="11"/>
      <c r="MQQ248" s="10"/>
      <c r="MQR248" s="6"/>
      <c r="MQS248" s="7"/>
      <c r="MQT248" s="8"/>
      <c r="MQU248" s="9"/>
      <c r="MQV248" s="10"/>
      <c r="MQW248" s="11"/>
      <c r="MQX248" s="10"/>
      <c r="MQY248" s="6"/>
      <c r="MQZ248" s="7"/>
      <c r="MRA248" s="8"/>
      <c r="MRB248" s="9"/>
      <c r="MRC248" s="10"/>
      <c r="MRD248" s="11"/>
      <c r="MRE248" s="10"/>
      <c r="MRF248" s="6"/>
      <c r="MRG248" s="7"/>
      <c r="MRH248" s="8"/>
      <c r="MRI248" s="9"/>
      <c r="MRJ248" s="10"/>
      <c r="MRK248" s="11"/>
      <c r="MRL248" s="10"/>
      <c r="MRM248" s="6"/>
      <c r="MRN248" s="7"/>
      <c r="MRO248" s="8"/>
      <c r="MRP248" s="9"/>
      <c r="MRQ248" s="10"/>
      <c r="MRR248" s="11"/>
      <c r="MRS248" s="10"/>
      <c r="MRT248" s="6"/>
      <c r="MRU248" s="7"/>
      <c r="MRV248" s="8"/>
      <c r="MRW248" s="9"/>
      <c r="MRX248" s="10"/>
      <c r="MRY248" s="11"/>
      <c r="MRZ248" s="10"/>
      <c r="MSA248" s="6"/>
      <c r="MSB248" s="7"/>
      <c r="MSC248" s="8"/>
      <c r="MSD248" s="9"/>
      <c r="MSE248" s="10"/>
      <c r="MSF248" s="11"/>
      <c r="MSG248" s="10"/>
      <c r="MSH248" s="6"/>
      <c r="MSI248" s="7"/>
      <c r="MSJ248" s="8"/>
      <c r="MSK248" s="9"/>
      <c r="MSL248" s="10"/>
      <c r="MSM248" s="11"/>
      <c r="MSN248" s="10"/>
      <c r="MSO248" s="6"/>
      <c r="MSP248" s="7"/>
      <c r="MSQ248" s="8"/>
      <c r="MSR248" s="9"/>
      <c r="MSS248" s="10"/>
      <c r="MST248" s="11"/>
      <c r="MSU248" s="10"/>
      <c r="MSV248" s="6"/>
      <c r="MSW248" s="7"/>
      <c r="MSX248" s="8"/>
      <c r="MSY248" s="9"/>
      <c r="MSZ248" s="10"/>
      <c r="MTA248" s="11"/>
      <c r="MTB248" s="10"/>
      <c r="MTC248" s="6"/>
      <c r="MTD248" s="7"/>
      <c r="MTE248" s="8"/>
      <c r="MTF248" s="9"/>
      <c r="MTG248" s="10"/>
      <c r="MTH248" s="11"/>
      <c r="MTI248" s="10"/>
      <c r="MTJ248" s="6"/>
      <c r="MTK248" s="7"/>
      <c r="MTL248" s="8"/>
      <c r="MTM248" s="9"/>
      <c r="MTN248" s="10"/>
      <c r="MTO248" s="11"/>
      <c r="MTP248" s="10"/>
      <c r="MTQ248" s="6"/>
      <c r="MTR248" s="7"/>
      <c r="MTS248" s="8"/>
      <c r="MTT248" s="9"/>
      <c r="MTU248" s="10"/>
      <c r="MTV248" s="11"/>
      <c r="MTW248" s="10"/>
      <c r="MTX248" s="6"/>
      <c r="MTY248" s="7"/>
      <c r="MTZ248" s="8"/>
      <c r="MUA248" s="9"/>
      <c r="MUB248" s="10"/>
      <c r="MUC248" s="11"/>
      <c r="MUD248" s="10"/>
      <c r="MUE248" s="6"/>
      <c r="MUF248" s="7"/>
      <c r="MUG248" s="8"/>
      <c r="MUH248" s="9"/>
      <c r="MUI248" s="10"/>
      <c r="MUJ248" s="11"/>
      <c r="MUK248" s="10"/>
      <c r="MUL248" s="6"/>
      <c r="MUM248" s="7"/>
      <c r="MUN248" s="8"/>
      <c r="MUO248" s="9"/>
      <c r="MUP248" s="10"/>
      <c r="MUQ248" s="11"/>
      <c r="MUR248" s="10"/>
      <c r="MUS248" s="6"/>
      <c r="MUT248" s="7"/>
      <c r="MUU248" s="8"/>
      <c r="MUV248" s="9"/>
      <c r="MUW248" s="10"/>
      <c r="MUX248" s="11"/>
      <c r="MUY248" s="10"/>
      <c r="MUZ248" s="6"/>
      <c r="MVA248" s="7"/>
      <c r="MVB248" s="8"/>
      <c r="MVC248" s="9"/>
      <c r="MVD248" s="10"/>
      <c r="MVE248" s="11"/>
      <c r="MVF248" s="10"/>
      <c r="MVG248" s="6"/>
      <c r="MVH248" s="7"/>
      <c r="MVI248" s="8"/>
      <c r="MVJ248" s="9"/>
      <c r="MVK248" s="10"/>
      <c r="MVL248" s="11"/>
      <c r="MVM248" s="10"/>
      <c r="MVN248" s="6"/>
      <c r="MVO248" s="7"/>
      <c r="MVP248" s="8"/>
      <c r="MVQ248" s="9"/>
      <c r="MVR248" s="10"/>
      <c r="MVS248" s="11"/>
      <c r="MVT248" s="10"/>
      <c r="MVU248" s="6"/>
      <c r="MVV248" s="7"/>
      <c r="MVW248" s="8"/>
      <c r="MVX248" s="9"/>
      <c r="MVY248" s="10"/>
      <c r="MVZ248" s="11"/>
      <c r="MWA248" s="10"/>
      <c r="MWB248" s="6"/>
      <c r="MWC248" s="7"/>
      <c r="MWD248" s="8"/>
      <c r="MWE248" s="9"/>
      <c r="MWF248" s="10"/>
      <c r="MWG248" s="11"/>
      <c r="MWH248" s="10"/>
      <c r="MWI248" s="6"/>
      <c r="MWJ248" s="7"/>
      <c r="MWK248" s="8"/>
      <c r="MWL248" s="9"/>
      <c r="MWM248" s="10"/>
      <c r="MWN248" s="11"/>
      <c r="MWO248" s="10"/>
      <c r="MWP248" s="6"/>
      <c r="MWQ248" s="7"/>
      <c r="MWR248" s="8"/>
      <c r="MWS248" s="9"/>
      <c r="MWT248" s="10"/>
      <c r="MWU248" s="11"/>
      <c r="MWV248" s="10"/>
      <c r="MWW248" s="6"/>
      <c r="MWX248" s="7"/>
      <c r="MWY248" s="8"/>
      <c r="MWZ248" s="9"/>
      <c r="MXA248" s="10"/>
      <c r="MXB248" s="11"/>
      <c r="MXC248" s="10"/>
      <c r="MXD248" s="6"/>
      <c r="MXE248" s="7"/>
      <c r="MXF248" s="8"/>
      <c r="MXG248" s="9"/>
      <c r="MXH248" s="10"/>
      <c r="MXI248" s="11"/>
      <c r="MXJ248" s="10"/>
      <c r="MXK248" s="6"/>
      <c r="MXL248" s="7"/>
      <c r="MXM248" s="8"/>
      <c r="MXN248" s="9"/>
      <c r="MXO248" s="10"/>
      <c r="MXP248" s="11"/>
      <c r="MXQ248" s="10"/>
      <c r="MXR248" s="6"/>
      <c r="MXS248" s="7"/>
      <c r="MXT248" s="8"/>
      <c r="MXU248" s="9"/>
      <c r="MXV248" s="10"/>
      <c r="MXW248" s="11"/>
      <c r="MXX248" s="10"/>
      <c r="MXY248" s="6"/>
      <c r="MXZ248" s="7"/>
      <c r="MYA248" s="8"/>
      <c r="MYB248" s="9"/>
      <c r="MYC248" s="10"/>
      <c r="MYD248" s="11"/>
      <c r="MYE248" s="10"/>
      <c r="MYF248" s="6"/>
      <c r="MYG248" s="7"/>
      <c r="MYH248" s="8"/>
      <c r="MYI248" s="9"/>
      <c r="MYJ248" s="10"/>
      <c r="MYK248" s="11"/>
      <c r="MYL248" s="10"/>
      <c r="MYM248" s="6"/>
      <c r="MYN248" s="7"/>
      <c r="MYO248" s="8"/>
      <c r="MYP248" s="9"/>
      <c r="MYQ248" s="10"/>
      <c r="MYR248" s="11"/>
      <c r="MYS248" s="10"/>
      <c r="MYT248" s="6"/>
      <c r="MYU248" s="7"/>
      <c r="MYV248" s="8"/>
      <c r="MYW248" s="9"/>
      <c r="MYX248" s="10"/>
      <c r="MYY248" s="11"/>
      <c r="MYZ248" s="10"/>
      <c r="MZA248" s="6"/>
      <c r="MZB248" s="7"/>
      <c r="MZC248" s="8"/>
      <c r="MZD248" s="9"/>
      <c r="MZE248" s="10"/>
      <c r="MZF248" s="11"/>
      <c r="MZG248" s="10"/>
      <c r="MZH248" s="6"/>
      <c r="MZI248" s="7"/>
      <c r="MZJ248" s="8"/>
      <c r="MZK248" s="9"/>
      <c r="MZL248" s="10"/>
      <c r="MZM248" s="11"/>
      <c r="MZN248" s="10"/>
      <c r="MZO248" s="6"/>
      <c r="MZP248" s="7"/>
      <c r="MZQ248" s="8"/>
      <c r="MZR248" s="9"/>
      <c r="MZS248" s="10"/>
      <c r="MZT248" s="11"/>
      <c r="MZU248" s="10"/>
      <c r="MZV248" s="6"/>
      <c r="MZW248" s="7"/>
      <c r="MZX248" s="8"/>
      <c r="MZY248" s="9"/>
      <c r="MZZ248" s="10"/>
      <c r="NAA248" s="11"/>
      <c r="NAB248" s="10"/>
      <c r="NAC248" s="6"/>
      <c r="NAD248" s="7"/>
      <c r="NAE248" s="8"/>
      <c r="NAF248" s="9"/>
      <c r="NAG248" s="10"/>
      <c r="NAH248" s="11"/>
      <c r="NAI248" s="10"/>
      <c r="NAJ248" s="6"/>
      <c r="NAK248" s="7"/>
      <c r="NAL248" s="8"/>
      <c r="NAM248" s="9"/>
      <c r="NAN248" s="10"/>
      <c r="NAO248" s="11"/>
      <c r="NAP248" s="10"/>
      <c r="NAQ248" s="6"/>
      <c r="NAR248" s="7"/>
      <c r="NAS248" s="8"/>
      <c r="NAT248" s="9"/>
      <c r="NAU248" s="10"/>
      <c r="NAV248" s="11"/>
      <c r="NAW248" s="10"/>
      <c r="NAX248" s="6"/>
      <c r="NAY248" s="7"/>
      <c r="NAZ248" s="8"/>
      <c r="NBA248" s="9"/>
      <c r="NBB248" s="10"/>
      <c r="NBC248" s="11"/>
      <c r="NBD248" s="10"/>
      <c r="NBE248" s="6"/>
      <c r="NBF248" s="7"/>
      <c r="NBG248" s="8"/>
      <c r="NBH248" s="9"/>
      <c r="NBI248" s="10"/>
      <c r="NBJ248" s="11"/>
      <c r="NBK248" s="10"/>
      <c r="NBL248" s="6"/>
      <c r="NBM248" s="7"/>
      <c r="NBN248" s="8"/>
      <c r="NBO248" s="9"/>
      <c r="NBP248" s="10"/>
      <c r="NBQ248" s="11"/>
      <c r="NBR248" s="10"/>
      <c r="NBS248" s="6"/>
      <c r="NBT248" s="7"/>
      <c r="NBU248" s="8"/>
      <c r="NBV248" s="9"/>
      <c r="NBW248" s="10"/>
      <c r="NBX248" s="11"/>
      <c r="NBY248" s="10"/>
      <c r="NBZ248" s="6"/>
      <c r="NCA248" s="7"/>
      <c r="NCB248" s="8"/>
      <c r="NCC248" s="9"/>
      <c r="NCD248" s="10"/>
      <c r="NCE248" s="11"/>
      <c r="NCF248" s="10"/>
      <c r="NCG248" s="6"/>
      <c r="NCH248" s="7"/>
      <c r="NCI248" s="8"/>
      <c r="NCJ248" s="9"/>
      <c r="NCK248" s="10"/>
      <c r="NCL248" s="11"/>
      <c r="NCM248" s="10"/>
      <c r="NCN248" s="6"/>
      <c r="NCO248" s="7"/>
      <c r="NCP248" s="8"/>
      <c r="NCQ248" s="9"/>
      <c r="NCR248" s="10"/>
      <c r="NCS248" s="11"/>
      <c r="NCT248" s="10"/>
      <c r="NCU248" s="6"/>
      <c r="NCV248" s="7"/>
      <c r="NCW248" s="8"/>
      <c r="NCX248" s="9"/>
      <c r="NCY248" s="10"/>
      <c r="NCZ248" s="11"/>
      <c r="NDA248" s="10"/>
      <c r="NDB248" s="6"/>
      <c r="NDC248" s="7"/>
      <c r="NDD248" s="8"/>
      <c r="NDE248" s="9"/>
      <c r="NDF248" s="10"/>
      <c r="NDG248" s="11"/>
      <c r="NDH248" s="10"/>
      <c r="NDI248" s="6"/>
      <c r="NDJ248" s="7"/>
      <c r="NDK248" s="8"/>
      <c r="NDL248" s="9"/>
      <c r="NDM248" s="10"/>
      <c r="NDN248" s="11"/>
      <c r="NDO248" s="10"/>
      <c r="NDP248" s="6"/>
      <c r="NDQ248" s="7"/>
      <c r="NDR248" s="8"/>
      <c r="NDS248" s="9"/>
      <c r="NDT248" s="10"/>
      <c r="NDU248" s="11"/>
      <c r="NDV248" s="10"/>
      <c r="NDW248" s="6"/>
      <c r="NDX248" s="7"/>
      <c r="NDY248" s="8"/>
      <c r="NDZ248" s="9"/>
      <c r="NEA248" s="10"/>
      <c r="NEB248" s="11"/>
      <c r="NEC248" s="10"/>
      <c r="NED248" s="6"/>
      <c r="NEE248" s="7"/>
      <c r="NEF248" s="8"/>
      <c r="NEG248" s="9"/>
      <c r="NEH248" s="10"/>
      <c r="NEI248" s="11"/>
      <c r="NEJ248" s="10"/>
      <c r="NEK248" s="6"/>
      <c r="NEL248" s="7"/>
      <c r="NEM248" s="8"/>
      <c r="NEN248" s="9"/>
      <c r="NEO248" s="10"/>
      <c r="NEP248" s="11"/>
      <c r="NEQ248" s="10"/>
      <c r="NER248" s="6"/>
      <c r="NES248" s="7"/>
      <c r="NET248" s="8"/>
      <c r="NEU248" s="9"/>
      <c r="NEV248" s="10"/>
      <c r="NEW248" s="11"/>
      <c r="NEX248" s="10"/>
      <c r="NEY248" s="6"/>
      <c r="NEZ248" s="7"/>
      <c r="NFA248" s="8"/>
      <c r="NFB248" s="9"/>
      <c r="NFC248" s="10"/>
      <c r="NFD248" s="11"/>
      <c r="NFE248" s="10"/>
      <c r="NFF248" s="6"/>
      <c r="NFG248" s="7"/>
      <c r="NFH248" s="8"/>
      <c r="NFI248" s="9"/>
      <c r="NFJ248" s="10"/>
      <c r="NFK248" s="11"/>
      <c r="NFL248" s="10"/>
      <c r="NFM248" s="6"/>
      <c r="NFN248" s="7"/>
      <c r="NFO248" s="8"/>
      <c r="NFP248" s="9"/>
      <c r="NFQ248" s="10"/>
      <c r="NFR248" s="11"/>
      <c r="NFS248" s="10"/>
      <c r="NFT248" s="6"/>
      <c r="NFU248" s="7"/>
      <c r="NFV248" s="8"/>
      <c r="NFW248" s="9"/>
      <c r="NFX248" s="10"/>
      <c r="NFY248" s="11"/>
      <c r="NFZ248" s="10"/>
      <c r="NGA248" s="6"/>
      <c r="NGB248" s="7"/>
      <c r="NGC248" s="8"/>
      <c r="NGD248" s="9"/>
      <c r="NGE248" s="10"/>
      <c r="NGF248" s="11"/>
      <c r="NGG248" s="10"/>
      <c r="NGH248" s="6"/>
      <c r="NGI248" s="7"/>
      <c r="NGJ248" s="8"/>
      <c r="NGK248" s="9"/>
      <c r="NGL248" s="10"/>
      <c r="NGM248" s="11"/>
      <c r="NGN248" s="10"/>
      <c r="NGO248" s="6"/>
      <c r="NGP248" s="7"/>
      <c r="NGQ248" s="8"/>
      <c r="NGR248" s="9"/>
      <c r="NGS248" s="10"/>
      <c r="NGT248" s="11"/>
      <c r="NGU248" s="10"/>
      <c r="NGV248" s="6"/>
      <c r="NGW248" s="7"/>
      <c r="NGX248" s="8"/>
      <c r="NGY248" s="9"/>
      <c r="NGZ248" s="10"/>
      <c r="NHA248" s="11"/>
      <c r="NHB248" s="10"/>
      <c r="NHC248" s="6"/>
      <c r="NHD248" s="7"/>
      <c r="NHE248" s="8"/>
      <c r="NHF248" s="9"/>
      <c r="NHG248" s="10"/>
      <c r="NHH248" s="11"/>
      <c r="NHI248" s="10"/>
      <c r="NHJ248" s="6"/>
      <c r="NHK248" s="7"/>
      <c r="NHL248" s="8"/>
      <c r="NHM248" s="9"/>
      <c r="NHN248" s="10"/>
      <c r="NHO248" s="11"/>
      <c r="NHP248" s="10"/>
      <c r="NHQ248" s="6"/>
      <c r="NHR248" s="7"/>
      <c r="NHS248" s="8"/>
      <c r="NHT248" s="9"/>
      <c r="NHU248" s="10"/>
      <c r="NHV248" s="11"/>
      <c r="NHW248" s="10"/>
      <c r="NHX248" s="6"/>
      <c r="NHY248" s="7"/>
      <c r="NHZ248" s="8"/>
      <c r="NIA248" s="9"/>
      <c r="NIB248" s="10"/>
      <c r="NIC248" s="11"/>
      <c r="NID248" s="10"/>
      <c r="NIE248" s="6"/>
      <c r="NIF248" s="7"/>
      <c r="NIG248" s="8"/>
      <c r="NIH248" s="9"/>
      <c r="NII248" s="10"/>
      <c r="NIJ248" s="11"/>
      <c r="NIK248" s="10"/>
      <c r="NIL248" s="6"/>
      <c r="NIM248" s="7"/>
      <c r="NIN248" s="8"/>
      <c r="NIO248" s="9"/>
      <c r="NIP248" s="10"/>
      <c r="NIQ248" s="11"/>
      <c r="NIR248" s="10"/>
      <c r="NIS248" s="6"/>
      <c r="NIT248" s="7"/>
      <c r="NIU248" s="8"/>
      <c r="NIV248" s="9"/>
      <c r="NIW248" s="10"/>
      <c r="NIX248" s="11"/>
      <c r="NIY248" s="10"/>
      <c r="NIZ248" s="6"/>
      <c r="NJA248" s="7"/>
      <c r="NJB248" s="8"/>
      <c r="NJC248" s="9"/>
      <c r="NJD248" s="10"/>
      <c r="NJE248" s="11"/>
      <c r="NJF248" s="10"/>
      <c r="NJG248" s="6"/>
      <c r="NJH248" s="7"/>
      <c r="NJI248" s="8"/>
      <c r="NJJ248" s="9"/>
      <c r="NJK248" s="10"/>
      <c r="NJL248" s="11"/>
      <c r="NJM248" s="10"/>
      <c r="NJN248" s="6"/>
      <c r="NJO248" s="7"/>
      <c r="NJP248" s="8"/>
      <c r="NJQ248" s="9"/>
      <c r="NJR248" s="10"/>
      <c r="NJS248" s="11"/>
      <c r="NJT248" s="10"/>
      <c r="NJU248" s="6"/>
      <c r="NJV248" s="7"/>
      <c r="NJW248" s="8"/>
      <c r="NJX248" s="9"/>
      <c r="NJY248" s="10"/>
      <c r="NJZ248" s="11"/>
      <c r="NKA248" s="10"/>
      <c r="NKB248" s="6"/>
      <c r="NKC248" s="7"/>
      <c r="NKD248" s="8"/>
      <c r="NKE248" s="9"/>
      <c r="NKF248" s="10"/>
      <c r="NKG248" s="11"/>
      <c r="NKH248" s="10"/>
      <c r="NKI248" s="6"/>
      <c r="NKJ248" s="7"/>
      <c r="NKK248" s="8"/>
      <c r="NKL248" s="9"/>
      <c r="NKM248" s="10"/>
      <c r="NKN248" s="11"/>
      <c r="NKO248" s="10"/>
      <c r="NKP248" s="6"/>
      <c r="NKQ248" s="7"/>
      <c r="NKR248" s="8"/>
      <c r="NKS248" s="9"/>
      <c r="NKT248" s="10"/>
      <c r="NKU248" s="11"/>
      <c r="NKV248" s="10"/>
      <c r="NKW248" s="6"/>
      <c r="NKX248" s="7"/>
      <c r="NKY248" s="8"/>
      <c r="NKZ248" s="9"/>
      <c r="NLA248" s="10"/>
      <c r="NLB248" s="11"/>
      <c r="NLC248" s="10"/>
      <c r="NLD248" s="6"/>
      <c r="NLE248" s="7"/>
      <c r="NLF248" s="8"/>
      <c r="NLG248" s="9"/>
      <c r="NLH248" s="10"/>
      <c r="NLI248" s="11"/>
      <c r="NLJ248" s="10"/>
      <c r="NLK248" s="6"/>
      <c r="NLL248" s="7"/>
      <c r="NLM248" s="8"/>
      <c r="NLN248" s="9"/>
      <c r="NLO248" s="10"/>
      <c r="NLP248" s="11"/>
      <c r="NLQ248" s="10"/>
      <c r="NLR248" s="6"/>
      <c r="NLS248" s="7"/>
      <c r="NLT248" s="8"/>
      <c r="NLU248" s="9"/>
      <c r="NLV248" s="10"/>
      <c r="NLW248" s="11"/>
      <c r="NLX248" s="10"/>
      <c r="NLY248" s="6"/>
      <c r="NLZ248" s="7"/>
      <c r="NMA248" s="8"/>
      <c r="NMB248" s="9"/>
      <c r="NMC248" s="10"/>
      <c r="NMD248" s="11"/>
      <c r="NME248" s="10"/>
      <c r="NMF248" s="6"/>
      <c r="NMG248" s="7"/>
      <c r="NMH248" s="8"/>
      <c r="NMI248" s="9"/>
      <c r="NMJ248" s="10"/>
      <c r="NMK248" s="11"/>
      <c r="NML248" s="10"/>
      <c r="NMM248" s="6"/>
      <c r="NMN248" s="7"/>
      <c r="NMO248" s="8"/>
      <c r="NMP248" s="9"/>
      <c r="NMQ248" s="10"/>
      <c r="NMR248" s="11"/>
      <c r="NMS248" s="10"/>
      <c r="NMT248" s="6"/>
      <c r="NMU248" s="7"/>
      <c r="NMV248" s="8"/>
      <c r="NMW248" s="9"/>
      <c r="NMX248" s="10"/>
      <c r="NMY248" s="11"/>
      <c r="NMZ248" s="10"/>
      <c r="NNA248" s="6"/>
      <c r="NNB248" s="7"/>
      <c r="NNC248" s="8"/>
      <c r="NND248" s="9"/>
      <c r="NNE248" s="10"/>
      <c r="NNF248" s="11"/>
      <c r="NNG248" s="10"/>
      <c r="NNH248" s="6"/>
      <c r="NNI248" s="7"/>
      <c r="NNJ248" s="8"/>
      <c r="NNK248" s="9"/>
      <c r="NNL248" s="10"/>
      <c r="NNM248" s="11"/>
      <c r="NNN248" s="10"/>
      <c r="NNO248" s="6"/>
      <c r="NNP248" s="7"/>
      <c r="NNQ248" s="8"/>
      <c r="NNR248" s="9"/>
      <c r="NNS248" s="10"/>
      <c r="NNT248" s="11"/>
      <c r="NNU248" s="10"/>
      <c r="NNV248" s="6"/>
      <c r="NNW248" s="7"/>
      <c r="NNX248" s="8"/>
      <c r="NNY248" s="9"/>
      <c r="NNZ248" s="10"/>
      <c r="NOA248" s="11"/>
      <c r="NOB248" s="10"/>
      <c r="NOC248" s="6"/>
      <c r="NOD248" s="7"/>
      <c r="NOE248" s="8"/>
      <c r="NOF248" s="9"/>
      <c r="NOG248" s="10"/>
      <c r="NOH248" s="11"/>
      <c r="NOI248" s="10"/>
      <c r="NOJ248" s="6"/>
      <c r="NOK248" s="7"/>
      <c r="NOL248" s="8"/>
      <c r="NOM248" s="9"/>
      <c r="NON248" s="10"/>
      <c r="NOO248" s="11"/>
      <c r="NOP248" s="10"/>
      <c r="NOQ248" s="6"/>
      <c r="NOR248" s="7"/>
      <c r="NOS248" s="8"/>
      <c r="NOT248" s="9"/>
      <c r="NOU248" s="10"/>
      <c r="NOV248" s="11"/>
      <c r="NOW248" s="10"/>
      <c r="NOX248" s="6"/>
      <c r="NOY248" s="7"/>
      <c r="NOZ248" s="8"/>
      <c r="NPA248" s="9"/>
      <c r="NPB248" s="10"/>
      <c r="NPC248" s="11"/>
      <c r="NPD248" s="10"/>
      <c r="NPE248" s="6"/>
      <c r="NPF248" s="7"/>
      <c r="NPG248" s="8"/>
      <c r="NPH248" s="9"/>
      <c r="NPI248" s="10"/>
      <c r="NPJ248" s="11"/>
      <c r="NPK248" s="10"/>
      <c r="NPL248" s="6"/>
      <c r="NPM248" s="7"/>
      <c r="NPN248" s="8"/>
      <c r="NPO248" s="9"/>
      <c r="NPP248" s="10"/>
      <c r="NPQ248" s="11"/>
      <c r="NPR248" s="10"/>
      <c r="NPS248" s="6"/>
      <c r="NPT248" s="7"/>
      <c r="NPU248" s="8"/>
      <c r="NPV248" s="9"/>
      <c r="NPW248" s="10"/>
      <c r="NPX248" s="11"/>
      <c r="NPY248" s="10"/>
      <c r="NPZ248" s="6"/>
      <c r="NQA248" s="7"/>
      <c r="NQB248" s="8"/>
      <c r="NQC248" s="9"/>
      <c r="NQD248" s="10"/>
      <c r="NQE248" s="11"/>
      <c r="NQF248" s="10"/>
      <c r="NQG248" s="6"/>
      <c r="NQH248" s="7"/>
      <c r="NQI248" s="8"/>
      <c r="NQJ248" s="9"/>
      <c r="NQK248" s="10"/>
      <c r="NQL248" s="11"/>
      <c r="NQM248" s="10"/>
      <c r="NQN248" s="6"/>
      <c r="NQO248" s="7"/>
      <c r="NQP248" s="8"/>
      <c r="NQQ248" s="9"/>
      <c r="NQR248" s="10"/>
      <c r="NQS248" s="11"/>
      <c r="NQT248" s="10"/>
      <c r="NQU248" s="6"/>
      <c r="NQV248" s="7"/>
      <c r="NQW248" s="8"/>
      <c r="NQX248" s="9"/>
      <c r="NQY248" s="10"/>
      <c r="NQZ248" s="11"/>
      <c r="NRA248" s="10"/>
      <c r="NRB248" s="6"/>
      <c r="NRC248" s="7"/>
      <c r="NRD248" s="8"/>
      <c r="NRE248" s="9"/>
      <c r="NRF248" s="10"/>
      <c r="NRG248" s="11"/>
      <c r="NRH248" s="10"/>
      <c r="NRI248" s="6"/>
      <c r="NRJ248" s="7"/>
      <c r="NRK248" s="8"/>
      <c r="NRL248" s="9"/>
      <c r="NRM248" s="10"/>
      <c r="NRN248" s="11"/>
      <c r="NRO248" s="10"/>
      <c r="NRP248" s="6"/>
      <c r="NRQ248" s="7"/>
      <c r="NRR248" s="8"/>
      <c r="NRS248" s="9"/>
      <c r="NRT248" s="10"/>
      <c r="NRU248" s="11"/>
      <c r="NRV248" s="10"/>
      <c r="NRW248" s="6"/>
      <c r="NRX248" s="7"/>
      <c r="NRY248" s="8"/>
      <c r="NRZ248" s="9"/>
      <c r="NSA248" s="10"/>
      <c r="NSB248" s="11"/>
      <c r="NSC248" s="10"/>
      <c r="NSD248" s="6"/>
      <c r="NSE248" s="7"/>
      <c r="NSF248" s="8"/>
      <c r="NSG248" s="9"/>
      <c r="NSH248" s="10"/>
      <c r="NSI248" s="11"/>
      <c r="NSJ248" s="10"/>
      <c r="NSK248" s="6"/>
      <c r="NSL248" s="7"/>
      <c r="NSM248" s="8"/>
      <c r="NSN248" s="9"/>
      <c r="NSO248" s="10"/>
      <c r="NSP248" s="11"/>
      <c r="NSQ248" s="10"/>
      <c r="NSR248" s="6"/>
      <c r="NSS248" s="7"/>
      <c r="NST248" s="8"/>
      <c r="NSU248" s="9"/>
      <c r="NSV248" s="10"/>
      <c r="NSW248" s="11"/>
      <c r="NSX248" s="10"/>
      <c r="NSY248" s="6"/>
      <c r="NSZ248" s="7"/>
      <c r="NTA248" s="8"/>
      <c r="NTB248" s="9"/>
      <c r="NTC248" s="10"/>
      <c r="NTD248" s="11"/>
      <c r="NTE248" s="10"/>
      <c r="NTF248" s="6"/>
      <c r="NTG248" s="7"/>
      <c r="NTH248" s="8"/>
      <c r="NTI248" s="9"/>
      <c r="NTJ248" s="10"/>
      <c r="NTK248" s="11"/>
      <c r="NTL248" s="10"/>
      <c r="NTM248" s="6"/>
      <c r="NTN248" s="7"/>
      <c r="NTO248" s="8"/>
      <c r="NTP248" s="9"/>
      <c r="NTQ248" s="10"/>
      <c r="NTR248" s="11"/>
      <c r="NTS248" s="10"/>
      <c r="NTT248" s="6"/>
      <c r="NTU248" s="7"/>
      <c r="NTV248" s="8"/>
      <c r="NTW248" s="9"/>
      <c r="NTX248" s="10"/>
      <c r="NTY248" s="11"/>
      <c r="NTZ248" s="10"/>
      <c r="NUA248" s="6"/>
      <c r="NUB248" s="7"/>
      <c r="NUC248" s="8"/>
      <c r="NUD248" s="9"/>
      <c r="NUE248" s="10"/>
      <c r="NUF248" s="11"/>
      <c r="NUG248" s="10"/>
      <c r="NUH248" s="6"/>
      <c r="NUI248" s="7"/>
      <c r="NUJ248" s="8"/>
      <c r="NUK248" s="9"/>
      <c r="NUL248" s="10"/>
      <c r="NUM248" s="11"/>
      <c r="NUN248" s="10"/>
      <c r="NUO248" s="6"/>
      <c r="NUP248" s="7"/>
      <c r="NUQ248" s="8"/>
      <c r="NUR248" s="9"/>
      <c r="NUS248" s="10"/>
      <c r="NUT248" s="11"/>
      <c r="NUU248" s="10"/>
      <c r="NUV248" s="6"/>
      <c r="NUW248" s="7"/>
      <c r="NUX248" s="8"/>
      <c r="NUY248" s="9"/>
      <c r="NUZ248" s="10"/>
      <c r="NVA248" s="11"/>
      <c r="NVB248" s="10"/>
      <c r="NVC248" s="6"/>
      <c r="NVD248" s="7"/>
      <c r="NVE248" s="8"/>
      <c r="NVF248" s="9"/>
      <c r="NVG248" s="10"/>
      <c r="NVH248" s="11"/>
      <c r="NVI248" s="10"/>
      <c r="NVJ248" s="6"/>
      <c r="NVK248" s="7"/>
      <c r="NVL248" s="8"/>
      <c r="NVM248" s="9"/>
      <c r="NVN248" s="10"/>
      <c r="NVO248" s="11"/>
      <c r="NVP248" s="10"/>
      <c r="NVQ248" s="6"/>
      <c r="NVR248" s="7"/>
      <c r="NVS248" s="8"/>
      <c r="NVT248" s="9"/>
      <c r="NVU248" s="10"/>
      <c r="NVV248" s="11"/>
      <c r="NVW248" s="10"/>
      <c r="NVX248" s="6"/>
      <c r="NVY248" s="7"/>
      <c r="NVZ248" s="8"/>
      <c r="NWA248" s="9"/>
      <c r="NWB248" s="10"/>
      <c r="NWC248" s="11"/>
      <c r="NWD248" s="10"/>
      <c r="NWE248" s="6"/>
      <c r="NWF248" s="7"/>
      <c r="NWG248" s="8"/>
      <c r="NWH248" s="9"/>
      <c r="NWI248" s="10"/>
      <c r="NWJ248" s="11"/>
      <c r="NWK248" s="10"/>
      <c r="NWL248" s="6"/>
      <c r="NWM248" s="7"/>
      <c r="NWN248" s="8"/>
      <c r="NWO248" s="9"/>
      <c r="NWP248" s="10"/>
      <c r="NWQ248" s="11"/>
      <c r="NWR248" s="10"/>
      <c r="NWS248" s="6"/>
      <c r="NWT248" s="7"/>
      <c r="NWU248" s="8"/>
      <c r="NWV248" s="9"/>
      <c r="NWW248" s="10"/>
      <c r="NWX248" s="11"/>
      <c r="NWY248" s="10"/>
      <c r="NWZ248" s="6"/>
      <c r="NXA248" s="7"/>
      <c r="NXB248" s="8"/>
      <c r="NXC248" s="9"/>
      <c r="NXD248" s="10"/>
      <c r="NXE248" s="11"/>
      <c r="NXF248" s="10"/>
      <c r="NXG248" s="6"/>
      <c r="NXH248" s="7"/>
      <c r="NXI248" s="8"/>
      <c r="NXJ248" s="9"/>
      <c r="NXK248" s="10"/>
      <c r="NXL248" s="11"/>
      <c r="NXM248" s="10"/>
      <c r="NXN248" s="6"/>
      <c r="NXO248" s="7"/>
      <c r="NXP248" s="8"/>
      <c r="NXQ248" s="9"/>
      <c r="NXR248" s="10"/>
      <c r="NXS248" s="11"/>
      <c r="NXT248" s="10"/>
      <c r="NXU248" s="6"/>
      <c r="NXV248" s="7"/>
      <c r="NXW248" s="8"/>
      <c r="NXX248" s="9"/>
      <c r="NXY248" s="10"/>
      <c r="NXZ248" s="11"/>
      <c r="NYA248" s="10"/>
      <c r="NYB248" s="6"/>
      <c r="NYC248" s="7"/>
      <c r="NYD248" s="8"/>
      <c r="NYE248" s="9"/>
      <c r="NYF248" s="10"/>
      <c r="NYG248" s="11"/>
      <c r="NYH248" s="10"/>
      <c r="NYI248" s="6"/>
      <c r="NYJ248" s="7"/>
      <c r="NYK248" s="8"/>
      <c r="NYL248" s="9"/>
      <c r="NYM248" s="10"/>
      <c r="NYN248" s="11"/>
      <c r="NYO248" s="10"/>
      <c r="NYP248" s="6"/>
      <c r="NYQ248" s="7"/>
      <c r="NYR248" s="8"/>
      <c r="NYS248" s="9"/>
      <c r="NYT248" s="10"/>
      <c r="NYU248" s="11"/>
      <c r="NYV248" s="10"/>
      <c r="NYW248" s="6"/>
      <c r="NYX248" s="7"/>
      <c r="NYY248" s="8"/>
      <c r="NYZ248" s="9"/>
      <c r="NZA248" s="10"/>
      <c r="NZB248" s="11"/>
      <c r="NZC248" s="10"/>
      <c r="NZD248" s="6"/>
      <c r="NZE248" s="7"/>
      <c r="NZF248" s="8"/>
      <c r="NZG248" s="9"/>
      <c r="NZH248" s="10"/>
      <c r="NZI248" s="11"/>
      <c r="NZJ248" s="10"/>
      <c r="NZK248" s="6"/>
      <c r="NZL248" s="7"/>
      <c r="NZM248" s="8"/>
      <c r="NZN248" s="9"/>
      <c r="NZO248" s="10"/>
      <c r="NZP248" s="11"/>
      <c r="NZQ248" s="10"/>
      <c r="NZR248" s="6"/>
      <c r="NZS248" s="7"/>
      <c r="NZT248" s="8"/>
      <c r="NZU248" s="9"/>
      <c r="NZV248" s="10"/>
      <c r="NZW248" s="11"/>
      <c r="NZX248" s="10"/>
      <c r="NZY248" s="6"/>
      <c r="NZZ248" s="7"/>
      <c r="OAA248" s="8"/>
      <c r="OAB248" s="9"/>
      <c r="OAC248" s="10"/>
      <c r="OAD248" s="11"/>
      <c r="OAE248" s="10"/>
      <c r="OAF248" s="6"/>
      <c r="OAG248" s="7"/>
      <c r="OAH248" s="8"/>
      <c r="OAI248" s="9"/>
      <c r="OAJ248" s="10"/>
      <c r="OAK248" s="11"/>
      <c r="OAL248" s="10"/>
      <c r="OAM248" s="6"/>
      <c r="OAN248" s="7"/>
      <c r="OAO248" s="8"/>
      <c r="OAP248" s="9"/>
      <c r="OAQ248" s="10"/>
      <c r="OAR248" s="11"/>
      <c r="OAS248" s="10"/>
      <c r="OAT248" s="6"/>
      <c r="OAU248" s="7"/>
      <c r="OAV248" s="8"/>
      <c r="OAW248" s="9"/>
      <c r="OAX248" s="10"/>
      <c r="OAY248" s="11"/>
      <c r="OAZ248" s="10"/>
      <c r="OBA248" s="6"/>
      <c r="OBB248" s="7"/>
      <c r="OBC248" s="8"/>
      <c r="OBD248" s="9"/>
      <c r="OBE248" s="10"/>
      <c r="OBF248" s="11"/>
      <c r="OBG248" s="10"/>
      <c r="OBH248" s="6"/>
      <c r="OBI248" s="7"/>
      <c r="OBJ248" s="8"/>
      <c r="OBK248" s="9"/>
      <c r="OBL248" s="10"/>
      <c r="OBM248" s="11"/>
      <c r="OBN248" s="10"/>
      <c r="OBO248" s="6"/>
      <c r="OBP248" s="7"/>
      <c r="OBQ248" s="8"/>
      <c r="OBR248" s="9"/>
      <c r="OBS248" s="10"/>
      <c r="OBT248" s="11"/>
      <c r="OBU248" s="10"/>
      <c r="OBV248" s="6"/>
      <c r="OBW248" s="7"/>
      <c r="OBX248" s="8"/>
      <c r="OBY248" s="9"/>
      <c r="OBZ248" s="10"/>
      <c r="OCA248" s="11"/>
      <c r="OCB248" s="10"/>
      <c r="OCC248" s="6"/>
      <c r="OCD248" s="7"/>
      <c r="OCE248" s="8"/>
      <c r="OCF248" s="9"/>
      <c r="OCG248" s="10"/>
      <c r="OCH248" s="11"/>
      <c r="OCI248" s="10"/>
      <c r="OCJ248" s="6"/>
      <c r="OCK248" s="7"/>
      <c r="OCL248" s="8"/>
      <c r="OCM248" s="9"/>
      <c r="OCN248" s="10"/>
      <c r="OCO248" s="11"/>
      <c r="OCP248" s="10"/>
      <c r="OCQ248" s="6"/>
      <c r="OCR248" s="7"/>
      <c r="OCS248" s="8"/>
      <c r="OCT248" s="9"/>
      <c r="OCU248" s="10"/>
      <c r="OCV248" s="11"/>
      <c r="OCW248" s="10"/>
      <c r="OCX248" s="6"/>
      <c r="OCY248" s="7"/>
      <c r="OCZ248" s="8"/>
      <c r="ODA248" s="9"/>
      <c r="ODB248" s="10"/>
      <c r="ODC248" s="11"/>
      <c r="ODD248" s="10"/>
      <c r="ODE248" s="6"/>
      <c r="ODF248" s="7"/>
      <c r="ODG248" s="8"/>
      <c r="ODH248" s="9"/>
      <c r="ODI248" s="10"/>
      <c r="ODJ248" s="11"/>
      <c r="ODK248" s="10"/>
      <c r="ODL248" s="6"/>
      <c r="ODM248" s="7"/>
      <c r="ODN248" s="8"/>
      <c r="ODO248" s="9"/>
      <c r="ODP248" s="10"/>
      <c r="ODQ248" s="11"/>
      <c r="ODR248" s="10"/>
      <c r="ODS248" s="6"/>
      <c r="ODT248" s="7"/>
      <c r="ODU248" s="8"/>
      <c r="ODV248" s="9"/>
      <c r="ODW248" s="10"/>
      <c r="ODX248" s="11"/>
      <c r="ODY248" s="10"/>
      <c r="ODZ248" s="6"/>
      <c r="OEA248" s="7"/>
      <c r="OEB248" s="8"/>
      <c r="OEC248" s="9"/>
      <c r="OED248" s="10"/>
      <c r="OEE248" s="11"/>
      <c r="OEF248" s="10"/>
      <c r="OEG248" s="6"/>
      <c r="OEH248" s="7"/>
      <c r="OEI248" s="8"/>
      <c r="OEJ248" s="9"/>
      <c r="OEK248" s="10"/>
      <c r="OEL248" s="11"/>
      <c r="OEM248" s="10"/>
      <c r="OEN248" s="6"/>
      <c r="OEO248" s="7"/>
      <c r="OEP248" s="8"/>
      <c r="OEQ248" s="9"/>
      <c r="OER248" s="10"/>
      <c r="OES248" s="11"/>
      <c r="OET248" s="10"/>
      <c r="OEU248" s="6"/>
      <c r="OEV248" s="7"/>
      <c r="OEW248" s="8"/>
      <c r="OEX248" s="9"/>
      <c r="OEY248" s="10"/>
      <c r="OEZ248" s="11"/>
      <c r="OFA248" s="10"/>
      <c r="OFB248" s="6"/>
      <c r="OFC248" s="7"/>
      <c r="OFD248" s="8"/>
      <c r="OFE248" s="9"/>
      <c r="OFF248" s="10"/>
      <c r="OFG248" s="11"/>
      <c r="OFH248" s="10"/>
      <c r="OFI248" s="6"/>
      <c r="OFJ248" s="7"/>
      <c r="OFK248" s="8"/>
      <c r="OFL248" s="9"/>
      <c r="OFM248" s="10"/>
      <c r="OFN248" s="11"/>
      <c r="OFO248" s="10"/>
      <c r="OFP248" s="6"/>
      <c r="OFQ248" s="7"/>
      <c r="OFR248" s="8"/>
      <c r="OFS248" s="9"/>
      <c r="OFT248" s="10"/>
      <c r="OFU248" s="11"/>
      <c r="OFV248" s="10"/>
      <c r="OFW248" s="6"/>
      <c r="OFX248" s="7"/>
      <c r="OFY248" s="8"/>
      <c r="OFZ248" s="9"/>
      <c r="OGA248" s="10"/>
      <c r="OGB248" s="11"/>
      <c r="OGC248" s="10"/>
      <c r="OGD248" s="6"/>
      <c r="OGE248" s="7"/>
      <c r="OGF248" s="8"/>
      <c r="OGG248" s="9"/>
      <c r="OGH248" s="10"/>
      <c r="OGI248" s="11"/>
      <c r="OGJ248" s="10"/>
      <c r="OGK248" s="6"/>
      <c r="OGL248" s="7"/>
      <c r="OGM248" s="8"/>
      <c r="OGN248" s="9"/>
      <c r="OGO248" s="10"/>
      <c r="OGP248" s="11"/>
      <c r="OGQ248" s="10"/>
      <c r="OGR248" s="6"/>
      <c r="OGS248" s="7"/>
      <c r="OGT248" s="8"/>
      <c r="OGU248" s="9"/>
      <c r="OGV248" s="10"/>
      <c r="OGW248" s="11"/>
      <c r="OGX248" s="10"/>
      <c r="OGY248" s="6"/>
      <c r="OGZ248" s="7"/>
      <c r="OHA248" s="8"/>
      <c r="OHB248" s="9"/>
      <c r="OHC248" s="10"/>
      <c r="OHD248" s="11"/>
      <c r="OHE248" s="10"/>
      <c r="OHF248" s="6"/>
      <c r="OHG248" s="7"/>
      <c r="OHH248" s="8"/>
      <c r="OHI248" s="9"/>
      <c r="OHJ248" s="10"/>
      <c r="OHK248" s="11"/>
      <c r="OHL248" s="10"/>
      <c r="OHM248" s="6"/>
      <c r="OHN248" s="7"/>
      <c r="OHO248" s="8"/>
      <c r="OHP248" s="9"/>
      <c r="OHQ248" s="10"/>
      <c r="OHR248" s="11"/>
      <c r="OHS248" s="10"/>
      <c r="OHT248" s="6"/>
      <c r="OHU248" s="7"/>
      <c r="OHV248" s="8"/>
      <c r="OHW248" s="9"/>
      <c r="OHX248" s="10"/>
      <c r="OHY248" s="11"/>
      <c r="OHZ248" s="10"/>
      <c r="OIA248" s="6"/>
      <c r="OIB248" s="7"/>
      <c r="OIC248" s="8"/>
      <c r="OID248" s="9"/>
      <c r="OIE248" s="10"/>
      <c r="OIF248" s="11"/>
      <c r="OIG248" s="10"/>
      <c r="OIH248" s="6"/>
      <c r="OII248" s="7"/>
      <c r="OIJ248" s="8"/>
      <c r="OIK248" s="9"/>
      <c r="OIL248" s="10"/>
      <c r="OIM248" s="11"/>
      <c r="OIN248" s="10"/>
      <c r="OIO248" s="6"/>
      <c r="OIP248" s="7"/>
      <c r="OIQ248" s="8"/>
      <c r="OIR248" s="9"/>
      <c r="OIS248" s="10"/>
      <c r="OIT248" s="11"/>
      <c r="OIU248" s="10"/>
      <c r="OIV248" s="6"/>
      <c r="OIW248" s="7"/>
      <c r="OIX248" s="8"/>
      <c r="OIY248" s="9"/>
      <c r="OIZ248" s="10"/>
      <c r="OJA248" s="11"/>
      <c r="OJB248" s="10"/>
      <c r="OJC248" s="6"/>
      <c r="OJD248" s="7"/>
      <c r="OJE248" s="8"/>
      <c r="OJF248" s="9"/>
      <c r="OJG248" s="10"/>
      <c r="OJH248" s="11"/>
      <c r="OJI248" s="10"/>
      <c r="OJJ248" s="6"/>
      <c r="OJK248" s="7"/>
      <c r="OJL248" s="8"/>
      <c r="OJM248" s="9"/>
      <c r="OJN248" s="10"/>
      <c r="OJO248" s="11"/>
      <c r="OJP248" s="10"/>
      <c r="OJQ248" s="6"/>
      <c r="OJR248" s="7"/>
      <c r="OJS248" s="8"/>
      <c r="OJT248" s="9"/>
      <c r="OJU248" s="10"/>
      <c r="OJV248" s="11"/>
      <c r="OJW248" s="10"/>
      <c r="OJX248" s="6"/>
      <c r="OJY248" s="7"/>
      <c r="OJZ248" s="8"/>
      <c r="OKA248" s="9"/>
      <c r="OKB248" s="10"/>
      <c r="OKC248" s="11"/>
      <c r="OKD248" s="10"/>
      <c r="OKE248" s="6"/>
      <c r="OKF248" s="7"/>
      <c r="OKG248" s="8"/>
      <c r="OKH248" s="9"/>
      <c r="OKI248" s="10"/>
      <c r="OKJ248" s="11"/>
      <c r="OKK248" s="10"/>
      <c r="OKL248" s="6"/>
      <c r="OKM248" s="7"/>
      <c r="OKN248" s="8"/>
      <c r="OKO248" s="9"/>
      <c r="OKP248" s="10"/>
      <c r="OKQ248" s="11"/>
      <c r="OKR248" s="10"/>
      <c r="OKS248" s="6"/>
      <c r="OKT248" s="7"/>
      <c r="OKU248" s="8"/>
      <c r="OKV248" s="9"/>
      <c r="OKW248" s="10"/>
      <c r="OKX248" s="11"/>
      <c r="OKY248" s="10"/>
      <c r="OKZ248" s="6"/>
      <c r="OLA248" s="7"/>
      <c r="OLB248" s="8"/>
      <c r="OLC248" s="9"/>
      <c r="OLD248" s="10"/>
      <c r="OLE248" s="11"/>
      <c r="OLF248" s="10"/>
      <c r="OLG248" s="6"/>
      <c r="OLH248" s="7"/>
      <c r="OLI248" s="8"/>
      <c r="OLJ248" s="9"/>
      <c r="OLK248" s="10"/>
      <c r="OLL248" s="11"/>
      <c r="OLM248" s="10"/>
      <c r="OLN248" s="6"/>
      <c r="OLO248" s="7"/>
      <c r="OLP248" s="8"/>
      <c r="OLQ248" s="9"/>
      <c r="OLR248" s="10"/>
      <c r="OLS248" s="11"/>
      <c r="OLT248" s="10"/>
      <c r="OLU248" s="6"/>
      <c r="OLV248" s="7"/>
      <c r="OLW248" s="8"/>
      <c r="OLX248" s="9"/>
      <c r="OLY248" s="10"/>
      <c r="OLZ248" s="11"/>
      <c r="OMA248" s="10"/>
      <c r="OMB248" s="6"/>
      <c r="OMC248" s="7"/>
      <c r="OMD248" s="8"/>
      <c r="OME248" s="9"/>
      <c r="OMF248" s="10"/>
      <c r="OMG248" s="11"/>
      <c r="OMH248" s="10"/>
      <c r="OMI248" s="6"/>
      <c r="OMJ248" s="7"/>
      <c r="OMK248" s="8"/>
      <c r="OML248" s="9"/>
      <c r="OMM248" s="10"/>
      <c r="OMN248" s="11"/>
      <c r="OMO248" s="10"/>
      <c r="OMP248" s="6"/>
      <c r="OMQ248" s="7"/>
      <c r="OMR248" s="8"/>
      <c r="OMS248" s="9"/>
      <c r="OMT248" s="10"/>
      <c r="OMU248" s="11"/>
      <c r="OMV248" s="10"/>
      <c r="OMW248" s="6"/>
      <c r="OMX248" s="7"/>
      <c r="OMY248" s="8"/>
      <c r="OMZ248" s="9"/>
      <c r="ONA248" s="10"/>
      <c r="ONB248" s="11"/>
      <c r="ONC248" s="10"/>
      <c r="OND248" s="6"/>
      <c r="ONE248" s="7"/>
      <c r="ONF248" s="8"/>
      <c r="ONG248" s="9"/>
      <c r="ONH248" s="10"/>
      <c r="ONI248" s="11"/>
      <c r="ONJ248" s="10"/>
      <c r="ONK248" s="6"/>
      <c r="ONL248" s="7"/>
      <c r="ONM248" s="8"/>
      <c r="ONN248" s="9"/>
      <c r="ONO248" s="10"/>
      <c r="ONP248" s="11"/>
      <c r="ONQ248" s="10"/>
      <c r="ONR248" s="6"/>
      <c r="ONS248" s="7"/>
      <c r="ONT248" s="8"/>
      <c r="ONU248" s="9"/>
      <c r="ONV248" s="10"/>
      <c r="ONW248" s="11"/>
      <c r="ONX248" s="10"/>
      <c r="ONY248" s="6"/>
      <c r="ONZ248" s="7"/>
      <c r="OOA248" s="8"/>
      <c r="OOB248" s="9"/>
      <c r="OOC248" s="10"/>
      <c r="OOD248" s="11"/>
      <c r="OOE248" s="10"/>
      <c r="OOF248" s="6"/>
      <c r="OOG248" s="7"/>
      <c r="OOH248" s="8"/>
      <c r="OOI248" s="9"/>
      <c r="OOJ248" s="10"/>
      <c r="OOK248" s="11"/>
      <c r="OOL248" s="10"/>
      <c r="OOM248" s="6"/>
      <c r="OON248" s="7"/>
      <c r="OOO248" s="8"/>
      <c r="OOP248" s="9"/>
      <c r="OOQ248" s="10"/>
      <c r="OOR248" s="11"/>
      <c r="OOS248" s="10"/>
      <c r="OOT248" s="6"/>
      <c r="OOU248" s="7"/>
      <c r="OOV248" s="8"/>
      <c r="OOW248" s="9"/>
      <c r="OOX248" s="10"/>
      <c r="OOY248" s="11"/>
      <c r="OOZ248" s="10"/>
      <c r="OPA248" s="6"/>
      <c r="OPB248" s="7"/>
      <c r="OPC248" s="8"/>
      <c r="OPD248" s="9"/>
      <c r="OPE248" s="10"/>
      <c r="OPF248" s="11"/>
      <c r="OPG248" s="10"/>
      <c r="OPH248" s="6"/>
      <c r="OPI248" s="7"/>
      <c r="OPJ248" s="8"/>
      <c r="OPK248" s="9"/>
      <c r="OPL248" s="10"/>
      <c r="OPM248" s="11"/>
      <c r="OPN248" s="10"/>
      <c r="OPO248" s="6"/>
      <c r="OPP248" s="7"/>
      <c r="OPQ248" s="8"/>
      <c r="OPR248" s="9"/>
      <c r="OPS248" s="10"/>
      <c r="OPT248" s="11"/>
      <c r="OPU248" s="10"/>
      <c r="OPV248" s="6"/>
      <c r="OPW248" s="7"/>
      <c r="OPX248" s="8"/>
      <c r="OPY248" s="9"/>
      <c r="OPZ248" s="10"/>
      <c r="OQA248" s="11"/>
      <c r="OQB248" s="10"/>
      <c r="OQC248" s="6"/>
      <c r="OQD248" s="7"/>
      <c r="OQE248" s="8"/>
      <c r="OQF248" s="9"/>
      <c r="OQG248" s="10"/>
      <c r="OQH248" s="11"/>
      <c r="OQI248" s="10"/>
      <c r="OQJ248" s="6"/>
      <c r="OQK248" s="7"/>
      <c r="OQL248" s="8"/>
      <c r="OQM248" s="9"/>
      <c r="OQN248" s="10"/>
      <c r="OQO248" s="11"/>
      <c r="OQP248" s="10"/>
      <c r="OQQ248" s="6"/>
      <c r="OQR248" s="7"/>
      <c r="OQS248" s="8"/>
      <c r="OQT248" s="9"/>
      <c r="OQU248" s="10"/>
      <c r="OQV248" s="11"/>
      <c r="OQW248" s="10"/>
      <c r="OQX248" s="6"/>
      <c r="OQY248" s="7"/>
      <c r="OQZ248" s="8"/>
      <c r="ORA248" s="9"/>
      <c r="ORB248" s="10"/>
      <c r="ORC248" s="11"/>
      <c r="ORD248" s="10"/>
      <c r="ORE248" s="6"/>
      <c r="ORF248" s="7"/>
      <c r="ORG248" s="8"/>
      <c r="ORH248" s="9"/>
      <c r="ORI248" s="10"/>
      <c r="ORJ248" s="11"/>
      <c r="ORK248" s="10"/>
      <c r="ORL248" s="6"/>
      <c r="ORM248" s="7"/>
      <c r="ORN248" s="8"/>
      <c r="ORO248" s="9"/>
      <c r="ORP248" s="10"/>
      <c r="ORQ248" s="11"/>
      <c r="ORR248" s="10"/>
      <c r="ORS248" s="6"/>
      <c r="ORT248" s="7"/>
      <c r="ORU248" s="8"/>
      <c r="ORV248" s="9"/>
      <c r="ORW248" s="10"/>
      <c r="ORX248" s="11"/>
      <c r="ORY248" s="10"/>
      <c r="ORZ248" s="6"/>
      <c r="OSA248" s="7"/>
      <c r="OSB248" s="8"/>
      <c r="OSC248" s="9"/>
      <c r="OSD248" s="10"/>
      <c r="OSE248" s="11"/>
      <c r="OSF248" s="10"/>
      <c r="OSG248" s="6"/>
      <c r="OSH248" s="7"/>
      <c r="OSI248" s="8"/>
      <c r="OSJ248" s="9"/>
      <c r="OSK248" s="10"/>
      <c r="OSL248" s="11"/>
      <c r="OSM248" s="10"/>
      <c r="OSN248" s="6"/>
      <c r="OSO248" s="7"/>
      <c r="OSP248" s="8"/>
      <c r="OSQ248" s="9"/>
      <c r="OSR248" s="10"/>
      <c r="OSS248" s="11"/>
      <c r="OST248" s="10"/>
      <c r="OSU248" s="6"/>
      <c r="OSV248" s="7"/>
      <c r="OSW248" s="8"/>
      <c r="OSX248" s="9"/>
      <c r="OSY248" s="10"/>
      <c r="OSZ248" s="11"/>
      <c r="OTA248" s="10"/>
      <c r="OTB248" s="6"/>
      <c r="OTC248" s="7"/>
      <c r="OTD248" s="8"/>
      <c r="OTE248" s="9"/>
      <c r="OTF248" s="10"/>
      <c r="OTG248" s="11"/>
      <c r="OTH248" s="10"/>
      <c r="OTI248" s="6"/>
      <c r="OTJ248" s="7"/>
      <c r="OTK248" s="8"/>
      <c r="OTL248" s="9"/>
      <c r="OTM248" s="10"/>
      <c r="OTN248" s="11"/>
      <c r="OTO248" s="10"/>
      <c r="OTP248" s="6"/>
      <c r="OTQ248" s="7"/>
      <c r="OTR248" s="8"/>
      <c r="OTS248" s="9"/>
      <c r="OTT248" s="10"/>
      <c r="OTU248" s="11"/>
      <c r="OTV248" s="10"/>
      <c r="OTW248" s="6"/>
      <c r="OTX248" s="7"/>
      <c r="OTY248" s="8"/>
      <c r="OTZ248" s="9"/>
      <c r="OUA248" s="10"/>
      <c r="OUB248" s="11"/>
      <c r="OUC248" s="10"/>
      <c r="OUD248" s="6"/>
      <c r="OUE248" s="7"/>
      <c r="OUF248" s="8"/>
      <c r="OUG248" s="9"/>
      <c r="OUH248" s="10"/>
      <c r="OUI248" s="11"/>
      <c r="OUJ248" s="10"/>
      <c r="OUK248" s="6"/>
      <c r="OUL248" s="7"/>
      <c r="OUM248" s="8"/>
      <c r="OUN248" s="9"/>
      <c r="OUO248" s="10"/>
      <c r="OUP248" s="11"/>
      <c r="OUQ248" s="10"/>
      <c r="OUR248" s="6"/>
      <c r="OUS248" s="7"/>
      <c r="OUT248" s="8"/>
      <c r="OUU248" s="9"/>
      <c r="OUV248" s="10"/>
      <c r="OUW248" s="11"/>
      <c r="OUX248" s="10"/>
      <c r="OUY248" s="6"/>
      <c r="OUZ248" s="7"/>
      <c r="OVA248" s="8"/>
      <c r="OVB248" s="9"/>
      <c r="OVC248" s="10"/>
      <c r="OVD248" s="11"/>
      <c r="OVE248" s="10"/>
      <c r="OVF248" s="6"/>
      <c r="OVG248" s="7"/>
      <c r="OVH248" s="8"/>
      <c r="OVI248" s="9"/>
      <c r="OVJ248" s="10"/>
      <c r="OVK248" s="11"/>
      <c r="OVL248" s="10"/>
      <c r="OVM248" s="6"/>
      <c r="OVN248" s="7"/>
      <c r="OVO248" s="8"/>
      <c r="OVP248" s="9"/>
      <c r="OVQ248" s="10"/>
      <c r="OVR248" s="11"/>
      <c r="OVS248" s="10"/>
      <c r="OVT248" s="6"/>
      <c r="OVU248" s="7"/>
      <c r="OVV248" s="8"/>
      <c r="OVW248" s="9"/>
      <c r="OVX248" s="10"/>
      <c r="OVY248" s="11"/>
      <c r="OVZ248" s="10"/>
      <c r="OWA248" s="6"/>
      <c r="OWB248" s="7"/>
      <c r="OWC248" s="8"/>
      <c r="OWD248" s="9"/>
      <c r="OWE248" s="10"/>
      <c r="OWF248" s="11"/>
      <c r="OWG248" s="10"/>
      <c r="OWH248" s="6"/>
      <c r="OWI248" s="7"/>
      <c r="OWJ248" s="8"/>
      <c r="OWK248" s="9"/>
      <c r="OWL248" s="10"/>
      <c r="OWM248" s="11"/>
      <c r="OWN248" s="10"/>
      <c r="OWO248" s="6"/>
      <c r="OWP248" s="7"/>
      <c r="OWQ248" s="8"/>
      <c r="OWR248" s="9"/>
      <c r="OWS248" s="10"/>
      <c r="OWT248" s="11"/>
      <c r="OWU248" s="10"/>
      <c r="OWV248" s="6"/>
      <c r="OWW248" s="7"/>
      <c r="OWX248" s="8"/>
      <c r="OWY248" s="9"/>
      <c r="OWZ248" s="10"/>
      <c r="OXA248" s="11"/>
      <c r="OXB248" s="10"/>
      <c r="OXC248" s="6"/>
      <c r="OXD248" s="7"/>
      <c r="OXE248" s="8"/>
      <c r="OXF248" s="9"/>
      <c r="OXG248" s="10"/>
      <c r="OXH248" s="11"/>
      <c r="OXI248" s="10"/>
      <c r="OXJ248" s="6"/>
      <c r="OXK248" s="7"/>
      <c r="OXL248" s="8"/>
      <c r="OXM248" s="9"/>
      <c r="OXN248" s="10"/>
      <c r="OXO248" s="11"/>
      <c r="OXP248" s="10"/>
      <c r="OXQ248" s="6"/>
      <c r="OXR248" s="7"/>
      <c r="OXS248" s="8"/>
      <c r="OXT248" s="9"/>
      <c r="OXU248" s="10"/>
      <c r="OXV248" s="11"/>
      <c r="OXW248" s="10"/>
      <c r="OXX248" s="6"/>
      <c r="OXY248" s="7"/>
      <c r="OXZ248" s="8"/>
      <c r="OYA248" s="9"/>
      <c r="OYB248" s="10"/>
      <c r="OYC248" s="11"/>
      <c r="OYD248" s="10"/>
      <c r="OYE248" s="6"/>
      <c r="OYF248" s="7"/>
      <c r="OYG248" s="8"/>
      <c r="OYH248" s="9"/>
      <c r="OYI248" s="10"/>
      <c r="OYJ248" s="11"/>
      <c r="OYK248" s="10"/>
      <c r="OYL248" s="6"/>
      <c r="OYM248" s="7"/>
      <c r="OYN248" s="8"/>
      <c r="OYO248" s="9"/>
      <c r="OYP248" s="10"/>
      <c r="OYQ248" s="11"/>
      <c r="OYR248" s="10"/>
      <c r="OYS248" s="6"/>
      <c r="OYT248" s="7"/>
      <c r="OYU248" s="8"/>
      <c r="OYV248" s="9"/>
      <c r="OYW248" s="10"/>
      <c r="OYX248" s="11"/>
      <c r="OYY248" s="10"/>
      <c r="OYZ248" s="6"/>
      <c r="OZA248" s="7"/>
      <c r="OZB248" s="8"/>
      <c r="OZC248" s="9"/>
      <c r="OZD248" s="10"/>
      <c r="OZE248" s="11"/>
      <c r="OZF248" s="10"/>
      <c r="OZG248" s="6"/>
      <c r="OZH248" s="7"/>
      <c r="OZI248" s="8"/>
      <c r="OZJ248" s="9"/>
      <c r="OZK248" s="10"/>
      <c r="OZL248" s="11"/>
      <c r="OZM248" s="10"/>
      <c r="OZN248" s="6"/>
      <c r="OZO248" s="7"/>
      <c r="OZP248" s="8"/>
      <c r="OZQ248" s="9"/>
      <c r="OZR248" s="10"/>
      <c r="OZS248" s="11"/>
      <c r="OZT248" s="10"/>
      <c r="OZU248" s="6"/>
      <c r="OZV248" s="7"/>
      <c r="OZW248" s="8"/>
      <c r="OZX248" s="9"/>
      <c r="OZY248" s="10"/>
      <c r="OZZ248" s="11"/>
      <c r="PAA248" s="10"/>
      <c r="PAB248" s="6"/>
      <c r="PAC248" s="7"/>
      <c r="PAD248" s="8"/>
      <c r="PAE248" s="9"/>
      <c r="PAF248" s="10"/>
      <c r="PAG248" s="11"/>
      <c r="PAH248" s="10"/>
      <c r="PAI248" s="6"/>
      <c r="PAJ248" s="7"/>
      <c r="PAK248" s="8"/>
      <c r="PAL248" s="9"/>
      <c r="PAM248" s="10"/>
      <c r="PAN248" s="11"/>
      <c r="PAO248" s="10"/>
      <c r="PAP248" s="6"/>
      <c r="PAQ248" s="7"/>
      <c r="PAR248" s="8"/>
      <c r="PAS248" s="9"/>
      <c r="PAT248" s="10"/>
      <c r="PAU248" s="11"/>
      <c r="PAV248" s="10"/>
      <c r="PAW248" s="6"/>
      <c r="PAX248" s="7"/>
      <c r="PAY248" s="8"/>
      <c r="PAZ248" s="9"/>
      <c r="PBA248" s="10"/>
      <c r="PBB248" s="11"/>
      <c r="PBC248" s="10"/>
      <c r="PBD248" s="6"/>
      <c r="PBE248" s="7"/>
      <c r="PBF248" s="8"/>
      <c r="PBG248" s="9"/>
      <c r="PBH248" s="10"/>
      <c r="PBI248" s="11"/>
      <c r="PBJ248" s="10"/>
      <c r="PBK248" s="6"/>
      <c r="PBL248" s="7"/>
      <c r="PBM248" s="8"/>
      <c r="PBN248" s="9"/>
      <c r="PBO248" s="10"/>
      <c r="PBP248" s="11"/>
      <c r="PBQ248" s="10"/>
      <c r="PBR248" s="6"/>
      <c r="PBS248" s="7"/>
      <c r="PBT248" s="8"/>
      <c r="PBU248" s="9"/>
      <c r="PBV248" s="10"/>
      <c r="PBW248" s="11"/>
      <c r="PBX248" s="10"/>
      <c r="PBY248" s="6"/>
      <c r="PBZ248" s="7"/>
      <c r="PCA248" s="8"/>
      <c r="PCB248" s="9"/>
      <c r="PCC248" s="10"/>
      <c r="PCD248" s="11"/>
      <c r="PCE248" s="10"/>
      <c r="PCF248" s="6"/>
      <c r="PCG248" s="7"/>
      <c r="PCH248" s="8"/>
      <c r="PCI248" s="9"/>
      <c r="PCJ248" s="10"/>
      <c r="PCK248" s="11"/>
      <c r="PCL248" s="10"/>
      <c r="PCM248" s="6"/>
      <c r="PCN248" s="7"/>
      <c r="PCO248" s="8"/>
      <c r="PCP248" s="9"/>
      <c r="PCQ248" s="10"/>
      <c r="PCR248" s="11"/>
      <c r="PCS248" s="10"/>
      <c r="PCT248" s="6"/>
      <c r="PCU248" s="7"/>
      <c r="PCV248" s="8"/>
      <c r="PCW248" s="9"/>
      <c r="PCX248" s="10"/>
      <c r="PCY248" s="11"/>
      <c r="PCZ248" s="10"/>
      <c r="PDA248" s="6"/>
      <c r="PDB248" s="7"/>
      <c r="PDC248" s="8"/>
      <c r="PDD248" s="9"/>
      <c r="PDE248" s="10"/>
      <c r="PDF248" s="11"/>
      <c r="PDG248" s="10"/>
      <c r="PDH248" s="6"/>
      <c r="PDI248" s="7"/>
      <c r="PDJ248" s="8"/>
      <c r="PDK248" s="9"/>
      <c r="PDL248" s="10"/>
      <c r="PDM248" s="11"/>
      <c r="PDN248" s="10"/>
      <c r="PDO248" s="6"/>
      <c r="PDP248" s="7"/>
      <c r="PDQ248" s="8"/>
      <c r="PDR248" s="9"/>
      <c r="PDS248" s="10"/>
      <c r="PDT248" s="11"/>
      <c r="PDU248" s="10"/>
      <c r="PDV248" s="6"/>
      <c r="PDW248" s="7"/>
      <c r="PDX248" s="8"/>
      <c r="PDY248" s="9"/>
      <c r="PDZ248" s="10"/>
      <c r="PEA248" s="11"/>
      <c r="PEB248" s="10"/>
      <c r="PEC248" s="6"/>
      <c r="PED248" s="7"/>
      <c r="PEE248" s="8"/>
      <c r="PEF248" s="9"/>
      <c r="PEG248" s="10"/>
      <c r="PEH248" s="11"/>
      <c r="PEI248" s="10"/>
      <c r="PEJ248" s="6"/>
      <c r="PEK248" s="7"/>
      <c r="PEL248" s="8"/>
      <c r="PEM248" s="9"/>
      <c r="PEN248" s="10"/>
      <c r="PEO248" s="11"/>
      <c r="PEP248" s="10"/>
      <c r="PEQ248" s="6"/>
      <c r="PER248" s="7"/>
      <c r="PES248" s="8"/>
      <c r="PET248" s="9"/>
      <c r="PEU248" s="10"/>
      <c r="PEV248" s="11"/>
      <c r="PEW248" s="10"/>
      <c r="PEX248" s="6"/>
      <c r="PEY248" s="7"/>
      <c r="PEZ248" s="8"/>
      <c r="PFA248" s="9"/>
      <c r="PFB248" s="10"/>
      <c r="PFC248" s="11"/>
      <c r="PFD248" s="10"/>
      <c r="PFE248" s="6"/>
      <c r="PFF248" s="7"/>
      <c r="PFG248" s="8"/>
      <c r="PFH248" s="9"/>
      <c r="PFI248" s="10"/>
      <c r="PFJ248" s="11"/>
      <c r="PFK248" s="10"/>
      <c r="PFL248" s="6"/>
      <c r="PFM248" s="7"/>
      <c r="PFN248" s="8"/>
      <c r="PFO248" s="9"/>
      <c r="PFP248" s="10"/>
      <c r="PFQ248" s="11"/>
      <c r="PFR248" s="10"/>
      <c r="PFS248" s="6"/>
      <c r="PFT248" s="7"/>
      <c r="PFU248" s="8"/>
      <c r="PFV248" s="9"/>
      <c r="PFW248" s="10"/>
      <c r="PFX248" s="11"/>
      <c r="PFY248" s="10"/>
      <c r="PFZ248" s="6"/>
      <c r="PGA248" s="7"/>
      <c r="PGB248" s="8"/>
      <c r="PGC248" s="9"/>
      <c r="PGD248" s="10"/>
      <c r="PGE248" s="11"/>
      <c r="PGF248" s="10"/>
      <c r="PGG248" s="6"/>
      <c r="PGH248" s="7"/>
      <c r="PGI248" s="8"/>
      <c r="PGJ248" s="9"/>
      <c r="PGK248" s="10"/>
      <c r="PGL248" s="11"/>
      <c r="PGM248" s="10"/>
      <c r="PGN248" s="6"/>
      <c r="PGO248" s="7"/>
      <c r="PGP248" s="8"/>
      <c r="PGQ248" s="9"/>
      <c r="PGR248" s="10"/>
      <c r="PGS248" s="11"/>
      <c r="PGT248" s="10"/>
      <c r="PGU248" s="6"/>
      <c r="PGV248" s="7"/>
      <c r="PGW248" s="8"/>
      <c r="PGX248" s="9"/>
      <c r="PGY248" s="10"/>
      <c r="PGZ248" s="11"/>
      <c r="PHA248" s="10"/>
      <c r="PHB248" s="6"/>
      <c r="PHC248" s="7"/>
      <c r="PHD248" s="8"/>
      <c r="PHE248" s="9"/>
      <c r="PHF248" s="10"/>
      <c r="PHG248" s="11"/>
      <c r="PHH248" s="10"/>
      <c r="PHI248" s="6"/>
      <c r="PHJ248" s="7"/>
      <c r="PHK248" s="8"/>
      <c r="PHL248" s="9"/>
      <c r="PHM248" s="10"/>
      <c r="PHN248" s="11"/>
      <c r="PHO248" s="10"/>
      <c r="PHP248" s="6"/>
      <c r="PHQ248" s="7"/>
      <c r="PHR248" s="8"/>
      <c r="PHS248" s="9"/>
      <c r="PHT248" s="10"/>
      <c r="PHU248" s="11"/>
      <c r="PHV248" s="10"/>
      <c r="PHW248" s="6"/>
      <c r="PHX248" s="7"/>
      <c r="PHY248" s="8"/>
      <c r="PHZ248" s="9"/>
      <c r="PIA248" s="10"/>
      <c r="PIB248" s="11"/>
      <c r="PIC248" s="10"/>
      <c r="PID248" s="6"/>
      <c r="PIE248" s="7"/>
      <c r="PIF248" s="8"/>
      <c r="PIG248" s="9"/>
      <c r="PIH248" s="10"/>
      <c r="PII248" s="11"/>
      <c r="PIJ248" s="10"/>
      <c r="PIK248" s="6"/>
      <c r="PIL248" s="7"/>
      <c r="PIM248" s="8"/>
      <c r="PIN248" s="9"/>
      <c r="PIO248" s="10"/>
      <c r="PIP248" s="11"/>
      <c r="PIQ248" s="10"/>
      <c r="PIR248" s="6"/>
      <c r="PIS248" s="7"/>
      <c r="PIT248" s="8"/>
      <c r="PIU248" s="9"/>
      <c r="PIV248" s="10"/>
      <c r="PIW248" s="11"/>
      <c r="PIX248" s="10"/>
      <c r="PIY248" s="6"/>
      <c r="PIZ248" s="7"/>
      <c r="PJA248" s="8"/>
      <c r="PJB248" s="9"/>
      <c r="PJC248" s="10"/>
      <c r="PJD248" s="11"/>
      <c r="PJE248" s="10"/>
      <c r="PJF248" s="6"/>
      <c r="PJG248" s="7"/>
      <c r="PJH248" s="8"/>
      <c r="PJI248" s="9"/>
      <c r="PJJ248" s="10"/>
      <c r="PJK248" s="11"/>
      <c r="PJL248" s="10"/>
      <c r="PJM248" s="6"/>
      <c r="PJN248" s="7"/>
      <c r="PJO248" s="8"/>
      <c r="PJP248" s="9"/>
      <c r="PJQ248" s="10"/>
      <c r="PJR248" s="11"/>
      <c r="PJS248" s="10"/>
      <c r="PJT248" s="6"/>
      <c r="PJU248" s="7"/>
      <c r="PJV248" s="8"/>
      <c r="PJW248" s="9"/>
      <c r="PJX248" s="10"/>
      <c r="PJY248" s="11"/>
      <c r="PJZ248" s="10"/>
      <c r="PKA248" s="6"/>
      <c r="PKB248" s="7"/>
      <c r="PKC248" s="8"/>
      <c r="PKD248" s="9"/>
      <c r="PKE248" s="10"/>
      <c r="PKF248" s="11"/>
      <c r="PKG248" s="10"/>
      <c r="PKH248" s="6"/>
      <c r="PKI248" s="7"/>
      <c r="PKJ248" s="8"/>
      <c r="PKK248" s="9"/>
      <c r="PKL248" s="10"/>
      <c r="PKM248" s="11"/>
      <c r="PKN248" s="10"/>
      <c r="PKO248" s="6"/>
      <c r="PKP248" s="7"/>
      <c r="PKQ248" s="8"/>
      <c r="PKR248" s="9"/>
      <c r="PKS248" s="10"/>
      <c r="PKT248" s="11"/>
      <c r="PKU248" s="10"/>
      <c r="PKV248" s="6"/>
      <c r="PKW248" s="7"/>
      <c r="PKX248" s="8"/>
      <c r="PKY248" s="9"/>
      <c r="PKZ248" s="10"/>
      <c r="PLA248" s="11"/>
      <c r="PLB248" s="10"/>
      <c r="PLC248" s="6"/>
      <c r="PLD248" s="7"/>
      <c r="PLE248" s="8"/>
      <c r="PLF248" s="9"/>
      <c r="PLG248" s="10"/>
      <c r="PLH248" s="11"/>
      <c r="PLI248" s="10"/>
      <c r="PLJ248" s="6"/>
      <c r="PLK248" s="7"/>
      <c r="PLL248" s="8"/>
      <c r="PLM248" s="9"/>
      <c r="PLN248" s="10"/>
      <c r="PLO248" s="11"/>
      <c r="PLP248" s="10"/>
      <c r="PLQ248" s="6"/>
      <c r="PLR248" s="7"/>
      <c r="PLS248" s="8"/>
      <c r="PLT248" s="9"/>
      <c r="PLU248" s="10"/>
      <c r="PLV248" s="11"/>
      <c r="PLW248" s="10"/>
      <c r="PLX248" s="6"/>
      <c r="PLY248" s="7"/>
      <c r="PLZ248" s="8"/>
      <c r="PMA248" s="9"/>
      <c r="PMB248" s="10"/>
      <c r="PMC248" s="11"/>
      <c r="PMD248" s="10"/>
      <c r="PME248" s="6"/>
      <c r="PMF248" s="7"/>
      <c r="PMG248" s="8"/>
      <c r="PMH248" s="9"/>
      <c r="PMI248" s="10"/>
      <c r="PMJ248" s="11"/>
      <c r="PMK248" s="10"/>
      <c r="PML248" s="6"/>
      <c r="PMM248" s="7"/>
      <c r="PMN248" s="8"/>
      <c r="PMO248" s="9"/>
      <c r="PMP248" s="10"/>
      <c r="PMQ248" s="11"/>
      <c r="PMR248" s="10"/>
      <c r="PMS248" s="6"/>
      <c r="PMT248" s="7"/>
      <c r="PMU248" s="8"/>
      <c r="PMV248" s="9"/>
      <c r="PMW248" s="10"/>
      <c r="PMX248" s="11"/>
      <c r="PMY248" s="10"/>
      <c r="PMZ248" s="6"/>
      <c r="PNA248" s="7"/>
      <c r="PNB248" s="8"/>
      <c r="PNC248" s="9"/>
      <c r="PND248" s="10"/>
      <c r="PNE248" s="11"/>
      <c r="PNF248" s="10"/>
      <c r="PNG248" s="6"/>
      <c r="PNH248" s="7"/>
      <c r="PNI248" s="8"/>
      <c r="PNJ248" s="9"/>
      <c r="PNK248" s="10"/>
      <c r="PNL248" s="11"/>
      <c r="PNM248" s="10"/>
      <c r="PNN248" s="6"/>
      <c r="PNO248" s="7"/>
      <c r="PNP248" s="8"/>
      <c r="PNQ248" s="9"/>
      <c r="PNR248" s="10"/>
      <c r="PNS248" s="11"/>
      <c r="PNT248" s="10"/>
      <c r="PNU248" s="6"/>
      <c r="PNV248" s="7"/>
      <c r="PNW248" s="8"/>
      <c r="PNX248" s="9"/>
      <c r="PNY248" s="10"/>
      <c r="PNZ248" s="11"/>
      <c r="POA248" s="10"/>
      <c r="POB248" s="6"/>
      <c r="POC248" s="7"/>
      <c r="POD248" s="8"/>
      <c r="POE248" s="9"/>
      <c r="POF248" s="10"/>
      <c r="POG248" s="11"/>
      <c r="POH248" s="10"/>
      <c r="POI248" s="6"/>
      <c r="POJ248" s="7"/>
      <c r="POK248" s="8"/>
      <c r="POL248" s="9"/>
      <c r="POM248" s="10"/>
      <c r="PON248" s="11"/>
      <c r="POO248" s="10"/>
      <c r="POP248" s="6"/>
      <c r="POQ248" s="7"/>
      <c r="POR248" s="8"/>
      <c r="POS248" s="9"/>
      <c r="POT248" s="10"/>
      <c r="POU248" s="11"/>
      <c r="POV248" s="10"/>
      <c r="POW248" s="6"/>
      <c r="POX248" s="7"/>
      <c r="POY248" s="8"/>
      <c r="POZ248" s="9"/>
      <c r="PPA248" s="10"/>
      <c r="PPB248" s="11"/>
      <c r="PPC248" s="10"/>
      <c r="PPD248" s="6"/>
      <c r="PPE248" s="7"/>
      <c r="PPF248" s="8"/>
      <c r="PPG248" s="9"/>
      <c r="PPH248" s="10"/>
      <c r="PPI248" s="11"/>
      <c r="PPJ248" s="10"/>
      <c r="PPK248" s="6"/>
      <c r="PPL248" s="7"/>
      <c r="PPM248" s="8"/>
      <c r="PPN248" s="9"/>
      <c r="PPO248" s="10"/>
      <c r="PPP248" s="11"/>
      <c r="PPQ248" s="10"/>
      <c r="PPR248" s="6"/>
      <c r="PPS248" s="7"/>
      <c r="PPT248" s="8"/>
      <c r="PPU248" s="9"/>
      <c r="PPV248" s="10"/>
      <c r="PPW248" s="11"/>
      <c r="PPX248" s="10"/>
      <c r="PPY248" s="6"/>
      <c r="PPZ248" s="7"/>
      <c r="PQA248" s="8"/>
      <c r="PQB248" s="9"/>
      <c r="PQC248" s="10"/>
      <c r="PQD248" s="11"/>
      <c r="PQE248" s="10"/>
      <c r="PQF248" s="6"/>
      <c r="PQG248" s="7"/>
      <c r="PQH248" s="8"/>
      <c r="PQI248" s="9"/>
      <c r="PQJ248" s="10"/>
      <c r="PQK248" s="11"/>
      <c r="PQL248" s="10"/>
      <c r="PQM248" s="6"/>
      <c r="PQN248" s="7"/>
      <c r="PQO248" s="8"/>
      <c r="PQP248" s="9"/>
      <c r="PQQ248" s="10"/>
      <c r="PQR248" s="11"/>
      <c r="PQS248" s="10"/>
      <c r="PQT248" s="6"/>
      <c r="PQU248" s="7"/>
      <c r="PQV248" s="8"/>
      <c r="PQW248" s="9"/>
      <c r="PQX248" s="10"/>
      <c r="PQY248" s="11"/>
      <c r="PQZ248" s="10"/>
      <c r="PRA248" s="6"/>
      <c r="PRB248" s="7"/>
      <c r="PRC248" s="8"/>
      <c r="PRD248" s="9"/>
      <c r="PRE248" s="10"/>
      <c r="PRF248" s="11"/>
      <c r="PRG248" s="10"/>
      <c r="PRH248" s="6"/>
      <c r="PRI248" s="7"/>
      <c r="PRJ248" s="8"/>
      <c r="PRK248" s="9"/>
      <c r="PRL248" s="10"/>
      <c r="PRM248" s="11"/>
      <c r="PRN248" s="10"/>
      <c r="PRO248" s="6"/>
      <c r="PRP248" s="7"/>
      <c r="PRQ248" s="8"/>
      <c r="PRR248" s="9"/>
      <c r="PRS248" s="10"/>
      <c r="PRT248" s="11"/>
      <c r="PRU248" s="10"/>
      <c r="PRV248" s="6"/>
      <c r="PRW248" s="7"/>
      <c r="PRX248" s="8"/>
      <c r="PRY248" s="9"/>
      <c r="PRZ248" s="10"/>
      <c r="PSA248" s="11"/>
      <c r="PSB248" s="10"/>
      <c r="PSC248" s="6"/>
      <c r="PSD248" s="7"/>
      <c r="PSE248" s="8"/>
      <c r="PSF248" s="9"/>
      <c r="PSG248" s="10"/>
      <c r="PSH248" s="11"/>
      <c r="PSI248" s="10"/>
      <c r="PSJ248" s="6"/>
      <c r="PSK248" s="7"/>
      <c r="PSL248" s="8"/>
      <c r="PSM248" s="9"/>
      <c r="PSN248" s="10"/>
      <c r="PSO248" s="11"/>
      <c r="PSP248" s="10"/>
      <c r="PSQ248" s="6"/>
      <c r="PSR248" s="7"/>
      <c r="PSS248" s="8"/>
      <c r="PST248" s="9"/>
      <c r="PSU248" s="10"/>
      <c r="PSV248" s="11"/>
      <c r="PSW248" s="10"/>
      <c r="PSX248" s="6"/>
      <c r="PSY248" s="7"/>
      <c r="PSZ248" s="8"/>
      <c r="PTA248" s="9"/>
      <c r="PTB248" s="10"/>
      <c r="PTC248" s="11"/>
      <c r="PTD248" s="10"/>
      <c r="PTE248" s="6"/>
      <c r="PTF248" s="7"/>
      <c r="PTG248" s="8"/>
      <c r="PTH248" s="9"/>
      <c r="PTI248" s="10"/>
      <c r="PTJ248" s="11"/>
      <c r="PTK248" s="10"/>
      <c r="PTL248" s="6"/>
      <c r="PTM248" s="7"/>
      <c r="PTN248" s="8"/>
      <c r="PTO248" s="9"/>
      <c r="PTP248" s="10"/>
      <c r="PTQ248" s="11"/>
      <c r="PTR248" s="10"/>
      <c r="PTS248" s="6"/>
      <c r="PTT248" s="7"/>
      <c r="PTU248" s="8"/>
      <c r="PTV248" s="9"/>
      <c r="PTW248" s="10"/>
      <c r="PTX248" s="11"/>
      <c r="PTY248" s="10"/>
      <c r="PTZ248" s="6"/>
      <c r="PUA248" s="7"/>
      <c r="PUB248" s="8"/>
      <c r="PUC248" s="9"/>
      <c r="PUD248" s="10"/>
      <c r="PUE248" s="11"/>
      <c r="PUF248" s="10"/>
      <c r="PUG248" s="6"/>
      <c r="PUH248" s="7"/>
      <c r="PUI248" s="8"/>
      <c r="PUJ248" s="9"/>
      <c r="PUK248" s="10"/>
      <c r="PUL248" s="11"/>
      <c r="PUM248" s="10"/>
      <c r="PUN248" s="6"/>
      <c r="PUO248" s="7"/>
      <c r="PUP248" s="8"/>
      <c r="PUQ248" s="9"/>
      <c r="PUR248" s="10"/>
      <c r="PUS248" s="11"/>
      <c r="PUT248" s="10"/>
      <c r="PUU248" s="6"/>
      <c r="PUV248" s="7"/>
      <c r="PUW248" s="8"/>
      <c r="PUX248" s="9"/>
      <c r="PUY248" s="10"/>
      <c r="PUZ248" s="11"/>
      <c r="PVA248" s="10"/>
      <c r="PVB248" s="6"/>
      <c r="PVC248" s="7"/>
      <c r="PVD248" s="8"/>
      <c r="PVE248" s="9"/>
      <c r="PVF248" s="10"/>
      <c r="PVG248" s="11"/>
      <c r="PVH248" s="10"/>
      <c r="PVI248" s="6"/>
      <c r="PVJ248" s="7"/>
      <c r="PVK248" s="8"/>
      <c r="PVL248" s="9"/>
      <c r="PVM248" s="10"/>
      <c r="PVN248" s="11"/>
      <c r="PVO248" s="10"/>
      <c r="PVP248" s="6"/>
      <c r="PVQ248" s="7"/>
      <c r="PVR248" s="8"/>
      <c r="PVS248" s="9"/>
      <c r="PVT248" s="10"/>
      <c r="PVU248" s="11"/>
      <c r="PVV248" s="10"/>
      <c r="PVW248" s="6"/>
      <c r="PVX248" s="7"/>
      <c r="PVY248" s="8"/>
      <c r="PVZ248" s="9"/>
      <c r="PWA248" s="10"/>
      <c r="PWB248" s="11"/>
      <c r="PWC248" s="10"/>
      <c r="PWD248" s="6"/>
      <c r="PWE248" s="7"/>
      <c r="PWF248" s="8"/>
      <c r="PWG248" s="9"/>
      <c r="PWH248" s="10"/>
      <c r="PWI248" s="11"/>
      <c r="PWJ248" s="10"/>
      <c r="PWK248" s="6"/>
      <c r="PWL248" s="7"/>
      <c r="PWM248" s="8"/>
      <c r="PWN248" s="9"/>
      <c r="PWO248" s="10"/>
      <c r="PWP248" s="11"/>
      <c r="PWQ248" s="10"/>
      <c r="PWR248" s="6"/>
      <c r="PWS248" s="7"/>
      <c r="PWT248" s="8"/>
      <c r="PWU248" s="9"/>
      <c r="PWV248" s="10"/>
      <c r="PWW248" s="11"/>
      <c r="PWX248" s="10"/>
      <c r="PWY248" s="6"/>
      <c r="PWZ248" s="7"/>
      <c r="PXA248" s="8"/>
      <c r="PXB248" s="9"/>
      <c r="PXC248" s="10"/>
      <c r="PXD248" s="11"/>
      <c r="PXE248" s="10"/>
      <c r="PXF248" s="6"/>
      <c r="PXG248" s="7"/>
      <c r="PXH248" s="8"/>
      <c r="PXI248" s="9"/>
      <c r="PXJ248" s="10"/>
      <c r="PXK248" s="11"/>
      <c r="PXL248" s="10"/>
      <c r="PXM248" s="6"/>
      <c r="PXN248" s="7"/>
      <c r="PXO248" s="8"/>
      <c r="PXP248" s="9"/>
      <c r="PXQ248" s="10"/>
      <c r="PXR248" s="11"/>
      <c r="PXS248" s="10"/>
      <c r="PXT248" s="6"/>
      <c r="PXU248" s="7"/>
      <c r="PXV248" s="8"/>
      <c r="PXW248" s="9"/>
      <c r="PXX248" s="10"/>
      <c r="PXY248" s="11"/>
      <c r="PXZ248" s="10"/>
      <c r="PYA248" s="6"/>
      <c r="PYB248" s="7"/>
      <c r="PYC248" s="8"/>
      <c r="PYD248" s="9"/>
      <c r="PYE248" s="10"/>
      <c r="PYF248" s="11"/>
      <c r="PYG248" s="10"/>
      <c r="PYH248" s="6"/>
      <c r="PYI248" s="7"/>
      <c r="PYJ248" s="8"/>
      <c r="PYK248" s="9"/>
      <c r="PYL248" s="10"/>
      <c r="PYM248" s="11"/>
      <c r="PYN248" s="10"/>
      <c r="PYO248" s="6"/>
      <c r="PYP248" s="7"/>
      <c r="PYQ248" s="8"/>
      <c r="PYR248" s="9"/>
      <c r="PYS248" s="10"/>
      <c r="PYT248" s="11"/>
      <c r="PYU248" s="10"/>
      <c r="PYV248" s="6"/>
      <c r="PYW248" s="7"/>
      <c r="PYX248" s="8"/>
      <c r="PYY248" s="9"/>
      <c r="PYZ248" s="10"/>
      <c r="PZA248" s="11"/>
      <c r="PZB248" s="10"/>
      <c r="PZC248" s="6"/>
      <c r="PZD248" s="7"/>
      <c r="PZE248" s="8"/>
      <c r="PZF248" s="9"/>
      <c r="PZG248" s="10"/>
      <c r="PZH248" s="11"/>
      <c r="PZI248" s="10"/>
      <c r="PZJ248" s="6"/>
      <c r="PZK248" s="7"/>
      <c r="PZL248" s="8"/>
      <c r="PZM248" s="9"/>
      <c r="PZN248" s="10"/>
      <c r="PZO248" s="11"/>
      <c r="PZP248" s="10"/>
      <c r="PZQ248" s="6"/>
      <c r="PZR248" s="7"/>
      <c r="PZS248" s="8"/>
      <c r="PZT248" s="9"/>
      <c r="PZU248" s="10"/>
      <c r="PZV248" s="11"/>
      <c r="PZW248" s="10"/>
      <c r="PZX248" s="6"/>
      <c r="PZY248" s="7"/>
      <c r="PZZ248" s="8"/>
      <c r="QAA248" s="9"/>
      <c r="QAB248" s="10"/>
      <c r="QAC248" s="11"/>
      <c r="QAD248" s="10"/>
      <c r="QAE248" s="6"/>
      <c r="QAF248" s="7"/>
      <c r="QAG248" s="8"/>
      <c r="QAH248" s="9"/>
      <c r="QAI248" s="10"/>
      <c r="QAJ248" s="11"/>
      <c r="QAK248" s="10"/>
      <c r="QAL248" s="6"/>
      <c r="QAM248" s="7"/>
      <c r="QAN248" s="8"/>
      <c r="QAO248" s="9"/>
      <c r="QAP248" s="10"/>
      <c r="QAQ248" s="11"/>
      <c r="QAR248" s="10"/>
      <c r="QAS248" s="6"/>
      <c r="QAT248" s="7"/>
      <c r="QAU248" s="8"/>
      <c r="QAV248" s="9"/>
      <c r="QAW248" s="10"/>
      <c r="QAX248" s="11"/>
      <c r="QAY248" s="10"/>
      <c r="QAZ248" s="6"/>
      <c r="QBA248" s="7"/>
      <c r="QBB248" s="8"/>
      <c r="QBC248" s="9"/>
      <c r="QBD248" s="10"/>
      <c r="QBE248" s="11"/>
      <c r="QBF248" s="10"/>
      <c r="QBG248" s="6"/>
      <c r="QBH248" s="7"/>
      <c r="QBI248" s="8"/>
      <c r="QBJ248" s="9"/>
      <c r="QBK248" s="10"/>
      <c r="QBL248" s="11"/>
      <c r="QBM248" s="10"/>
      <c r="QBN248" s="6"/>
      <c r="QBO248" s="7"/>
      <c r="QBP248" s="8"/>
      <c r="QBQ248" s="9"/>
      <c r="QBR248" s="10"/>
      <c r="QBS248" s="11"/>
      <c r="QBT248" s="10"/>
      <c r="QBU248" s="6"/>
      <c r="QBV248" s="7"/>
      <c r="QBW248" s="8"/>
      <c r="QBX248" s="9"/>
      <c r="QBY248" s="10"/>
      <c r="QBZ248" s="11"/>
      <c r="QCA248" s="10"/>
      <c r="QCB248" s="6"/>
      <c r="QCC248" s="7"/>
      <c r="QCD248" s="8"/>
      <c r="QCE248" s="9"/>
      <c r="QCF248" s="10"/>
      <c r="QCG248" s="11"/>
      <c r="QCH248" s="10"/>
      <c r="QCI248" s="6"/>
      <c r="QCJ248" s="7"/>
      <c r="QCK248" s="8"/>
      <c r="QCL248" s="9"/>
      <c r="QCM248" s="10"/>
      <c r="QCN248" s="11"/>
      <c r="QCO248" s="10"/>
      <c r="QCP248" s="6"/>
      <c r="QCQ248" s="7"/>
      <c r="QCR248" s="8"/>
      <c r="QCS248" s="9"/>
      <c r="QCT248" s="10"/>
      <c r="QCU248" s="11"/>
      <c r="QCV248" s="10"/>
      <c r="QCW248" s="6"/>
      <c r="QCX248" s="7"/>
      <c r="QCY248" s="8"/>
      <c r="QCZ248" s="9"/>
      <c r="QDA248" s="10"/>
      <c r="QDB248" s="11"/>
      <c r="QDC248" s="10"/>
      <c r="QDD248" s="6"/>
      <c r="QDE248" s="7"/>
      <c r="QDF248" s="8"/>
      <c r="QDG248" s="9"/>
      <c r="QDH248" s="10"/>
      <c r="QDI248" s="11"/>
      <c r="QDJ248" s="10"/>
      <c r="QDK248" s="6"/>
      <c r="QDL248" s="7"/>
      <c r="QDM248" s="8"/>
      <c r="QDN248" s="9"/>
      <c r="QDO248" s="10"/>
      <c r="QDP248" s="11"/>
      <c r="QDQ248" s="10"/>
      <c r="QDR248" s="6"/>
      <c r="QDS248" s="7"/>
      <c r="QDT248" s="8"/>
      <c r="QDU248" s="9"/>
      <c r="QDV248" s="10"/>
      <c r="QDW248" s="11"/>
      <c r="QDX248" s="10"/>
      <c r="QDY248" s="6"/>
      <c r="QDZ248" s="7"/>
      <c r="QEA248" s="8"/>
      <c r="QEB248" s="9"/>
      <c r="QEC248" s="10"/>
      <c r="QED248" s="11"/>
      <c r="QEE248" s="10"/>
      <c r="QEF248" s="6"/>
      <c r="QEG248" s="7"/>
      <c r="QEH248" s="8"/>
      <c r="QEI248" s="9"/>
      <c r="QEJ248" s="10"/>
      <c r="QEK248" s="11"/>
      <c r="QEL248" s="10"/>
      <c r="QEM248" s="6"/>
      <c r="QEN248" s="7"/>
      <c r="QEO248" s="8"/>
      <c r="QEP248" s="9"/>
      <c r="QEQ248" s="10"/>
      <c r="QER248" s="11"/>
      <c r="QES248" s="10"/>
      <c r="QET248" s="6"/>
      <c r="QEU248" s="7"/>
      <c r="QEV248" s="8"/>
      <c r="QEW248" s="9"/>
      <c r="QEX248" s="10"/>
      <c r="QEY248" s="11"/>
      <c r="QEZ248" s="10"/>
      <c r="QFA248" s="6"/>
      <c r="QFB248" s="7"/>
      <c r="QFC248" s="8"/>
      <c r="QFD248" s="9"/>
      <c r="QFE248" s="10"/>
      <c r="QFF248" s="11"/>
      <c r="QFG248" s="10"/>
      <c r="QFH248" s="6"/>
      <c r="QFI248" s="7"/>
      <c r="QFJ248" s="8"/>
      <c r="QFK248" s="9"/>
      <c r="QFL248" s="10"/>
      <c r="QFM248" s="11"/>
      <c r="QFN248" s="10"/>
      <c r="QFO248" s="6"/>
      <c r="QFP248" s="7"/>
      <c r="QFQ248" s="8"/>
      <c r="QFR248" s="9"/>
      <c r="QFS248" s="10"/>
      <c r="QFT248" s="11"/>
      <c r="QFU248" s="10"/>
      <c r="QFV248" s="6"/>
      <c r="QFW248" s="7"/>
      <c r="QFX248" s="8"/>
      <c r="QFY248" s="9"/>
      <c r="QFZ248" s="10"/>
      <c r="QGA248" s="11"/>
      <c r="QGB248" s="10"/>
      <c r="QGC248" s="6"/>
      <c r="QGD248" s="7"/>
      <c r="QGE248" s="8"/>
      <c r="QGF248" s="9"/>
      <c r="QGG248" s="10"/>
      <c r="QGH248" s="11"/>
      <c r="QGI248" s="10"/>
      <c r="QGJ248" s="6"/>
      <c r="QGK248" s="7"/>
      <c r="QGL248" s="8"/>
      <c r="QGM248" s="9"/>
      <c r="QGN248" s="10"/>
      <c r="QGO248" s="11"/>
      <c r="QGP248" s="10"/>
      <c r="QGQ248" s="6"/>
      <c r="QGR248" s="7"/>
      <c r="QGS248" s="8"/>
      <c r="QGT248" s="9"/>
      <c r="QGU248" s="10"/>
      <c r="QGV248" s="11"/>
      <c r="QGW248" s="10"/>
      <c r="QGX248" s="6"/>
      <c r="QGY248" s="7"/>
      <c r="QGZ248" s="8"/>
      <c r="QHA248" s="9"/>
      <c r="QHB248" s="10"/>
      <c r="QHC248" s="11"/>
      <c r="QHD248" s="10"/>
      <c r="QHE248" s="6"/>
      <c r="QHF248" s="7"/>
      <c r="QHG248" s="8"/>
      <c r="QHH248" s="9"/>
      <c r="QHI248" s="10"/>
      <c r="QHJ248" s="11"/>
      <c r="QHK248" s="10"/>
      <c r="QHL248" s="6"/>
      <c r="QHM248" s="7"/>
      <c r="QHN248" s="8"/>
      <c r="QHO248" s="9"/>
      <c r="QHP248" s="10"/>
      <c r="QHQ248" s="11"/>
      <c r="QHR248" s="10"/>
      <c r="QHS248" s="6"/>
      <c r="QHT248" s="7"/>
      <c r="QHU248" s="8"/>
      <c r="QHV248" s="9"/>
      <c r="QHW248" s="10"/>
      <c r="QHX248" s="11"/>
      <c r="QHY248" s="10"/>
      <c r="QHZ248" s="6"/>
      <c r="QIA248" s="7"/>
      <c r="QIB248" s="8"/>
      <c r="QIC248" s="9"/>
      <c r="QID248" s="10"/>
      <c r="QIE248" s="11"/>
      <c r="QIF248" s="10"/>
      <c r="QIG248" s="6"/>
      <c r="QIH248" s="7"/>
      <c r="QII248" s="8"/>
      <c r="QIJ248" s="9"/>
      <c r="QIK248" s="10"/>
      <c r="QIL248" s="11"/>
      <c r="QIM248" s="10"/>
      <c r="QIN248" s="6"/>
      <c r="QIO248" s="7"/>
      <c r="QIP248" s="8"/>
      <c r="QIQ248" s="9"/>
      <c r="QIR248" s="10"/>
      <c r="QIS248" s="11"/>
      <c r="QIT248" s="10"/>
      <c r="QIU248" s="6"/>
      <c r="QIV248" s="7"/>
      <c r="QIW248" s="8"/>
      <c r="QIX248" s="9"/>
      <c r="QIY248" s="10"/>
      <c r="QIZ248" s="11"/>
      <c r="QJA248" s="10"/>
      <c r="QJB248" s="6"/>
      <c r="QJC248" s="7"/>
      <c r="QJD248" s="8"/>
      <c r="QJE248" s="9"/>
      <c r="QJF248" s="10"/>
      <c r="QJG248" s="11"/>
      <c r="QJH248" s="10"/>
      <c r="QJI248" s="6"/>
      <c r="QJJ248" s="7"/>
      <c r="QJK248" s="8"/>
      <c r="QJL248" s="9"/>
      <c r="QJM248" s="10"/>
      <c r="QJN248" s="11"/>
      <c r="QJO248" s="10"/>
      <c r="QJP248" s="6"/>
      <c r="QJQ248" s="7"/>
      <c r="QJR248" s="8"/>
      <c r="QJS248" s="9"/>
      <c r="QJT248" s="10"/>
      <c r="QJU248" s="11"/>
      <c r="QJV248" s="10"/>
      <c r="QJW248" s="6"/>
      <c r="QJX248" s="7"/>
      <c r="QJY248" s="8"/>
      <c r="QJZ248" s="9"/>
      <c r="QKA248" s="10"/>
      <c r="QKB248" s="11"/>
      <c r="QKC248" s="10"/>
      <c r="QKD248" s="6"/>
      <c r="QKE248" s="7"/>
      <c r="QKF248" s="8"/>
      <c r="QKG248" s="9"/>
      <c r="QKH248" s="10"/>
      <c r="QKI248" s="11"/>
      <c r="QKJ248" s="10"/>
      <c r="QKK248" s="6"/>
      <c r="QKL248" s="7"/>
      <c r="QKM248" s="8"/>
      <c r="QKN248" s="9"/>
      <c r="QKO248" s="10"/>
      <c r="QKP248" s="11"/>
      <c r="QKQ248" s="10"/>
      <c r="QKR248" s="6"/>
      <c r="QKS248" s="7"/>
      <c r="QKT248" s="8"/>
      <c r="QKU248" s="9"/>
      <c r="QKV248" s="10"/>
      <c r="QKW248" s="11"/>
      <c r="QKX248" s="10"/>
      <c r="QKY248" s="6"/>
      <c r="QKZ248" s="7"/>
      <c r="QLA248" s="8"/>
      <c r="QLB248" s="9"/>
      <c r="QLC248" s="10"/>
      <c r="QLD248" s="11"/>
      <c r="QLE248" s="10"/>
      <c r="QLF248" s="6"/>
      <c r="QLG248" s="7"/>
      <c r="QLH248" s="8"/>
      <c r="QLI248" s="9"/>
      <c r="QLJ248" s="10"/>
      <c r="QLK248" s="11"/>
      <c r="QLL248" s="10"/>
      <c r="QLM248" s="6"/>
      <c r="QLN248" s="7"/>
      <c r="QLO248" s="8"/>
      <c r="QLP248" s="9"/>
      <c r="QLQ248" s="10"/>
      <c r="QLR248" s="11"/>
      <c r="QLS248" s="10"/>
      <c r="QLT248" s="6"/>
      <c r="QLU248" s="7"/>
      <c r="QLV248" s="8"/>
      <c r="QLW248" s="9"/>
      <c r="QLX248" s="10"/>
      <c r="QLY248" s="11"/>
      <c r="QLZ248" s="10"/>
      <c r="QMA248" s="6"/>
      <c r="QMB248" s="7"/>
      <c r="QMC248" s="8"/>
      <c r="QMD248" s="9"/>
      <c r="QME248" s="10"/>
      <c r="QMF248" s="11"/>
      <c r="QMG248" s="10"/>
      <c r="QMH248" s="6"/>
      <c r="QMI248" s="7"/>
      <c r="QMJ248" s="8"/>
      <c r="QMK248" s="9"/>
      <c r="QML248" s="10"/>
      <c r="QMM248" s="11"/>
      <c r="QMN248" s="10"/>
      <c r="QMO248" s="6"/>
      <c r="QMP248" s="7"/>
      <c r="QMQ248" s="8"/>
      <c r="QMR248" s="9"/>
      <c r="QMS248" s="10"/>
      <c r="QMT248" s="11"/>
      <c r="QMU248" s="10"/>
      <c r="QMV248" s="6"/>
      <c r="QMW248" s="7"/>
      <c r="QMX248" s="8"/>
      <c r="QMY248" s="9"/>
      <c r="QMZ248" s="10"/>
      <c r="QNA248" s="11"/>
      <c r="QNB248" s="10"/>
      <c r="QNC248" s="6"/>
      <c r="QND248" s="7"/>
      <c r="QNE248" s="8"/>
      <c r="QNF248" s="9"/>
      <c r="QNG248" s="10"/>
      <c r="QNH248" s="11"/>
      <c r="QNI248" s="10"/>
      <c r="QNJ248" s="6"/>
      <c r="QNK248" s="7"/>
      <c r="QNL248" s="8"/>
      <c r="QNM248" s="9"/>
      <c r="QNN248" s="10"/>
      <c r="QNO248" s="11"/>
      <c r="QNP248" s="10"/>
      <c r="QNQ248" s="6"/>
      <c r="QNR248" s="7"/>
      <c r="QNS248" s="8"/>
      <c r="QNT248" s="9"/>
      <c r="QNU248" s="10"/>
      <c r="QNV248" s="11"/>
      <c r="QNW248" s="10"/>
      <c r="QNX248" s="6"/>
      <c r="QNY248" s="7"/>
      <c r="QNZ248" s="8"/>
      <c r="QOA248" s="9"/>
      <c r="QOB248" s="10"/>
      <c r="QOC248" s="11"/>
      <c r="QOD248" s="10"/>
      <c r="QOE248" s="6"/>
      <c r="QOF248" s="7"/>
      <c r="QOG248" s="8"/>
      <c r="QOH248" s="9"/>
      <c r="QOI248" s="10"/>
      <c r="QOJ248" s="11"/>
      <c r="QOK248" s="10"/>
      <c r="QOL248" s="6"/>
      <c r="QOM248" s="7"/>
      <c r="QON248" s="8"/>
      <c r="QOO248" s="9"/>
      <c r="QOP248" s="10"/>
      <c r="QOQ248" s="11"/>
      <c r="QOR248" s="10"/>
      <c r="QOS248" s="6"/>
      <c r="QOT248" s="7"/>
      <c r="QOU248" s="8"/>
      <c r="QOV248" s="9"/>
      <c r="QOW248" s="10"/>
      <c r="QOX248" s="11"/>
      <c r="QOY248" s="10"/>
      <c r="QOZ248" s="6"/>
      <c r="QPA248" s="7"/>
      <c r="QPB248" s="8"/>
      <c r="QPC248" s="9"/>
      <c r="QPD248" s="10"/>
      <c r="QPE248" s="11"/>
      <c r="QPF248" s="10"/>
      <c r="QPG248" s="6"/>
      <c r="QPH248" s="7"/>
      <c r="QPI248" s="8"/>
      <c r="QPJ248" s="9"/>
      <c r="QPK248" s="10"/>
      <c r="QPL248" s="11"/>
      <c r="QPM248" s="10"/>
      <c r="QPN248" s="6"/>
      <c r="QPO248" s="7"/>
      <c r="QPP248" s="8"/>
      <c r="QPQ248" s="9"/>
      <c r="QPR248" s="10"/>
      <c r="QPS248" s="11"/>
      <c r="QPT248" s="10"/>
      <c r="QPU248" s="6"/>
      <c r="QPV248" s="7"/>
      <c r="QPW248" s="8"/>
      <c r="QPX248" s="9"/>
      <c r="QPY248" s="10"/>
      <c r="QPZ248" s="11"/>
      <c r="QQA248" s="10"/>
      <c r="QQB248" s="6"/>
      <c r="QQC248" s="7"/>
      <c r="QQD248" s="8"/>
      <c r="QQE248" s="9"/>
      <c r="QQF248" s="10"/>
      <c r="QQG248" s="11"/>
      <c r="QQH248" s="10"/>
      <c r="QQI248" s="6"/>
      <c r="QQJ248" s="7"/>
      <c r="QQK248" s="8"/>
      <c r="QQL248" s="9"/>
      <c r="QQM248" s="10"/>
      <c r="QQN248" s="11"/>
      <c r="QQO248" s="10"/>
      <c r="QQP248" s="6"/>
      <c r="QQQ248" s="7"/>
      <c r="QQR248" s="8"/>
      <c r="QQS248" s="9"/>
      <c r="QQT248" s="10"/>
      <c r="QQU248" s="11"/>
      <c r="QQV248" s="10"/>
      <c r="QQW248" s="6"/>
      <c r="QQX248" s="7"/>
      <c r="QQY248" s="8"/>
      <c r="QQZ248" s="9"/>
      <c r="QRA248" s="10"/>
      <c r="QRB248" s="11"/>
      <c r="QRC248" s="10"/>
      <c r="QRD248" s="6"/>
      <c r="QRE248" s="7"/>
      <c r="QRF248" s="8"/>
      <c r="QRG248" s="9"/>
      <c r="QRH248" s="10"/>
      <c r="QRI248" s="11"/>
      <c r="QRJ248" s="10"/>
      <c r="QRK248" s="6"/>
      <c r="QRL248" s="7"/>
      <c r="QRM248" s="8"/>
      <c r="QRN248" s="9"/>
      <c r="QRO248" s="10"/>
      <c r="QRP248" s="11"/>
      <c r="QRQ248" s="10"/>
      <c r="QRR248" s="6"/>
      <c r="QRS248" s="7"/>
      <c r="QRT248" s="8"/>
      <c r="QRU248" s="9"/>
      <c r="QRV248" s="10"/>
      <c r="QRW248" s="11"/>
      <c r="QRX248" s="10"/>
      <c r="QRY248" s="6"/>
      <c r="QRZ248" s="7"/>
      <c r="QSA248" s="8"/>
      <c r="QSB248" s="9"/>
      <c r="QSC248" s="10"/>
      <c r="QSD248" s="11"/>
      <c r="QSE248" s="10"/>
      <c r="QSF248" s="6"/>
      <c r="QSG248" s="7"/>
      <c r="QSH248" s="8"/>
      <c r="QSI248" s="9"/>
      <c r="QSJ248" s="10"/>
      <c r="QSK248" s="11"/>
      <c r="QSL248" s="10"/>
      <c r="QSM248" s="6"/>
      <c r="QSN248" s="7"/>
      <c r="QSO248" s="8"/>
      <c r="QSP248" s="9"/>
      <c r="QSQ248" s="10"/>
      <c r="QSR248" s="11"/>
      <c r="QSS248" s="10"/>
      <c r="QST248" s="6"/>
      <c r="QSU248" s="7"/>
      <c r="QSV248" s="8"/>
      <c r="QSW248" s="9"/>
      <c r="QSX248" s="10"/>
      <c r="QSY248" s="11"/>
      <c r="QSZ248" s="10"/>
      <c r="QTA248" s="6"/>
      <c r="QTB248" s="7"/>
      <c r="QTC248" s="8"/>
      <c r="QTD248" s="9"/>
      <c r="QTE248" s="10"/>
      <c r="QTF248" s="11"/>
      <c r="QTG248" s="10"/>
      <c r="QTH248" s="6"/>
      <c r="QTI248" s="7"/>
      <c r="QTJ248" s="8"/>
      <c r="QTK248" s="9"/>
      <c r="QTL248" s="10"/>
      <c r="QTM248" s="11"/>
      <c r="QTN248" s="10"/>
      <c r="QTO248" s="6"/>
      <c r="QTP248" s="7"/>
      <c r="QTQ248" s="8"/>
      <c r="QTR248" s="9"/>
      <c r="QTS248" s="10"/>
      <c r="QTT248" s="11"/>
      <c r="QTU248" s="10"/>
      <c r="QTV248" s="6"/>
      <c r="QTW248" s="7"/>
      <c r="QTX248" s="8"/>
      <c r="QTY248" s="9"/>
      <c r="QTZ248" s="10"/>
      <c r="QUA248" s="11"/>
      <c r="QUB248" s="10"/>
      <c r="QUC248" s="6"/>
      <c r="QUD248" s="7"/>
      <c r="QUE248" s="8"/>
      <c r="QUF248" s="9"/>
      <c r="QUG248" s="10"/>
      <c r="QUH248" s="11"/>
      <c r="QUI248" s="10"/>
      <c r="QUJ248" s="6"/>
      <c r="QUK248" s="7"/>
      <c r="QUL248" s="8"/>
      <c r="QUM248" s="9"/>
      <c r="QUN248" s="10"/>
      <c r="QUO248" s="11"/>
      <c r="QUP248" s="10"/>
      <c r="QUQ248" s="6"/>
      <c r="QUR248" s="7"/>
      <c r="QUS248" s="8"/>
      <c r="QUT248" s="9"/>
      <c r="QUU248" s="10"/>
      <c r="QUV248" s="11"/>
      <c r="QUW248" s="10"/>
      <c r="QUX248" s="6"/>
      <c r="QUY248" s="7"/>
      <c r="QUZ248" s="8"/>
      <c r="QVA248" s="9"/>
      <c r="QVB248" s="10"/>
      <c r="QVC248" s="11"/>
      <c r="QVD248" s="10"/>
      <c r="QVE248" s="6"/>
      <c r="QVF248" s="7"/>
      <c r="QVG248" s="8"/>
      <c r="QVH248" s="9"/>
      <c r="QVI248" s="10"/>
      <c r="QVJ248" s="11"/>
      <c r="QVK248" s="10"/>
      <c r="QVL248" s="6"/>
      <c r="QVM248" s="7"/>
      <c r="QVN248" s="8"/>
      <c r="QVO248" s="9"/>
      <c r="QVP248" s="10"/>
      <c r="QVQ248" s="11"/>
      <c r="QVR248" s="10"/>
      <c r="QVS248" s="6"/>
      <c r="QVT248" s="7"/>
      <c r="QVU248" s="8"/>
      <c r="QVV248" s="9"/>
      <c r="QVW248" s="10"/>
      <c r="QVX248" s="11"/>
      <c r="QVY248" s="10"/>
      <c r="QVZ248" s="6"/>
      <c r="QWA248" s="7"/>
      <c r="QWB248" s="8"/>
      <c r="QWC248" s="9"/>
      <c r="QWD248" s="10"/>
      <c r="QWE248" s="11"/>
      <c r="QWF248" s="10"/>
      <c r="QWG248" s="6"/>
      <c r="QWH248" s="7"/>
      <c r="QWI248" s="8"/>
      <c r="QWJ248" s="9"/>
      <c r="QWK248" s="10"/>
      <c r="QWL248" s="11"/>
      <c r="QWM248" s="10"/>
      <c r="QWN248" s="6"/>
      <c r="QWO248" s="7"/>
      <c r="QWP248" s="8"/>
      <c r="QWQ248" s="9"/>
      <c r="QWR248" s="10"/>
      <c r="QWS248" s="11"/>
      <c r="QWT248" s="10"/>
      <c r="QWU248" s="6"/>
      <c r="QWV248" s="7"/>
      <c r="QWW248" s="8"/>
      <c r="QWX248" s="9"/>
      <c r="QWY248" s="10"/>
      <c r="QWZ248" s="11"/>
      <c r="QXA248" s="10"/>
      <c r="QXB248" s="6"/>
      <c r="QXC248" s="7"/>
      <c r="QXD248" s="8"/>
      <c r="QXE248" s="9"/>
      <c r="QXF248" s="10"/>
      <c r="QXG248" s="11"/>
      <c r="QXH248" s="10"/>
      <c r="QXI248" s="6"/>
      <c r="QXJ248" s="7"/>
      <c r="QXK248" s="8"/>
      <c r="QXL248" s="9"/>
      <c r="QXM248" s="10"/>
      <c r="QXN248" s="11"/>
      <c r="QXO248" s="10"/>
      <c r="QXP248" s="6"/>
      <c r="QXQ248" s="7"/>
      <c r="QXR248" s="8"/>
      <c r="QXS248" s="9"/>
      <c r="QXT248" s="10"/>
      <c r="QXU248" s="11"/>
      <c r="QXV248" s="10"/>
      <c r="QXW248" s="6"/>
      <c r="QXX248" s="7"/>
      <c r="QXY248" s="8"/>
      <c r="QXZ248" s="9"/>
      <c r="QYA248" s="10"/>
      <c r="QYB248" s="11"/>
      <c r="QYC248" s="10"/>
      <c r="QYD248" s="6"/>
      <c r="QYE248" s="7"/>
      <c r="QYF248" s="8"/>
      <c r="QYG248" s="9"/>
      <c r="QYH248" s="10"/>
      <c r="QYI248" s="11"/>
      <c r="QYJ248" s="10"/>
      <c r="QYK248" s="6"/>
      <c r="QYL248" s="7"/>
      <c r="QYM248" s="8"/>
      <c r="QYN248" s="9"/>
      <c r="QYO248" s="10"/>
      <c r="QYP248" s="11"/>
      <c r="QYQ248" s="10"/>
      <c r="QYR248" s="6"/>
      <c r="QYS248" s="7"/>
      <c r="QYT248" s="8"/>
      <c r="QYU248" s="9"/>
      <c r="QYV248" s="10"/>
      <c r="QYW248" s="11"/>
      <c r="QYX248" s="10"/>
      <c r="QYY248" s="6"/>
      <c r="QYZ248" s="7"/>
      <c r="QZA248" s="8"/>
      <c r="QZB248" s="9"/>
      <c r="QZC248" s="10"/>
      <c r="QZD248" s="11"/>
      <c r="QZE248" s="10"/>
      <c r="QZF248" s="6"/>
      <c r="QZG248" s="7"/>
      <c r="QZH248" s="8"/>
      <c r="QZI248" s="9"/>
      <c r="QZJ248" s="10"/>
      <c r="QZK248" s="11"/>
      <c r="QZL248" s="10"/>
      <c r="QZM248" s="6"/>
      <c r="QZN248" s="7"/>
      <c r="QZO248" s="8"/>
      <c r="QZP248" s="9"/>
      <c r="QZQ248" s="10"/>
      <c r="QZR248" s="11"/>
      <c r="QZS248" s="10"/>
      <c r="QZT248" s="6"/>
      <c r="QZU248" s="7"/>
      <c r="QZV248" s="8"/>
      <c r="QZW248" s="9"/>
      <c r="QZX248" s="10"/>
      <c r="QZY248" s="11"/>
      <c r="QZZ248" s="10"/>
      <c r="RAA248" s="6"/>
      <c r="RAB248" s="7"/>
      <c r="RAC248" s="8"/>
      <c r="RAD248" s="9"/>
      <c r="RAE248" s="10"/>
      <c r="RAF248" s="11"/>
      <c r="RAG248" s="10"/>
      <c r="RAH248" s="6"/>
      <c r="RAI248" s="7"/>
      <c r="RAJ248" s="8"/>
      <c r="RAK248" s="9"/>
      <c r="RAL248" s="10"/>
      <c r="RAM248" s="11"/>
      <c r="RAN248" s="10"/>
      <c r="RAO248" s="6"/>
      <c r="RAP248" s="7"/>
      <c r="RAQ248" s="8"/>
      <c r="RAR248" s="9"/>
      <c r="RAS248" s="10"/>
      <c r="RAT248" s="11"/>
      <c r="RAU248" s="10"/>
      <c r="RAV248" s="6"/>
      <c r="RAW248" s="7"/>
      <c r="RAX248" s="8"/>
      <c r="RAY248" s="9"/>
      <c r="RAZ248" s="10"/>
      <c r="RBA248" s="11"/>
      <c r="RBB248" s="10"/>
      <c r="RBC248" s="6"/>
      <c r="RBD248" s="7"/>
      <c r="RBE248" s="8"/>
      <c r="RBF248" s="9"/>
      <c r="RBG248" s="10"/>
      <c r="RBH248" s="11"/>
      <c r="RBI248" s="10"/>
      <c r="RBJ248" s="6"/>
      <c r="RBK248" s="7"/>
      <c r="RBL248" s="8"/>
      <c r="RBM248" s="9"/>
      <c r="RBN248" s="10"/>
      <c r="RBO248" s="11"/>
      <c r="RBP248" s="10"/>
      <c r="RBQ248" s="6"/>
      <c r="RBR248" s="7"/>
      <c r="RBS248" s="8"/>
      <c r="RBT248" s="9"/>
      <c r="RBU248" s="10"/>
      <c r="RBV248" s="11"/>
      <c r="RBW248" s="10"/>
      <c r="RBX248" s="6"/>
      <c r="RBY248" s="7"/>
      <c r="RBZ248" s="8"/>
      <c r="RCA248" s="9"/>
      <c r="RCB248" s="10"/>
      <c r="RCC248" s="11"/>
      <c r="RCD248" s="10"/>
      <c r="RCE248" s="6"/>
      <c r="RCF248" s="7"/>
      <c r="RCG248" s="8"/>
      <c r="RCH248" s="9"/>
      <c r="RCI248" s="10"/>
      <c r="RCJ248" s="11"/>
      <c r="RCK248" s="10"/>
      <c r="RCL248" s="6"/>
      <c r="RCM248" s="7"/>
      <c r="RCN248" s="8"/>
      <c r="RCO248" s="9"/>
      <c r="RCP248" s="10"/>
      <c r="RCQ248" s="11"/>
      <c r="RCR248" s="10"/>
      <c r="RCS248" s="6"/>
      <c r="RCT248" s="7"/>
      <c r="RCU248" s="8"/>
      <c r="RCV248" s="9"/>
      <c r="RCW248" s="10"/>
      <c r="RCX248" s="11"/>
      <c r="RCY248" s="10"/>
      <c r="RCZ248" s="6"/>
      <c r="RDA248" s="7"/>
      <c r="RDB248" s="8"/>
      <c r="RDC248" s="9"/>
      <c r="RDD248" s="10"/>
      <c r="RDE248" s="11"/>
      <c r="RDF248" s="10"/>
      <c r="RDG248" s="6"/>
      <c r="RDH248" s="7"/>
      <c r="RDI248" s="8"/>
      <c r="RDJ248" s="9"/>
      <c r="RDK248" s="10"/>
      <c r="RDL248" s="11"/>
      <c r="RDM248" s="10"/>
      <c r="RDN248" s="6"/>
      <c r="RDO248" s="7"/>
      <c r="RDP248" s="8"/>
      <c r="RDQ248" s="9"/>
      <c r="RDR248" s="10"/>
      <c r="RDS248" s="11"/>
      <c r="RDT248" s="10"/>
      <c r="RDU248" s="6"/>
      <c r="RDV248" s="7"/>
      <c r="RDW248" s="8"/>
      <c r="RDX248" s="9"/>
      <c r="RDY248" s="10"/>
      <c r="RDZ248" s="11"/>
      <c r="REA248" s="10"/>
      <c r="REB248" s="6"/>
      <c r="REC248" s="7"/>
      <c r="RED248" s="8"/>
      <c r="REE248" s="9"/>
      <c r="REF248" s="10"/>
      <c r="REG248" s="11"/>
      <c r="REH248" s="10"/>
      <c r="REI248" s="6"/>
      <c r="REJ248" s="7"/>
      <c r="REK248" s="8"/>
      <c r="REL248" s="9"/>
      <c r="REM248" s="10"/>
      <c r="REN248" s="11"/>
      <c r="REO248" s="10"/>
      <c r="REP248" s="6"/>
      <c r="REQ248" s="7"/>
      <c r="RER248" s="8"/>
      <c r="RES248" s="9"/>
      <c r="RET248" s="10"/>
      <c r="REU248" s="11"/>
      <c r="REV248" s="10"/>
      <c r="REW248" s="6"/>
      <c r="REX248" s="7"/>
      <c r="REY248" s="8"/>
      <c r="REZ248" s="9"/>
      <c r="RFA248" s="10"/>
      <c r="RFB248" s="11"/>
      <c r="RFC248" s="10"/>
      <c r="RFD248" s="6"/>
      <c r="RFE248" s="7"/>
      <c r="RFF248" s="8"/>
      <c r="RFG248" s="9"/>
      <c r="RFH248" s="10"/>
      <c r="RFI248" s="11"/>
      <c r="RFJ248" s="10"/>
      <c r="RFK248" s="6"/>
      <c r="RFL248" s="7"/>
      <c r="RFM248" s="8"/>
      <c r="RFN248" s="9"/>
      <c r="RFO248" s="10"/>
      <c r="RFP248" s="11"/>
      <c r="RFQ248" s="10"/>
      <c r="RFR248" s="6"/>
      <c r="RFS248" s="7"/>
      <c r="RFT248" s="8"/>
      <c r="RFU248" s="9"/>
      <c r="RFV248" s="10"/>
      <c r="RFW248" s="11"/>
      <c r="RFX248" s="10"/>
      <c r="RFY248" s="6"/>
      <c r="RFZ248" s="7"/>
      <c r="RGA248" s="8"/>
      <c r="RGB248" s="9"/>
      <c r="RGC248" s="10"/>
      <c r="RGD248" s="11"/>
      <c r="RGE248" s="10"/>
      <c r="RGF248" s="6"/>
      <c r="RGG248" s="7"/>
      <c r="RGH248" s="8"/>
      <c r="RGI248" s="9"/>
      <c r="RGJ248" s="10"/>
      <c r="RGK248" s="11"/>
      <c r="RGL248" s="10"/>
      <c r="RGM248" s="6"/>
      <c r="RGN248" s="7"/>
      <c r="RGO248" s="8"/>
      <c r="RGP248" s="9"/>
      <c r="RGQ248" s="10"/>
      <c r="RGR248" s="11"/>
      <c r="RGS248" s="10"/>
      <c r="RGT248" s="6"/>
      <c r="RGU248" s="7"/>
      <c r="RGV248" s="8"/>
      <c r="RGW248" s="9"/>
      <c r="RGX248" s="10"/>
      <c r="RGY248" s="11"/>
      <c r="RGZ248" s="10"/>
      <c r="RHA248" s="6"/>
      <c r="RHB248" s="7"/>
      <c r="RHC248" s="8"/>
      <c r="RHD248" s="9"/>
      <c r="RHE248" s="10"/>
      <c r="RHF248" s="11"/>
      <c r="RHG248" s="10"/>
      <c r="RHH248" s="6"/>
      <c r="RHI248" s="7"/>
      <c r="RHJ248" s="8"/>
      <c r="RHK248" s="9"/>
      <c r="RHL248" s="10"/>
      <c r="RHM248" s="11"/>
      <c r="RHN248" s="10"/>
      <c r="RHO248" s="6"/>
      <c r="RHP248" s="7"/>
      <c r="RHQ248" s="8"/>
      <c r="RHR248" s="9"/>
      <c r="RHS248" s="10"/>
      <c r="RHT248" s="11"/>
      <c r="RHU248" s="10"/>
      <c r="RHV248" s="6"/>
      <c r="RHW248" s="7"/>
      <c r="RHX248" s="8"/>
      <c r="RHY248" s="9"/>
      <c r="RHZ248" s="10"/>
      <c r="RIA248" s="11"/>
      <c r="RIB248" s="10"/>
      <c r="RIC248" s="6"/>
      <c r="RID248" s="7"/>
      <c r="RIE248" s="8"/>
      <c r="RIF248" s="9"/>
      <c r="RIG248" s="10"/>
      <c r="RIH248" s="11"/>
      <c r="RII248" s="10"/>
      <c r="RIJ248" s="6"/>
      <c r="RIK248" s="7"/>
      <c r="RIL248" s="8"/>
      <c r="RIM248" s="9"/>
      <c r="RIN248" s="10"/>
      <c r="RIO248" s="11"/>
      <c r="RIP248" s="10"/>
      <c r="RIQ248" s="6"/>
      <c r="RIR248" s="7"/>
      <c r="RIS248" s="8"/>
      <c r="RIT248" s="9"/>
      <c r="RIU248" s="10"/>
      <c r="RIV248" s="11"/>
      <c r="RIW248" s="10"/>
      <c r="RIX248" s="6"/>
      <c r="RIY248" s="7"/>
      <c r="RIZ248" s="8"/>
      <c r="RJA248" s="9"/>
      <c r="RJB248" s="10"/>
      <c r="RJC248" s="11"/>
      <c r="RJD248" s="10"/>
      <c r="RJE248" s="6"/>
      <c r="RJF248" s="7"/>
      <c r="RJG248" s="8"/>
      <c r="RJH248" s="9"/>
      <c r="RJI248" s="10"/>
      <c r="RJJ248" s="11"/>
      <c r="RJK248" s="10"/>
      <c r="RJL248" s="6"/>
      <c r="RJM248" s="7"/>
      <c r="RJN248" s="8"/>
      <c r="RJO248" s="9"/>
      <c r="RJP248" s="10"/>
      <c r="RJQ248" s="11"/>
      <c r="RJR248" s="10"/>
      <c r="RJS248" s="6"/>
      <c r="RJT248" s="7"/>
      <c r="RJU248" s="8"/>
      <c r="RJV248" s="9"/>
      <c r="RJW248" s="10"/>
      <c r="RJX248" s="11"/>
      <c r="RJY248" s="10"/>
      <c r="RJZ248" s="6"/>
      <c r="RKA248" s="7"/>
      <c r="RKB248" s="8"/>
      <c r="RKC248" s="9"/>
      <c r="RKD248" s="10"/>
      <c r="RKE248" s="11"/>
      <c r="RKF248" s="10"/>
      <c r="RKG248" s="6"/>
      <c r="RKH248" s="7"/>
      <c r="RKI248" s="8"/>
      <c r="RKJ248" s="9"/>
      <c r="RKK248" s="10"/>
      <c r="RKL248" s="11"/>
      <c r="RKM248" s="10"/>
      <c r="RKN248" s="6"/>
      <c r="RKO248" s="7"/>
      <c r="RKP248" s="8"/>
      <c r="RKQ248" s="9"/>
      <c r="RKR248" s="10"/>
      <c r="RKS248" s="11"/>
      <c r="RKT248" s="10"/>
      <c r="RKU248" s="6"/>
      <c r="RKV248" s="7"/>
      <c r="RKW248" s="8"/>
      <c r="RKX248" s="9"/>
      <c r="RKY248" s="10"/>
      <c r="RKZ248" s="11"/>
      <c r="RLA248" s="10"/>
      <c r="RLB248" s="6"/>
      <c r="RLC248" s="7"/>
      <c r="RLD248" s="8"/>
      <c r="RLE248" s="9"/>
      <c r="RLF248" s="10"/>
      <c r="RLG248" s="11"/>
      <c r="RLH248" s="10"/>
      <c r="RLI248" s="6"/>
      <c r="RLJ248" s="7"/>
      <c r="RLK248" s="8"/>
      <c r="RLL248" s="9"/>
      <c r="RLM248" s="10"/>
      <c r="RLN248" s="11"/>
      <c r="RLO248" s="10"/>
      <c r="RLP248" s="6"/>
      <c r="RLQ248" s="7"/>
      <c r="RLR248" s="8"/>
      <c r="RLS248" s="9"/>
      <c r="RLT248" s="10"/>
      <c r="RLU248" s="11"/>
      <c r="RLV248" s="10"/>
      <c r="RLW248" s="6"/>
      <c r="RLX248" s="7"/>
      <c r="RLY248" s="8"/>
      <c r="RLZ248" s="9"/>
      <c r="RMA248" s="10"/>
      <c r="RMB248" s="11"/>
      <c r="RMC248" s="10"/>
      <c r="RMD248" s="6"/>
      <c r="RME248" s="7"/>
      <c r="RMF248" s="8"/>
      <c r="RMG248" s="9"/>
      <c r="RMH248" s="10"/>
      <c r="RMI248" s="11"/>
      <c r="RMJ248" s="10"/>
      <c r="RMK248" s="6"/>
      <c r="RML248" s="7"/>
      <c r="RMM248" s="8"/>
      <c r="RMN248" s="9"/>
      <c r="RMO248" s="10"/>
      <c r="RMP248" s="11"/>
      <c r="RMQ248" s="10"/>
      <c r="RMR248" s="6"/>
      <c r="RMS248" s="7"/>
      <c r="RMT248" s="8"/>
      <c r="RMU248" s="9"/>
      <c r="RMV248" s="10"/>
      <c r="RMW248" s="11"/>
      <c r="RMX248" s="10"/>
      <c r="RMY248" s="6"/>
      <c r="RMZ248" s="7"/>
      <c r="RNA248" s="8"/>
      <c r="RNB248" s="9"/>
      <c r="RNC248" s="10"/>
      <c r="RND248" s="11"/>
      <c r="RNE248" s="10"/>
      <c r="RNF248" s="6"/>
      <c r="RNG248" s="7"/>
      <c r="RNH248" s="8"/>
      <c r="RNI248" s="9"/>
      <c r="RNJ248" s="10"/>
      <c r="RNK248" s="11"/>
      <c r="RNL248" s="10"/>
      <c r="RNM248" s="6"/>
      <c r="RNN248" s="7"/>
      <c r="RNO248" s="8"/>
      <c r="RNP248" s="9"/>
      <c r="RNQ248" s="10"/>
      <c r="RNR248" s="11"/>
      <c r="RNS248" s="10"/>
      <c r="RNT248" s="6"/>
      <c r="RNU248" s="7"/>
      <c r="RNV248" s="8"/>
      <c r="RNW248" s="9"/>
      <c r="RNX248" s="10"/>
      <c r="RNY248" s="11"/>
      <c r="RNZ248" s="10"/>
      <c r="ROA248" s="6"/>
      <c r="ROB248" s="7"/>
      <c r="ROC248" s="8"/>
      <c r="ROD248" s="9"/>
      <c r="ROE248" s="10"/>
      <c r="ROF248" s="11"/>
      <c r="ROG248" s="10"/>
      <c r="ROH248" s="6"/>
      <c r="ROI248" s="7"/>
      <c r="ROJ248" s="8"/>
      <c r="ROK248" s="9"/>
      <c r="ROL248" s="10"/>
      <c r="ROM248" s="11"/>
      <c r="RON248" s="10"/>
      <c r="ROO248" s="6"/>
      <c r="ROP248" s="7"/>
      <c r="ROQ248" s="8"/>
      <c r="ROR248" s="9"/>
      <c r="ROS248" s="10"/>
      <c r="ROT248" s="11"/>
      <c r="ROU248" s="10"/>
      <c r="ROV248" s="6"/>
      <c r="ROW248" s="7"/>
      <c r="ROX248" s="8"/>
      <c r="ROY248" s="9"/>
      <c r="ROZ248" s="10"/>
      <c r="RPA248" s="11"/>
      <c r="RPB248" s="10"/>
      <c r="RPC248" s="6"/>
      <c r="RPD248" s="7"/>
      <c r="RPE248" s="8"/>
      <c r="RPF248" s="9"/>
      <c r="RPG248" s="10"/>
      <c r="RPH248" s="11"/>
      <c r="RPI248" s="10"/>
      <c r="RPJ248" s="6"/>
      <c r="RPK248" s="7"/>
      <c r="RPL248" s="8"/>
      <c r="RPM248" s="9"/>
      <c r="RPN248" s="10"/>
      <c r="RPO248" s="11"/>
      <c r="RPP248" s="10"/>
      <c r="RPQ248" s="6"/>
      <c r="RPR248" s="7"/>
      <c r="RPS248" s="8"/>
      <c r="RPT248" s="9"/>
      <c r="RPU248" s="10"/>
      <c r="RPV248" s="11"/>
      <c r="RPW248" s="10"/>
      <c r="RPX248" s="6"/>
      <c r="RPY248" s="7"/>
      <c r="RPZ248" s="8"/>
      <c r="RQA248" s="9"/>
      <c r="RQB248" s="10"/>
      <c r="RQC248" s="11"/>
      <c r="RQD248" s="10"/>
      <c r="RQE248" s="6"/>
      <c r="RQF248" s="7"/>
      <c r="RQG248" s="8"/>
      <c r="RQH248" s="9"/>
      <c r="RQI248" s="10"/>
      <c r="RQJ248" s="11"/>
      <c r="RQK248" s="10"/>
      <c r="RQL248" s="6"/>
      <c r="RQM248" s="7"/>
      <c r="RQN248" s="8"/>
      <c r="RQO248" s="9"/>
      <c r="RQP248" s="10"/>
      <c r="RQQ248" s="11"/>
      <c r="RQR248" s="10"/>
      <c r="RQS248" s="6"/>
      <c r="RQT248" s="7"/>
      <c r="RQU248" s="8"/>
      <c r="RQV248" s="9"/>
      <c r="RQW248" s="10"/>
      <c r="RQX248" s="11"/>
      <c r="RQY248" s="10"/>
      <c r="RQZ248" s="6"/>
      <c r="RRA248" s="7"/>
      <c r="RRB248" s="8"/>
      <c r="RRC248" s="9"/>
      <c r="RRD248" s="10"/>
      <c r="RRE248" s="11"/>
      <c r="RRF248" s="10"/>
      <c r="RRG248" s="6"/>
      <c r="RRH248" s="7"/>
      <c r="RRI248" s="8"/>
      <c r="RRJ248" s="9"/>
      <c r="RRK248" s="10"/>
      <c r="RRL248" s="11"/>
      <c r="RRM248" s="10"/>
      <c r="RRN248" s="6"/>
      <c r="RRO248" s="7"/>
      <c r="RRP248" s="8"/>
      <c r="RRQ248" s="9"/>
      <c r="RRR248" s="10"/>
      <c r="RRS248" s="11"/>
      <c r="RRT248" s="10"/>
      <c r="RRU248" s="6"/>
      <c r="RRV248" s="7"/>
      <c r="RRW248" s="8"/>
      <c r="RRX248" s="9"/>
      <c r="RRY248" s="10"/>
      <c r="RRZ248" s="11"/>
      <c r="RSA248" s="10"/>
      <c r="RSB248" s="6"/>
      <c r="RSC248" s="7"/>
      <c r="RSD248" s="8"/>
      <c r="RSE248" s="9"/>
      <c r="RSF248" s="10"/>
      <c r="RSG248" s="11"/>
      <c r="RSH248" s="10"/>
      <c r="RSI248" s="6"/>
      <c r="RSJ248" s="7"/>
      <c r="RSK248" s="8"/>
      <c r="RSL248" s="9"/>
      <c r="RSM248" s="10"/>
      <c r="RSN248" s="11"/>
      <c r="RSO248" s="10"/>
      <c r="RSP248" s="6"/>
      <c r="RSQ248" s="7"/>
      <c r="RSR248" s="8"/>
      <c r="RSS248" s="9"/>
      <c r="RST248" s="10"/>
      <c r="RSU248" s="11"/>
      <c r="RSV248" s="10"/>
      <c r="RSW248" s="6"/>
      <c r="RSX248" s="7"/>
      <c r="RSY248" s="8"/>
      <c r="RSZ248" s="9"/>
      <c r="RTA248" s="10"/>
      <c r="RTB248" s="11"/>
      <c r="RTC248" s="10"/>
      <c r="RTD248" s="6"/>
      <c r="RTE248" s="7"/>
      <c r="RTF248" s="8"/>
      <c r="RTG248" s="9"/>
      <c r="RTH248" s="10"/>
      <c r="RTI248" s="11"/>
      <c r="RTJ248" s="10"/>
      <c r="RTK248" s="6"/>
      <c r="RTL248" s="7"/>
      <c r="RTM248" s="8"/>
      <c r="RTN248" s="9"/>
      <c r="RTO248" s="10"/>
      <c r="RTP248" s="11"/>
      <c r="RTQ248" s="10"/>
      <c r="RTR248" s="6"/>
      <c r="RTS248" s="7"/>
      <c r="RTT248" s="8"/>
      <c r="RTU248" s="9"/>
      <c r="RTV248" s="10"/>
      <c r="RTW248" s="11"/>
      <c r="RTX248" s="10"/>
      <c r="RTY248" s="6"/>
      <c r="RTZ248" s="7"/>
      <c r="RUA248" s="8"/>
      <c r="RUB248" s="9"/>
      <c r="RUC248" s="10"/>
      <c r="RUD248" s="11"/>
      <c r="RUE248" s="10"/>
      <c r="RUF248" s="6"/>
      <c r="RUG248" s="7"/>
      <c r="RUH248" s="8"/>
      <c r="RUI248" s="9"/>
      <c r="RUJ248" s="10"/>
      <c r="RUK248" s="11"/>
      <c r="RUL248" s="10"/>
      <c r="RUM248" s="6"/>
      <c r="RUN248" s="7"/>
      <c r="RUO248" s="8"/>
      <c r="RUP248" s="9"/>
      <c r="RUQ248" s="10"/>
      <c r="RUR248" s="11"/>
      <c r="RUS248" s="10"/>
      <c r="RUT248" s="6"/>
      <c r="RUU248" s="7"/>
      <c r="RUV248" s="8"/>
      <c r="RUW248" s="9"/>
      <c r="RUX248" s="10"/>
      <c r="RUY248" s="11"/>
      <c r="RUZ248" s="10"/>
      <c r="RVA248" s="6"/>
      <c r="RVB248" s="7"/>
      <c r="RVC248" s="8"/>
      <c r="RVD248" s="9"/>
      <c r="RVE248" s="10"/>
      <c r="RVF248" s="11"/>
      <c r="RVG248" s="10"/>
      <c r="RVH248" s="6"/>
      <c r="RVI248" s="7"/>
      <c r="RVJ248" s="8"/>
      <c r="RVK248" s="9"/>
      <c r="RVL248" s="10"/>
      <c r="RVM248" s="11"/>
      <c r="RVN248" s="10"/>
      <c r="RVO248" s="6"/>
      <c r="RVP248" s="7"/>
      <c r="RVQ248" s="8"/>
      <c r="RVR248" s="9"/>
      <c r="RVS248" s="10"/>
      <c r="RVT248" s="11"/>
      <c r="RVU248" s="10"/>
      <c r="RVV248" s="6"/>
      <c r="RVW248" s="7"/>
      <c r="RVX248" s="8"/>
      <c r="RVY248" s="9"/>
      <c r="RVZ248" s="10"/>
      <c r="RWA248" s="11"/>
      <c r="RWB248" s="10"/>
      <c r="RWC248" s="6"/>
      <c r="RWD248" s="7"/>
      <c r="RWE248" s="8"/>
      <c r="RWF248" s="9"/>
      <c r="RWG248" s="10"/>
      <c r="RWH248" s="11"/>
      <c r="RWI248" s="10"/>
      <c r="RWJ248" s="6"/>
      <c r="RWK248" s="7"/>
      <c r="RWL248" s="8"/>
      <c r="RWM248" s="9"/>
      <c r="RWN248" s="10"/>
      <c r="RWO248" s="11"/>
      <c r="RWP248" s="10"/>
      <c r="RWQ248" s="6"/>
      <c r="RWR248" s="7"/>
      <c r="RWS248" s="8"/>
      <c r="RWT248" s="9"/>
      <c r="RWU248" s="10"/>
      <c r="RWV248" s="11"/>
      <c r="RWW248" s="10"/>
      <c r="RWX248" s="6"/>
      <c r="RWY248" s="7"/>
      <c r="RWZ248" s="8"/>
      <c r="RXA248" s="9"/>
      <c r="RXB248" s="10"/>
      <c r="RXC248" s="11"/>
      <c r="RXD248" s="10"/>
      <c r="RXE248" s="6"/>
      <c r="RXF248" s="7"/>
      <c r="RXG248" s="8"/>
      <c r="RXH248" s="9"/>
      <c r="RXI248" s="10"/>
      <c r="RXJ248" s="11"/>
      <c r="RXK248" s="10"/>
      <c r="RXL248" s="6"/>
      <c r="RXM248" s="7"/>
      <c r="RXN248" s="8"/>
      <c r="RXO248" s="9"/>
      <c r="RXP248" s="10"/>
      <c r="RXQ248" s="11"/>
      <c r="RXR248" s="10"/>
      <c r="RXS248" s="6"/>
      <c r="RXT248" s="7"/>
      <c r="RXU248" s="8"/>
      <c r="RXV248" s="9"/>
      <c r="RXW248" s="10"/>
      <c r="RXX248" s="11"/>
      <c r="RXY248" s="10"/>
      <c r="RXZ248" s="6"/>
      <c r="RYA248" s="7"/>
      <c r="RYB248" s="8"/>
      <c r="RYC248" s="9"/>
      <c r="RYD248" s="10"/>
      <c r="RYE248" s="11"/>
      <c r="RYF248" s="10"/>
      <c r="RYG248" s="6"/>
      <c r="RYH248" s="7"/>
      <c r="RYI248" s="8"/>
      <c r="RYJ248" s="9"/>
      <c r="RYK248" s="10"/>
      <c r="RYL248" s="11"/>
      <c r="RYM248" s="10"/>
      <c r="RYN248" s="6"/>
      <c r="RYO248" s="7"/>
      <c r="RYP248" s="8"/>
      <c r="RYQ248" s="9"/>
      <c r="RYR248" s="10"/>
      <c r="RYS248" s="11"/>
      <c r="RYT248" s="10"/>
      <c r="RYU248" s="6"/>
      <c r="RYV248" s="7"/>
      <c r="RYW248" s="8"/>
      <c r="RYX248" s="9"/>
      <c r="RYY248" s="10"/>
      <c r="RYZ248" s="11"/>
      <c r="RZA248" s="10"/>
      <c r="RZB248" s="6"/>
      <c r="RZC248" s="7"/>
      <c r="RZD248" s="8"/>
      <c r="RZE248" s="9"/>
      <c r="RZF248" s="10"/>
      <c r="RZG248" s="11"/>
      <c r="RZH248" s="10"/>
      <c r="RZI248" s="6"/>
      <c r="RZJ248" s="7"/>
      <c r="RZK248" s="8"/>
      <c r="RZL248" s="9"/>
      <c r="RZM248" s="10"/>
      <c r="RZN248" s="11"/>
      <c r="RZO248" s="10"/>
      <c r="RZP248" s="6"/>
      <c r="RZQ248" s="7"/>
      <c r="RZR248" s="8"/>
      <c r="RZS248" s="9"/>
      <c r="RZT248" s="10"/>
      <c r="RZU248" s="11"/>
      <c r="RZV248" s="10"/>
      <c r="RZW248" s="6"/>
      <c r="RZX248" s="7"/>
      <c r="RZY248" s="8"/>
      <c r="RZZ248" s="9"/>
      <c r="SAA248" s="10"/>
      <c r="SAB248" s="11"/>
      <c r="SAC248" s="10"/>
      <c r="SAD248" s="6"/>
      <c r="SAE248" s="7"/>
      <c r="SAF248" s="8"/>
      <c r="SAG248" s="9"/>
      <c r="SAH248" s="10"/>
      <c r="SAI248" s="11"/>
      <c r="SAJ248" s="10"/>
      <c r="SAK248" s="6"/>
      <c r="SAL248" s="7"/>
      <c r="SAM248" s="8"/>
      <c r="SAN248" s="9"/>
      <c r="SAO248" s="10"/>
      <c r="SAP248" s="11"/>
      <c r="SAQ248" s="10"/>
      <c r="SAR248" s="6"/>
      <c r="SAS248" s="7"/>
      <c r="SAT248" s="8"/>
      <c r="SAU248" s="9"/>
      <c r="SAV248" s="10"/>
      <c r="SAW248" s="11"/>
      <c r="SAX248" s="10"/>
      <c r="SAY248" s="6"/>
      <c r="SAZ248" s="7"/>
      <c r="SBA248" s="8"/>
      <c r="SBB248" s="9"/>
      <c r="SBC248" s="10"/>
      <c r="SBD248" s="11"/>
      <c r="SBE248" s="10"/>
      <c r="SBF248" s="6"/>
      <c r="SBG248" s="7"/>
      <c r="SBH248" s="8"/>
      <c r="SBI248" s="9"/>
      <c r="SBJ248" s="10"/>
      <c r="SBK248" s="11"/>
      <c r="SBL248" s="10"/>
      <c r="SBM248" s="6"/>
      <c r="SBN248" s="7"/>
      <c r="SBO248" s="8"/>
      <c r="SBP248" s="9"/>
      <c r="SBQ248" s="10"/>
      <c r="SBR248" s="11"/>
      <c r="SBS248" s="10"/>
      <c r="SBT248" s="6"/>
      <c r="SBU248" s="7"/>
      <c r="SBV248" s="8"/>
      <c r="SBW248" s="9"/>
      <c r="SBX248" s="10"/>
      <c r="SBY248" s="11"/>
      <c r="SBZ248" s="10"/>
      <c r="SCA248" s="6"/>
      <c r="SCB248" s="7"/>
      <c r="SCC248" s="8"/>
      <c r="SCD248" s="9"/>
      <c r="SCE248" s="10"/>
      <c r="SCF248" s="11"/>
      <c r="SCG248" s="10"/>
      <c r="SCH248" s="6"/>
      <c r="SCI248" s="7"/>
      <c r="SCJ248" s="8"/>
      <c r="SCK248" s="9"/>
      <c r="SCL248" s="10"/>
      <c r="SCM248" s="11"/>
      <c r="SCN248" s="10"/>
      <c r="SCO248" s="6"/>
      <c r="SCP248" s="7"/>
      <c r="SCQ248" s="8"/>
      <c r="SCR248" s="9"/>
      <c r="SCS248" s="10"/>
      <c r="SCT248" s="11"/>
      <c r="SCU248" s="10"/>
      <c r="SCV248" s="6"/>
      <c r="SCW248" s="7"/>
      <c r="SCX248" s="8"/>
      <c r="SCY248" s="9"/>
      <c r="SCZ248" s="10"/>
      <c r="SDA248" s="11"/>
      <c r="SDB248" s="10"/>
      <c r="SDC248" s="6"/>
      <c r="SDD248" s="7"/>
      <c r="SDE248" s="8"/>
      <c r="SDF248" s="9"/>
      <c r="SDG248" s="10"/>
      <c r="SDH248" s="11"/>
      <c r="SDI248" s="10"/>
      <c r="SDJ248" s="6"/>
      <c r="SDK248" s="7"/>
      <c r="SDL248" s="8"/>
      <c r="SDM248" s="9"/>
      <c r="SDN248" s="10"/>
      <c r="SDO248" s="11"/>
      <c r="SDP248" s="10"/>
      <c r="SDQ248" s="6"/>
      <c r="SDR248" s="7"/>
      <c r="SDS248" s="8"/>
      <c r="SDT248" s="9"/>
      <c r="SDU248" s="10"/>
      <c r="SDV248" s="11"/>
      <c r="SDW248" s="10"/>
      <c r="SDX248" s="6"/>
      <c r="SDY248" s="7"/>
      <c r="SDZ248" s="8"/>
      <c r="SEA248" s="9"/>
      <c r="SEB248" s="10"/>
      <c r="SEC248" s="11"/>
      <c r="SED248" s="10"/>
      <c r="SEE248" s="6"/>
      <c r="SEF248" s="7"/>
      <c r="SEG248" s="8"/>
      <c r="SEH248" s="9"/>
      <c r="SEI248" s="10"/>
      <c r="SEJ248" s="11"/>
      <c r="SEK248" s="10"/>
      <c r="SEL248" s="6"/>
      <c r="SEM248" s="7"/>
      <c r="SEN248" s="8"/>
      <c r="SEO248" s="9"/>
      <c r="SEP248" s="10"/>
      <c r="SEQ248" s="11"/>
      <c r="SER248" s="10"/>
      <c r="SES248" s="6"/>
      <c r="SET248" s="7"/>
      <c r="SEU248" s="8"/>
      <c r="SEV248" s="9"/>
      <c r="SEW248" s="10"/>
      <c r="SEX248" s="11"/>
      <c r="SEY248" s="10"/>
      <c r="SEZ248" s="6"/>
      <c r="SFA248" s="7"/>
      <c r="SFB248" s="8"/>
      <c r="SFC248" s="9"/>
      <c r="SFD248" s="10"/>
      <c r="SFE248" s="11"/>
      <c r="SFF248" s="10"/>
      <c r="SFG248" s="6"/>
      <c r="SFH248" s="7"/>
      <c r="SFI248" s="8"/>
      <c r="SFJ248" s="9"/>
      <c r="SFK248" s="10"/>
      <c r="SFL248" s="11"/>
      <c r="SFM248" s="10"/>
      <c r="SFN248" s="6"/>
      <c r="SFO248" s="7"/>
      <c r="SFP248" s="8"/>
      <c r="SFQ248" s="9"/>
      <c r="SFR248" s="10"/>
      <c r="SFS248" s="11"/>
      <c r="SFT248" s="10"/>
      <c r="SFU248" s="6"/>
      <c r="SFV248" s="7"/>
      <c r="SFW248" s="8"/>
      <c r="SFX248" s="9"/>
      <c r="SFY248" s="10"/>
      <c r="SFZ248" s="11"/>
      <c r="SGA248" s="10"/>
      <c r="SGB248" s="6"/>
      <c r="SGC248" s="7"/>
      <c r="SGD248" s="8"/>
      <c r="SGE248" s="9"/>
      <c r="SGF248" s="10"/>
      <c r="SGG248" s="11"/>
      <c r="SGH248" s="10"/>
      <c r="SGI248" s="6"/>
      <c r="SGJ248" s="7"/>
      <c r="SGK248" s="8"/>
      <c r="SGL248" s="9"/>
      <c r="SGM248" s="10"/>
      <c r="SGN248" s="11"/>
      <c r="SGO248" s="10"/>
      <c r="SGP248" s="6"/>
      <c r="SGQ248" s="7"/>
      <c r="SGR248" s="8"/>
      <c r="SGS248" s="9"/>
      <c r="SGT248" s="10"/>
      <c r="SGU248" s="11"/>
      <c r="SGV248" s="10"/>
      <c r="SGW248" s="6"/>
      <c r="SGX248" s="7"/>
      <c r="SGY248" s="8"/>
      <c r="SGZ248" s="9"/>
      <c r="SHA248" s="10"/>
      <c r="SHB248" s="11"/>
      <c r="SHC248" s="10"/>
      <c r="SHD248" s="6"/>
      <c r="SHE248" s="7"/>
      <c r="SHF248" s="8"/>
      <c r="SHG248" s="9"/>
      <c r="SHH248" s="10"/>
      <c r="SHI248" s="11"/>
      <c r="SHJ248" s="10"/>
      <c r="SHK248" s="6"/>
      <c r="SHL248" s="7"/>
      <c r="SHM248" s="8"/>
      <c r="SHN248" s="9"/>
      <c r="SHO248" s="10"/>
      <c r="SHP248" s="11"/>
      <c r="SHQ248" s="10"/>
      <c r="SHR248" s="6"/>
      <c r="SHS248" s="7"/>
      <c r="SHT248" s="8"/>
      <c r="SHU248" s="9"/>
      <c r="SHV248" s="10"/>
      <c r="SHW248" s="11"/>
      <c r="SHX248" s="10"/>
      <c r="SHY248" s="6"/>
      <c r="SHZ248" s="7"/>
      <c r="SIA248" s="8"/>
      <c r="SIB248" s="9"/>
      <c r="SIC248" s="10"/>
      <c r="SID248" s="11"/>
      <c r="SIE248" s="10"/>
      <c r="SIF248" s="6"/>
      <c r="SIG248" s="7"/>
      <c r="SIH248" s="8"/>
      <c r="SII248" s="9"/>
      <c r="SIJ248" s="10"/>
      <c r="SIK248" s="11"/>
      <c r="SIL248" s="10"/>
      <c r="SIM248" s="6"/>
      <c r="SIN248" s="7"/>
      <c r="SIO248" s="8"/>
      <c r="SIP248" s="9"/>
      <c r="SIQ248" s="10"/>
      <c r="SIR248" s="11"/>
      <c r="SIS248" s="10"/>
      <c r="SIT248" s="6"/>
      <c r="SIU248" s="7"/>
      <c r="SIV248" s="8"/>
      <c r="SIW248" s="9"/>
      <c r="SIX248" s="10"/>
      <c r="SIY248" s="11"/>
      <c r="SIZ248" s="10"/>
      <c r="SJA248" s="6"/>
      <c r="SJB248" s="7"/>
      <c r="SJC248" s="8"/>
      <c r="SJD248" s="9"/>
      <c r="SJE248" s="10"/>
      <c r="SJF248" s="11"/>
      <c r="SJG248" s="10"/>
      <c r="SJH248" s="6"/>
      <c r="SJI248" s="7"/>
      <c r="SJJ248" s="8"/>
      <c r="SJK248" s="9"/>
      <c r="SJL248" s="10"/>
      <c r="SJM248" s="11"/>
      <c r="SJN248" s="10"/>
      <c r="SJO248" s="6"/>
      <c r="SJP248" s="7"/>
      <c r="SJQ248" s="8"/>
      <c r="SJR248" s="9"/>
      <c r="SJS248" s="10"/>
      <c r="SJT248" s="11"/>
      <c r="SJU248" s="10"/>
      <c r="SJV248" s="6"/>
      <c r="SJW248" s="7"/>
      <c r="SJX248" s="8"/>
      <c r="SJY248" s="9"/>
      <c r="SJZ248" s="10"/>
      <c r="SKA248" s="11"/>
      <c r="SKB248" s="10"/>
      <c r="SKC248" s="6"/>
      <c r="SKD248" s="7"/>
      <c r="SKE248" s="8"/>
      <c r="SKF248" s="9"/>
      <c r="SKG248" s="10"/>
      <c r="SKH248" s="11"/>
      <c r="SKI248" s="10"/>
      <c r="SKJ248" s="6"/>
      <c r="SKK248" s="7"/>
      <c r="SKL248" s="8"/>
      <c r="SKM248" s="9"/>
      <c r="SKN248" s="10"/>
      <c r="SKO248" s="11"/>
      <c r="SKP248" s="10"/>
      <c r="SKQ248" s="6"/>
      <c r="SKR248" s="7"/>
      <c r="SKS248" s="8"/>
      <c r="SKT248" s="9"/>
      <c r="SKU248" s="10"/>
      <c r="SKV248" s="11"/>
      <c r="SKW248" s="10"/>
      <c r="SKX248" s="6"/>
      <c r="SKY248" s="7"/>
      <c r="SKZ248" s="8"/>
      <c r="SLA248" s="9"/>
      <c r="SLB248" s="10"/>
      <c r="SLC248" s="11"/>
      <c r="SLD248" s="10"/>
      <c r="SLE248" s="6"/>
      <c r="SLF248" s="7"/>
      <c r="SLG248" s="8"/>
      <c r="SLH248" s="9"/>
      <c r="SLI248" s="10"/>
      <c r="SLJ248" s="11"/>
      <c r="SLK248" s="10"/>
      <c r="SLL248" s="6"/>
      <c r="SLM248" s="7"/>
      <c r="SLN248" s="8"/>
      <c r="SLO248" s="9"/>
      <c r="SLP248" s="10"/>
      <c r="SLQ248" s="11"/>
      <c r="SLR248" s="10"/>
      <c r="SLS248" s="6"/>
      <c r="SLT248" s="7"/>
      <c r="SLU248" s="8"/>
      <c r="SLV248" s="9"/>
      <c r="SLW248" s="10"/>
      <c r="SLX248" s="11"/>
      <c r="SLY248" s="10"/>
      <c r="SLZ248" s="6"/>
      <c r="SMA248" s="7"/>
      <c r="SMB248" s="8"/>
      <c r="SMC248" s="9"/>
      <c r="SMD248" s="10"/>
      <c r="SME248" s="11"/>
      <c r="SMF248" s="10"/>
      <c r="SMG248" s="6"/>
      <c r="SMH248" s="7"/>
      <c r="SMI248" s="8"/>
      <c r="SMJ248" s="9"/>
      <c r="SMK248" s="10"/>
      <c r="SML248" s="11"/>
      <c r="SMM248" s="10"/>
      <c r="SMN248" s="6"/>
      <c r="SMO248" s="7"/>
      <c r="SMP248" s="8"/>
      <c r="SMQ248" s="9"/>
      <c r="SMR248" s="10"/>
      <c r="SMS248" s="11"/>
      <c r="SMT248" s="10"/>
      <c r="SMU248" s="6"/>
      <c r="SMV248" s="7"/>
      <c r="SMW248" s="8"/>
      <c r="SMX248" s="9"/>
      <c r="SMY248" s="10"/>
      <c r="SMZ248" s="11"/>
      <c r="SNA248" s="10"/>
      <c r="SNB248" s="6"/>
      <c r="SNC248" s="7"/>
      <c r="SND248" s="8"/>
      <c r="SNE248" s="9"/>
      <c r="SNF248" s="10"/>
      <c r="SNG248" s="11"/>
      <c r="SNH248" s="10"/>
      <c r="SNI248" s="6"/>
      <c r="SNJ248" s="7"/>
      <c r="SNK248" s="8"/>
      <c r="SNL248" s="9"/>
      <c r="SNM248" s="10"/>
      <c r="SNN248" s="11"/>
      <c r="SNO248" s="10"/>
      <c r="SNP248" s="6"/>
      <c r="SNQ248" s="7"/>
      <c r="SNR248" s="8"/>
      <c r="SNS248" s="9"/>
      <c r="SNT248" s="10"/>
      <c r="SNU248" s="11"/>
      <c r="SNV248" s="10"/>
      <c r="SNW248" s="6"/>
      <c r="SNX248" s="7"/>
      <c r="SNY248" s="8"/>
      <c r="SNZ248" s="9"/>
      <c r="SOA248" s="10"/>
      <c r="SOB248" s="11"/>
      <c r="SOC248" s="10"/>
      <c r="SOD248" s="6"/>
      <c r="SOE248" s="7"/>
      <c r="SOF248" s="8"/>
      <c r="SOG248" s="9"/>
      <c r="SOH248" s="10"/>
      <c r="SOI248" s="11"/>
      <c r="SOJ248" s="10"/>
      <c r="SOK248" s="6"/>
      <c r="SOL248" s="7"/>
      <c r="SOM248" s="8"/>
      <c r="SON248" s="9"/>
      <c r="SOO248" s="10"/>
      <c r="SOP248" s="11"/>
      <c r="SOQ248" s="10"/>
      <c r="SOR248" s="6"/>
      <c r="SOS248" s="7"/>
      <c r="SOT248" s="8"/>
      <c r="SOU248" s="9"/>
      <c r="SOV248" s="10"/>
      <c r="SOW248" s="11"/>
      <c r="SOX248" s="10"/>
      <c r="SOY248" s="6"/>
      <c r="SOZ248" s="7"/>
      <c r="SPA248" s="8"/>
      <c r="SPB248" s="9"/>
      <c r="SPC248" s="10"/>
      <c r="SPD248" s="11"/>
      <c r="SPE248" s="10"/>
      <c r="SPF248" s="6"/>
      <c r="SPG248" s="7"/>
      <c r="SPH248" s="8"/>
      <c r="SPI248" s="9"/>
      <c r="SPJ248" s="10"/>
      <c r="SPK248" s="11"/>
      <c r="SPL248" s="10"/>
      <c r="SPM248" s="6"/>
      <c r="SPN248" s="7"/>
      <c r="SPO248" s="8"/>
      <c r="SPP248" s="9"/>
      <c r="SPQ248" s="10"/>
      <c r="SPR248" s="11"/>
      <c r="SPS248" s="10"/>
      <c r="SPT248" s="6"/>
      <c r="SPU248" s="7"/>
      <c r="SPV248" s="8"/>
      <c r="SPW248" s="9"/>
      <c r="SPX248" s="10"/>
      <c r="SPY248" s="11"/>
      <c r="SPZ248" s="10"/>
      <c r="SQA248" s="6"/>
      <c r="SQB248" s="7"/>
      <c r="SQC248" s="8"/>
      <c r="SQD248" s="9"/>
      <c r="SQE248" s="10"/>
      <c r="SQF248" s="11"/>
      <c r="SQG248" s="10"/>
      <c r="SQH248" s="6"/>
      <c r="SQI248" s="7"/>
      <c r="SQJ248" s="8"/>
      <c r="SQK248" s="9"/>
      <c r="SQL248" s="10"/>
      <c r="SQM248" s="11"/>
      <c r="SQN248" s="10"/>
      <c r="SQO248" s="6"/>
      <c r="SQP248" s="7"/>
      <c r="SQQ248" s="8"/>
      <c r="SQR248" s="9"/>
      <c r="SQS248" s="10"/>
      <c r="SQT248" s="11"/>
      <c r="SQU248" s="10"/>
      <c r="SQV248" s="6"/>
      <c r="SQW248" s="7"/>
      <c r="SQX248" s="8"/>
      <c r="SQY248" s="9"/>
      <c r="SQZ248" s="10"/>
      <c r="SRA248" s="11"/>
      <c r="SRB248" s="10"/>
      <c r="SRC248" s="6"/>
      <c r="SRD248" s="7"/>
      <c r="SRE248" s="8"/>
      <c r="SRF248" s="9"/>
      <c r="SRG248" s="10"/>
      <c r="SRH248" s="11"/>
      <c r="SRI248" s="10"/>
      <c r="SRJ248" s="6"/>
      <c r="SRK248" s="7"/>
      <c r="SRL248" s="8"/>
      <c r="SRM248" s="9"/>
      <c r="SRN248" s="10"/>
      <c r="SRO248" s="11"/>
      <c r="SRP248" s="10"/>
      <c r="SRQ248" s="6"/>
      <c r="SRR248" s="7"/>
      <c r="SRS248" s="8"/>
      <c r="SRT248" s="9"/>
      <c r="SRU248" s="10"/>
      <c r="SRV248" s="11"/>
      <c r="SRW248" s="10"/>
      <c r="SRX248" s="6"/>
      <c r="SRY248" s="7"/>
      <c r="SRZ248" s="8"/>
      <c r="SSA248" s="9"/>
      <c r="SSB248" s="10"/>
      <c r="SSC248" s="11"/>
      <c r="SSD248" s="10"/>
      <c r="SSE248" s="6"/>
      <c r="SSF248" s="7"/>
      <c r="SSG248" s="8"/>
      <c r="SSH248" s="9"/>
      <c r="SSI248" s="10"/>
      <c r="SSJ248" s="11"/>
      <c r="SSK248" s="10"/>
      <c r="SSL248" s="6"/>
      <c r="SSM248" s="7"/>
      <c r="SSN248" s="8"/>
      <c r="SSO248" s="9"/>
      <c r="SSP248" s="10"/>
      <c r="SSQ248" s="11"/>
      <c r="SSR248" s="10"/>
      <c r="SSS248" s="6"/>
      <c r="SST248" s="7"/>
      <c r="SSU248" s="8"/>
      <c r="SSV248" s="9"/>
      <c r="SSW248" s="10"/>
      <c r="SSX248" s="11"/>
      <c r="SSY248" s="10"/>
      <c r="SSZ248" s="6"/>
      <c r="STA248" s="7"/>
      <c r="STB248" s="8"/>
      <c r="STC248" s="9"/>
      <c r="STD248" s="10"/>
      <c r="STE248" s="11"/>
      <c r="STF248" s="10"/>
      <c r="STG248" s="6"/>
      <c r="STH248" s="7"/>
      <c r="STI248" s="8"/>
      <c r="STJ248" s="9"/>
      <c r="STK248" s="10"/>
      <c r="STL248" s="11"/>
      <c r="STM248" s="10"/>
      <c r="STN248" s="6"/>
      <c r="STO248" s="7"/>
      <c r="STP248" s="8"/>
      <c r="STQ248" s="9"/>
      <c r="STR248" s="10"/>
      <c r="STS248" s="11"/>
      <c r="STT248" s="10"/>
      <c r="STU248" s="6"/>
      <c r="STV248" s="7"/>
      <c r="STW248" s="8"/>
      <c r="STX248" s="9"/>
      <c r="STY248" s="10"/>
      <c r="STZ248" s="11"/>
      <c r="SUA248" s="10"/>
      <c r="SUB248" s="6"/>
      <c r="SUC248" s="7"/>
      <c r="SUD248" s="8"/>
      <c r="SUE248" s="9"/>
      <c r="SUF248" s="10"/>
      <c r="SUG248" s="11"/>
      <c r="SUH248" s="10"/>
      <c r="SUI248" s="6"/>
      <c r="SUJ248" s="7"/>
      <c r="SUK248" s="8"/>
      <c r="SUL248" s="9"/>
      <c r="SUM248" s="10"/>
      <c r="SUN248" s="11"/>
      <c r="SUO248" s="10"/>
      <c r="SUP248" s="6"/>
      <c r="SUQ248" s="7"/>
      <c r="SUR248" s="8"/>
      <c r="SUS248" s="9"/>
      <c r="SUT248" s="10"/>
      <c r="SUU248" s="11"/>
      <c r="SUV248" s="10"/>
      <c r="SUW248" s="6"/>
      <c r="SUX248" s="7"/>
      <c r="SUY248" s="8"/>
      <c r="SUZ248" s="9"/>
      <c r="SVA248" s="10"/>
      <c r="SVB248" s="11"/>
      <c r="SVC248" s="10"/>
      <c r="SVD248" s="6"/>
      <c r="SVE248" s="7"/>
      <c r="SVF248" s="8"/>
      <c r="SVG248" s="9"/>
      <c r="SVH248" s="10"/>
      <c r="SVI248" s="11"/>
      <c r="SVJ248" s="10"/>
      <c r="SVK248" s="6"/>
      <c r="SVL248" s="7"/>
      <c r="SVM248" s="8"/>
      <c r="SVN248" s="9"/>
      <c r="SVO248" s="10"/>
      <c r="SVP248" s="11"/>
      <c r="SVQ248" s="10"/>
      <c r="SVR248" s="6"/>
      <c r="SVS248" s="7"/>
      <c r="SVT248" s="8"/>
      <c r="SVU248" s="9"/>
      <c r="SVV248" s="10"/>
      <c r="SVW248" s="11"/>
      <c r="SVX248" s="10"/>
      <c r="SVY248" s="6"/>
      <c r="SVZ248" s="7"/>
      <c r="SWA248" s="8"/>
      <c r="SWB248" s="9"/>
      <c r="SWC248" s="10"/>
      <c r="SWD248" s="11"/>
      <c r="SWE248" s="10"/>
      <c r="SWF248" s="6"/>
      <c r="SWG248" s="7"/>
      <c r="SWH248" s="8"/>
      <c r="SWI248" s="9"/>
      <c r="SWJ248" s="10"/>
      <c r="SWK248" s="11"/>
      <c r="SWL248" s="10"/>
      <c r="SWM248" s="6"/>
      <c r="SWN248" s="7"/>
      <c r="SWO248" s="8"/>
      <c r="SWP248" s="9"/>
      <c r="SWQ248" s="10"/>
      <c r="SWR248" s="11"/>
      <c r="SWS248" s="10"/>
      <c r="SWT248" s="6"/>
      <c r="SWU248" s="7"/>
      <c r="SWV248" s="8"/>
      <c r="SWW248" s="9"/>
      <c r="SWX248" s="10"/>
      <c r="SWY248" s="11"/>
      <c r="SWZ248" s="10"/>
      <c r="SXA248" s="6"/>
      <c r="SXB248" s="7"/>
      <c r="SXC248" s="8"/>
      <c r="SXD248" s="9"/>
      <c r="SXE248" s="10"/>
      <c r="SXF248" s="11"/>
      <c r="SXG248" s="10"/>
      <c r="SXH248" s="6"/>
      <c r="SXI248" s="7"/>
      <c r="SXJ248" s="8"/>
      <c r="SXK248" s="9"/>
      <c r="SXL248" s="10"/>
      <c r="SXM248" s="11"/>
      <c r="SXN248" s="10"/>
      <c r="SXO248" s="6"/>
      <c r="SXP248" s="7"/>
      <c r="SXQ248" s="8"/>
      <c r="SXR248" s="9"/>
      <c r="SXS248" s="10"/>
      <c r="SXT248" s="11"/>
      <c r="SXU248" s="10"/>
      <c r="SXV248" s="6"/>
      <c r="SXW248" s="7"/>
      <c r="SXX248" s="8"/>
      <c r="SXY248" s="9"/>
      <c r="SXZ248" s="10"/>
      <c r="SYA248" s="11"/>
      <c r="SYB248" s="10"/>
      <c r="SYC248" s="6"/>
      <c r="SYD248" s="7"/>
      <c r="SYE248" s="8"/>
      <c r="SYF248" s="9"/>
      <c r="SYG248" s="10"/>
      <c r="SYH248" s="11"/>
      <c r="SYI248" s="10"/>
      <c r="SYJ248" s="6"/>
      <c r="SYK248" s="7"/>
      <c r="SYL248" s="8"/>
      <c r="SYM248" s="9"/>
      <c r="SYN248" s="10"/>
      <c r="SYO248" s="11"/>
      <c r="SYP248" s="10"/>
      <c r="SYQ248" s="6"/>
      <c r="SYR248" s="7"/>
      <c r="SYS248" s="8"/>
      <c r="SYT248" s="9"/>
      <c r="SYU248" s="10"/>
      <c r="SYV248" s="11"/>
      <c r="SYW248" s="10"/>
      <c r="SYX248" s="6"/>
      <c r="SYY248" s="7"/>
      <c r="SYZ248" s="8"/>
      <c r="SZA248" s="9"/>
      <c r="SZB248" s="10"/>
      <c r="SZC248" s="11"/>
      <c r="SZD248" s="10"/>
      <c r="SZE248" s="6"/>
      <c r="SZF248" s="7"/>
      <c r="SZG248" s="8"/>
      <c r="SZH248" s="9"/>
      <c r="SZI248" s="10"/>
      <c r="SZJ248" s="11"/>
      <c r="SZK248" s="10"/>
      <c r="SZL248" s="6"/>
      <c r="SZM248" s="7"/>
      <c r="SZN248" s="8"/>
      <c r="SZO248" s="9"/>
      <c r="SZP248" s="10"/>
      <c r="SZQ248" s="11"/>
      <c r="SZR248" s="10"/>
      <c r="SZS248" s="6"/>
      <c r="SZT248" s="7"/>
      <c r="SZU248" s="8"/>
      <c r="SZV248" s="9"/>
      <c r="SZW248" s="10"/>
      <c r="SZX248" s="11"/>
      <c r="SZY248" s="10"/>
      <c r="SZZ248" s="6"/>
      <c r="TAA248" s="7"/>
      <c r="TAB248" s="8"/>
      <c r="TAC248" s="9"/>
      <c r="TAD248" s="10"/>
      <c r="TAE248" s="11"/>
      <c r="TAF248" s="10"/>
      <c r="TAG248" s="6"/>
      <c r="TAH248" s="7"/>
      <c r="TAI248" s="8"/>
      <c r="TAJ248" s="9"/>
      <c r="TAK248" s="10"/>
      <c r="TAL248" s="11"/>
      <c r="TAM248" s="10"/>
      <c r="TAN248" s="6"/>
      <c r="TAO248" s="7"/>
      <c r="TAP248" s="8"/>
      <c r="TAQ248" s="9"/>
      <c r="TAR248" s="10"/>
      <c r="TAS248" s="11"/>
      <c r="TAT248" s="10"/>
      <c r="TAU248" s="6"/>
      <c r="TAV248" s="7"/>
      <c r="TAW248" s="8"/>
      <c r="TAX248" s="9"/>
      <c r="TAY248" s="10"/>
      <c r="TAZ248" s="11"/>
      <c r="TBA248" s="10"/>
      <c r="TBB248" s="6"/>
      <c r="TBC248" s="7"/>
      <c r="TBD248" s="8"/>
      <c r="TBE248" s="9"/>
      <c r="TBF248" s="10"/>
      <c r="TBG248" s="11"/>
      <c r="TBH248" s="10"/>
      <c r="TBI248" s="6"/>
      <c r="TBJ248" s="7"/>
      <c r="TBK248" s="8"/>
      <c r="TBL248" s="9"/>
      <c r="TBM248" s="10"/>
      <c r="TBN248" s="11"/>
      <c r="TBO248" s="10"/>
      <c r="TBP248" s="6"/>
      <c r="TBQ248" s="7"/>
      <c r="TBR248" s="8"/>
      <c r="TBS248" s="9"/>
      <c r="TBT248" s="10"/>
      <c r="TBU248" s="11"/>
      <c r="TBV248" s="10"/>
      <c r="TBW248" s="6"/>
      <c r="TBX248" s="7"/>
      <c r="TBY248" s="8"/>
      <c r="TBZ248" s="9"/>
      <c r="TCA248" s="10"/>
      <c r="TCB248" s="11"/>
      <c r="TCC248" s="10"/>
      <c r="TCD248" s="6"/>
      <c r="TCE248" s="7"/>
      <c r="TCF248" s="8"/>
      <c r="TCG248" s="9"/>
      <c r="TCH248" s="10"/>
      <c r="TCI248" s="11"/>
      <c r="TCJ248" s="10"/>
      <c r="TCK248" s="6"/>
      <c r="TCL248" s="7"/>
      <c r="TCM248" s="8"/>
      <c r="TCN248" s="9"/>
      <c r="TCO248" s="10"/>
      <c r="TCP248" s="11"/>
      <c r="TCQ248" s="10"/>
      <c r="TCR248" s="6"/>
      <c r="TCS248" s="7"/>
      <c r="TCT248" s="8"/>
      <c r="TCU248" s="9"/>
      <c r="TCV248" s="10"/>
      <c r="TCW248" s="11"/>
      <c r="TCX248" s="10"/>
      <c r="TCY248" s="6"/>
      <c r="TCZ248" s="7"/>
      <c r="TDA248" s="8"/>
      <c r="TDB248" s="9"/>
      <c r="TDC248" s="10"/>
      <c r="TDD248" s="11"/>
      <c r="TDE248" s="10"/>
      <c r="TDF248" s="6"/>
      <c r="TDG248" s="7"/>
      <c r="TDH248" s="8"/>
      <c r="TDI248" s="9"/>
      <c r="TDJ248" s="10"/>
      <c r="TDK248" s="11"/>
      <c r="TDL248" s="10"/>
      <c r="TDM248" s="6"/>
      <c r="TDN248" s="7"/>
      <c r="TDO248" s="8"/>
      <c r="TDP248" s="9"/>
      <c r="TDQ248" s="10"/>
      <c r="TDR248" s="11"/>
      <c r="TDS248" s="10"/>
      <c r="TDT248" s="6"/>
      <c r="TDU248" s="7"/>
      <c r="TDV248" s="8"/>
      <c r="TDW248" s="9"/>
      <c r="TDX248" s="10"/>
      <c r="TDY248" s="11"/>
      <c r="TDZ248" s="10"/>
      <c r="TEA248" s="6"/>
      <c r="TEB248" s="7"/>
      <c r="TEC248" s="8"/>
      <c r="TED248" s="9"/>
      <c r="TEE248" s="10"/>
      <c r="TEF248" s="11"/>
      <c r="TEG248" s="10"/>
      <c r="TEH248" s="6"/>
      <c r="TEI248" s="7"/>
      <c r="TEJ248" s="8"/>
      <c r="TEK248" s="9"/>
      <c r="TEL248" s="10"/>
      <c r="TEM248" s="11"/>
      <c r="TEN248" s="10"/>
      <c r="TEO248" s="6"/>
      <c r="TEP248" s="7"/>
      <c r="TEQ248" s="8"/>
      <c r="TER248" s="9"/>
      <c r="TES248" s="10"/>
      <c r="TET248" s="11"/>
      <c r="TEU248" s="10"/>
      <c r="TEV248" s="6"/>
      <c r="TEW248" s="7"/>
      <c r="TEX248" s="8"/>
      <c r="TEY248" s="9"/>
      <c r="TEZ248" s="10"/>
      <c r="TFA248" s="11"/>
      <c r="TFB248" s="10"/>
      <c r="TFC248" s="6"/>
      <c r="TFD248" s="7"/>
      <c r="TFE248" s="8"/>
      <c r="TFF248" s="9"/>
      <c r="TFG248" s="10"/>
      <c r="TFH248" s="11"/>
      <c r="TFI248" s="10"/>
      <c r="TFJ248" s="6"/>
      <c r="TFK248" s="7"/>
      <c r="TFL248" s="8"/>
      <c r="TFM248" s="9"/>
      <c r="TFN248" s="10"/>
      <c r="TFO248" s="11"/>
      <c r="TFP248" s="10"/>
      <c r="TFQ248" s="6"/>
      <c r="TFR248" s="7"/>
      <c r="TFS248" s="8"/>
      <c r="TFT248" s="9"/>
      <c r="TFU248" s="10"/>
      <c r="TFV248" s="11"/>
      <c r="TFW248" s="10"/>
      <c r="TFX248" s="6"/>
      <c r="TFY248" s="7"/>
      <c r="TFZ248" s="8"/>
      <c r="TGA248" s="9"/>
      <c r="TGB248" s="10"/>
      <c r="TGC248" s="11"/>
      <c r="TGD248" s="10"/>
      <c r="TGE248" s="6"/>
      <c r="TGF248" s="7"/>
      <c r="TGG248" s="8"/>
      <c r="TGH248" s="9"/>
      <c r="TGI248" s="10"/>
      <c r="TGJ248" s="11"/>
      <c r="TGK248" s="10"/>
      <c r="TGL248" s="6"/>
      <c r="TGM248" s="7"/>
      <c r="TGN248" s="8"/>
      <c r="TGO248" s="9"/>
      <c r="TGP248" s="10"/>
      <c r="TGQ248" s="11"/>
      <c r="TGR248" s="10"/>
      <c r="TGS248" s="6"/>
      <c r="TGT248" s="7"/>
      <c r="TGU248" s="8"/>
      <c r="TGV248" s="9"/>
      <c r="TGW248" s="10"/>
      <c r="TGX248" s="11"/>
      <c r="TGY248" s="10"/>
      <c r="TGZ248" s="6"/>
      <c r="THA248" s="7"/>
      <c r="THB248" s="8"/>
      <c r="THC248" s="9"/>
      <c r="THD248" s="10"/>
      <c r="THE248" s="11"/>
      <c r="THF248" s="10"/>
      <c r="THG248" s="6"/>
      <c r="THH248" s="7"/>
      <c r="THI248" s="8"/>
      <c r="THJ248" s="9"/>
      <c r="THK248" s="10"/>
      <c r="THL248" s="11"/>
      <c r="THM248" s="10"/>
      <c r="THN248" s="6"/>
      <c r="THO248" s="7"/>
      <c r="THP248" s="8"/>
      <c r="THQ248" s="9"/>
      <c r="THR248" s="10"/>
      <c r="THS248" s="11"/>
      <c r="THT248" s="10"/>
      <c r="THU248" s="6"/>
      <c r="THV248" s="7"/>
      <c r="THW248" s="8"/>
      <c r="THX248" s="9"/>
      <c r="THY248" s="10"/>
      <c r="THZ248" s="11"/>
      <c r="TIA248" s="10"/>
      <c r="TIB248" s="6"/>
      <c r="TIC248" s="7"/>
      <c r="TID248" s="8"/>
      <c r="TIE248" s="9"/>
      <c r="TIF248" s="10"/>
      <c r="TIG248" s="11"/>
      <c r="TIH248" s="10"/>
      <c r="TII248" s="6"/>
      <c r="TIJ248" s="7"/>
      <c r="TIK248" s="8"/>
      <c r="TIL248" s="9"/>
      <c r="TIM248" s="10"/>
      <c r="TIN248" s="11"/>
      <c r="TIO248" s="10"/>
      <c r="TIP248" s="6"/>
      <c r="TIQ248" s="7"/>
      <c r="TIR248" s="8"/>
      <c r="TIS248" s="9"/>
      <c r="TIT248" s="10"/>
      <c r="TIU248" s="11"/>
      <c r="TIV248" s="10"/>
      <c r="TIW248" s="6"/>
      <c r="TIX248" s="7"/>
      <c r="TIY248" s="8"/>
      <c r="TIZ248" s="9"/>
      <c r="TJA248" s="10"/>
      <c r="TJB248" s="11"/>
      <c r="TJC248" s="10"/>
      <c r="TJD248" s="6"/>
      <c r="TJE248" s="7"/>
      <c r="TJF248" s="8"/>
      <c r="TJG248" s="9"/>
      <c r="TJH248" s="10"/>
      <c r="TJI248" s="11"/>
      <c r="TJJ248" s="10"/>
      <c r="TJK248" s="6"/>
      <c r="TJL248" s="7"/>
      <c r="TJM248" s="8"/>
      <c r="TJN248" s="9"/>
      <c r="TJO248" s="10"/>
      <c r="TJP248" s="11"/>
      <c r="TJQ248" s="10"/>
      <c r="TJR248" s="6"/>
      <c r="TJS248" s="7"/>
      <c r="TJT248" s="8"/>
      <c r="TJU248" s="9"/>
      <c r="TJV248" s="10"/>
      <c r="TJW248" s="11"/>
      <c r="TJX248" s="10"/>
      <c r="TJY248" s="6"/>
      <c r="TJZ248" s="7"/>
      <c r="TKA248" s="8"/>
      <c r="TKB248" s="9"/>
      <c r="TKC248" s="10"/>
      <c r="TKD248" s="11"/>
      <c r="TKE248" s="10"/>
      <c r="TKF248" s="6"/>
      <c r="TKG248" s="7"/>
      <c r="TKH248" s="8"/>
      <c r="TKI248" s="9"/>
      <c r="TKJ248" s="10"/>
      <c r="TKK248" s="11"/>
      <c r="TKL248" s="10"/>
      <c r="TKM248" s="6"/>
      <c r="TKN248" s="7"/>
      <c r="TKO248" s="8"/>
      <c r="TKP248" s="9"/>
      <c r="TKQ248" s="10"/>
      <c r="TKR248" s="11"/>
      <c r="TKS248" s="10"/>
      <c r="TKT248" s="6"/>
      <c r="TKU248" s="7"/>
      <c r="TKV248" s="8"/>
      <c r="TKW248" s="9"/>
      <c r="TKX248" s="10"/>
      <c r="TKY248" s="11"/>
      <c r="TKZ248" s="10"/>
      <c r="TLA248" s="6"/>
      <c r="TLB248" s="7"/>
      <c r="TLC248" s="8"/>
      <c r="TLD248" s="9"/>
      <c r="TLE248" s="10"/>
      <c r="TLF248" s="11"/>
      <c r="TLG248" s="10"/>
      <c r="TLH248" s="6"/>
      <c r="TLI248" s="7"/>
      <c r="TLJ248" s="8"/>
      <c r="TLK248" s="9"/>
      <c r="TLL248" s="10"/>
      <c r="TLM248" s="11"/>
      <c r="TLN248" s="10"/>
      <c r="TLO248" s="6"/>
      <c r="TLP248" s="7"/>
      <c r="TLQ248" s="8"/>
      <c r="TLR248" s="9"/>
      <c r="TLS248" s="10"/>
      <c r="TLT248" s="11"/>
      <c r="TLU248" s="10"/>
      <c r="TLV248" s="6"/>
      <c r="TLW248" s="7"/>
      <c r="TLX248" s="8"/>
      <c r="TLY248" s="9"/>
      <c r="TLZ248" s="10"/>
      <c r="TMA248" s="11"/>
      <c r="TMB248" s="10"/>
      <c r="TMC248" s="6"/>
      <c r="TMD248" s="7"/>
      <c r="TME248" s="8"/>
      <c r="TMF248" s="9"/>
      <c r="TMG248" s="10"/>
      <c r="TMH248" s="11"/>
      <c r="TMI248" s="10"/>
      <c r="TMJ248" s="6"/>
      <c r="TMK248" s="7"/>
      <c r="TML248" s="8"/>
      <c r="TMM248" s="9"/>
      <c r="TMN248" s="10"/>
      <c r="TMO248" s="11"/>
      <c r="TMP248" s="10"/>
      <c r="TMQ248" s="6"/>
      <c r="TMR248" s="7"/>
      <c r="TMS248" s="8"/>
      <c r="TMT248" s="9"/>
      <c r="TMU248" s="10"/>
      <c r="TMV248" s="11"/>
      <c r="TMW248" s="10"/>
      <c r="TMX248" s="6"/>
      <c r="TMY248" s="7"/>
      <c r="TMZ248" s="8"/>
      <c r="TNA248" s="9"/>
      <c r="TNB248" s="10"/>
      <c r="TNC248" s="11"/>
      <c r="TND248" s="10"/>
      <c r="TNE248" s="6"/>
      <c r="TNF248" s="7"/>
      <c r="TNG248" s="8"/>
      <c r="TNH248" s="9"/>
      <c r="TNI248" s="10"/>
      <c r="TNJ248" s="11"/>
      <c r="TNK248" s="10"/>
      <c r="TNL248" s="6"/>
      <c r="TNM248" s="7"/>
      <c r="TNN248" s="8"/>
      <c r="TNO248" s="9"/>
      <c r="TNP248" s="10"/>
      <c r="TNQ248" s="11"/>
      <c r="TNR248" s="10"/>
      <c r="TNS248" s="6"/>
      <c r="TNT248" s="7"/>
      <c r="TNU248" s="8"/>
      <c r="TNV248" s="9"/>
      <c r="TNW248" s="10"/>
      <c r="TNX248" s="11"/>
      <c r="TNY248" s="10"/>
      <c r="TNZ248" s="6"/>
      <c r="TOA248" s="7"/>
      <c r="TOB248" s="8"/>
      <c r="TOC248" s="9"/>
      <c r="TOD248" s="10"/>
      <c r="TOE248" s="11"/>
      <c r="TOF248" s="10"/>
      <c r="TOG248" s="6"/>
      <c r="TOH248" s="7"/>
      <c r="TOI248" s="8"/>
      <c r="TOJ248" s="9"/>
      <c r="TOK248" s="10"/>
      <c r="TOL248" s="11"/>
      <c r="TOM248" s="10"/>
      <c r="TON248" s="6"/>
      <c r="TOO248" s="7"/>
      <c r="TOP248" s="8"/>
      <c r="TOQ248" s="9"/>
      <c r="TOR248" s="10"/>
      <c r="TOS248" s="11"/>
      <c r="TOT248" s="10"/>
      <c r="TOU248" s="6"/>
      <c r="TOV248" s="7"/>
      <c r="TOW248" s="8"/>
      <c r="TOX248" s="9"/>
      <c r="TOY248" s="10"/>
      <c r="TOZ248" s="11"/>
      <c r="TPA248" s="10"/>
      <c r="TPB248" s="6"/>
      <c r="TPC248" s="7"/>
      <c r="TPD248" s="8"/>
      <c r="TPE248" s="9"/>
      <c r="TPF248" s="10"/>
      <c r="TPG248" s="11"/>
      <c r="TPH248" s="10"/>
      <c r="TPI248" s="6"/>
      <c r="TPJ248" s="7"/>
      <c r="TPK248" s="8"/>
      <c r="TPL248" s="9"/>
      <c r="TPM248" s="10"/>
      <c r="TPN248" s="11"/>
      <c r="TPO248" s="10"/>
      <c r="TPP248" s="6"/>
      <c r="TPQ248" s="7"/>
      <c r="TPR248" s="8"/>
      <c r="TPS248" s="9"/>
      <c r="TPT248" s="10"/>
      <c r="TPU248" s="11"/>
      <c r="TPV248" s="10"/>
      <c r="TPW248" s="6"/>
      <c r="TPX248" s="7"/>
      <c r="TPY248" s="8"/>
      <c r="TPZ248" s="9"/>
      <c r="TQA248" s="10"/>
      <c r="TQB248" s="11"/>
      <c r="TQC248" s="10"/>
      <c r="TQD248" s="6"/>
      <c r="TQE248" s="7"/>
      <c r="TQF248" s="8"/>
      <c r="TQG248" s="9"/>
      <c r="TQH248" s="10"/>
      <c r="TQI248" s="11"/>
      <c r="TQJ248" s="10"/>
      <c r="TQK248" s="6"/>
      <c r="TQL248" s="7"/>
      <c r="TQM248" s="8"/>
      <c r="TQN248" s="9"/>
      <c r="TQO248" s="10"/>
      <c r="TQP248" s="11"/>
      <c r="TQQ248" s="10"/>
      <c r="TQR248" s="6"/>
      <c r="TQS248" s="7"/>
      <c r="TQT248" s="8"/>
      <c r="TQU248" s="9"/>
      <c r="TQV248" s="10"/>
      <c r="TQW248" s="11"/>
      <c r="TQX248" s="10"/>
      <c r="TQY248" s="6"/>
      <c r="TQZ248" s="7"/>
      <c r="TRA248" s="8"/>
      <c r="TRB248" s="9"/>
      <c r="TRC248" s="10"/>
      <c r="TRD248" s="11"/>
      <c r="TRE248" s="10"/>
      <c r="TRF248" s="6"/>
      <c r="TRG248" s="7"/>
      <c r="TRH248" s="8"/>
      <c r="TRI248" s="9"/>
      <c r="TRJ248" s="10"/>
      <c r="TRK248" s="11"/>
      <c r="TRL248" s="10"/>
      <c r="TRM248" s="6"/>
      <c r="TRN248" s="7"/>
      <c r="TRO248" s="8"/>
      <c r="TRP248" s="9"/>
      <c r="TRQ248" s="10"/>
      <c r="TRR248" s="11"/>
      <c r="TRS248" s="10"/>
      <c r="TRT248" s="6"/>
      <c r="TRU248" s="7"/>
      <c r="TRV248" s="8"/>
      <c r="TRW248" s="9"/>
      <c r="TRX248" s="10"/>
      <c r="TRY248" s="11"/>
      <c r="TRZ248" s="10"/>
      <c r="TSA248" s="6"/>
      <c r="TSB248" s="7"/>
      <c r="TSC248" s="8"/>
      <c r="TSD248" s="9"/>
      <c r="TSE248" s="10"/>
      <c r="TSF248" s="11"/>
      <c r="TSG248" s="10"/>
      <c r="TSH248" s="6"/>
      <c r="TSI248" s="7"/>
      <c r="TSJ248" s="8"/>
      <c r="TSK248" s="9"/>
      <c r="TSL248" s="10"/>
      <c r="TSM248" s="11"/>
      <c r="TSN248" s="10"/>
      <c r="TSO248" s="6"/>
      <c r="TSP248" s="7"/>
      <c r="TSQ248" s="8"/>
      <c r="TSR248" s="9"/>
      <c r="TSS248" s="10"/>
      <c r="TST248" s="11"/>
      <c r="TSU248" s="10"/>
      <c r="TSV248" s="6"/>
      <c r="TSW248" s="7"/>
      <c r="TSX248" s="8"/>
      <c r="TSY248" s="9"/>
      <c r="TSZ248" s="10"/>
      <c r="TTA248" s="11"/>
      <c r="TTB248" s="10"/>
      <c r="TTC248" s="6"/>
      <c r="TTD248" s="7"/>
      <c r="TTE248" s="8"/>
      <c r="TTF248" s="9"/>
      <c r="TTG248" s="10"/>
      <c r="TTH248" s="11"/>
      <c r="TTI248" s="10"/>
      <c r="TTJ248" s="6"/>
      <c r="TTK248" s="7"/>
      <c r="TTL248" s="8"/>
      <c r="TTM248" s="9"/>
      <c r="TTN248" s="10"/>
      <c r="TTO248" s="11"/>
      <c r="TTP248" s="10"/>
      <c r="TTQ248" s="6"/>
      <c r="TTR248" s="7"/>
      <c r="TTS248" s="8"/>
      <c r="TTT248" s="9"/>
      <c r="TTU248" s="10"/>
      <c r="TTV248" s="11"/>
      <c r="TTW248" s="10"/>
      <c r="TTX248" s="6"/>
      <c r="TTY248" s="7"/>
      <c r="TTZ248" s="8"/>
      <c r="TUA248" s="9"/>
      <c r="TUB248" s="10"/>
      <c r="TUC248" s="11"/>
      <c r="TUD248" s="10"/>
      <c r="TUE248" s="6"/>
      <c r="TUF248" s="7"/>
      <c r="TUG248" s="8"/>
      <c r="TUH248" s="9"/>
      <c r="TUI248" s="10"/>
      <c r="TUJ248" s="11"/>
      <c r="TUK248" s="10"/>
      <c r="TUL248" s="6"/>
      <c r="TUM248" s="7"/>
      <c r="TUN248" s="8"/>
      <c r="TUO248" s="9"/>
      <c r="TUP248" s="10"/>
      <c r="TUQ248" s="11"/>
      <c r="TUR248" s="10"/>
      <c r="TUS248" s="6"/>
      <c r="TUT248" s="7"/>
      <c r="TUU248" s="8"/>
      <c r="TUV248" s="9"/>
      <c r="TUW248" s="10"/>
      <c r="TUX248" s="11"/>
      <c r="TUY248" s="10"/>
      <c r="TUZ248" s="6"/>
      <c r="TVA248" s="7"/>
      <c r="TVB248" s="8"/>
      <c r="TVC248" s="9"/>
      <c r="TVD248" s="10"/>
      <c r="TVE248" s="11"/>
      <c r="TVF248" s="10"/>
      <c r="TVG248" s="6"/>
      <c r="TVH248" s="7"/>
      <c r="TVI248" s="8"/>
      <c r="TVJ248" s="9"/>
      <c r="TVK248" s="10"/>
      <c r="TVL248" s="11"/>
      <c r="TVM248" s="10"/>
      <c r="TVN248" s="6"/>
      <c r="TVO248" s="7"/>
      <c r="TVP248" s="8"/>
      <c r="TVQ248" s="9"/>
      <c r="TVR248" s="10"/>
      <c r="TVS248" s="11"/>
      <c r="TVT248" s="10"/>
      <c r="TVU248" s="6"/>
      <c r="TVV248" s="7"/>
      <c r="TVW248" s="8"/>
      <c r="TVX248" s="9"/>
      <c r="TVY248" s="10"/>
      <c r="TVZ248" s="11"/>
      <c r="TWA248" s="10"/>
      <c r="TWB248" s="6"/>
      <c r="TWC248" s="7"/>
      <c r="TWD248" s="8"/>
      <c r="TWE248" s="9"/>
      <c r="TWF248" s="10"/>
      <c r="TWG248" s="11"/>
      <c r="TWH248" s="10"/>
      <c r="TWI248" s="6"/>
      <c r="TWJ248" s="7"/>
      <c r="TWK248" s="8"/>
      <c r="TWL248" s="9"/>
      <c r="TWM248" s="10"/>
      <c r="TWN248" s="11"/>
      <c r="TWO248" s="10"/>
      <c r="TWP248" s="6"/>
      <c r="TWQ248" s="7"/>
      <c r="TWR248" s="8"/>
      <c r="TWS248" s="9"/>
      <c r="TWT248" s="10"/>
      <c r="TWU248" s="11"/>
      <c r="TWV248" s="10"/>
      <c r="TWW248" s="6"/>
      <c r="TWX248" s="7"/>
      <c r="TWY248" s="8"/>
      <c r="TWZ248" s="9"/>
      <c r="TXA248" s="10"/>
      <c r="TXB248" s="11"/>
      <c r="TXC248" s="10"/>
      <c r="TXD248" s="6"/>
      <c r="TXE248" s="7"/>
      <c r="TXF248" s="8"/>
      <c r="TXG248" s="9"/>
      <c r="TXH248" s="10"/>
      <c r="TXI248" s="11"/>
      <c r="TXJ248" s="10"/>
      <c r="TXK248" s="6"/>
      <c r="TXL248" s="7"/>
      <c r="TXM248" s="8"/>
      <c r="TXN248" s="9"/>
      <c r="TXO248" s="10"/>
      <c r="TXP248" s="11"/>
      <c r="TXQ248" s="10"/>
      <c r="TXR248" s="6"/>
      <c r="TXS248" s="7"/>
      <c r="TXT248" s="8"/>
      <c r="TXU248" s="9"/>
      <c r="TXV248" s="10"/>
      <c r="TXW248" s="11"/>
      <c r="TXX248" s="10"/>
      <c r="TXY248" s="6"/>
      <c r="TXZ248" s="7"/>
      <c r="TYA248" s="8"/>
      <c r="TYB248" s="9"/>
      <c r="TYC248" s="10"/>
      <c r="TYD248" s="11"/>
      <c r="TYE248" s="10"/>
      <c r="TYF248" s="6"/>
      <c r="TYG248" s="7"/>
      <c r="TYH248" s="8"/>
      <c r="TYI248" s="9"/>
      <c r="TYJ248" s="10"/>
      <c r="TYK248" s="11"/>
      <c r="TYL248" s="10"/>
      <c r="TYM248" s="6"/>
      <c r="TYN248" s="7"/>
      <c r="TYO248" s="8"/>
      <c r="TYP248" s="9"/>
      <c r="TYQ248" s="10"/>
      <c r="TYR248" s="11"/>
      <c r="TYS248" s="10"/>
      <c r="TYT248" s="6"/>
      <c r="TYU248" s="7"/>
      <c r="TYV248" s="8"/>
      <c r="TYW248" s="9"/>
      <c r="TYX248" s="10"/>
      <c r="TYY248" s="11"/>
      <c r="TYZ248" s="10"/>
      <c r="TZA248" s="6"/>
      <c r="TZB248" s="7"/>
      <c r="TZC248" s="8"/>
      <c r="TZD248" s="9"/>
      <c r="TZE248" s="10"/>
      <c r="TZF248" s="11"/>
      <c r="TZG248" s="10"/>
      <c r="TZH248" s="6"/>
      <c r="TZI248" s="7"/>
      <c r="TZJ248" s="8"/>
      <c r="TZK248" s="9"/>
      <c r="TZL248" s="10"/>
      <c r="TZM248" s="11"/>
      <c r="TZN248" s="10"/>
      <c r="TZO248" s="6"/>
      <c r="TZP248" s="7"/>
      <c r="TZQ248" s="8"/>
      <c r="TZR248" s="9"/>
      <c r="TZS248" s="10"/>
      <c r="TZT248" s="11"/>
      <c r="TZU248" s="10"/>
      <c r="TZV248" s="6"/>
      <c r="TZW248" s="7"/>
      <c r="TZX248" s="8"/>
      <c r="TZY248" s="9"/>
      <c r="TZZ248" s="10"/>
      <c r="UAA248" s="11"/>
      <c r="UAB248" s="10"/>
      <c r="UAC248" s="6"/>
      <c r="UAD248" s="7"/>
      <c r="UAE248" s="8"/>
      <c r="UAF248" s="9"/>
      <c r="UAG248" s="10"/>
      <c r="UAH248" s="11"/>
      <c r="UAI248" s="10"/>
      <c r="UAJ248" s="6"/>
      <c r="UAK248" s="7"/>
      <c r="UAL248" s="8"/>
      <c r="UAM248" s="9"/>
      <c r="UAN248" s="10"/>
      <c r="UAO248" s="11"/>
      <c r="UAP248" s="10"/>
      <c r="UAQ248" s="6"/>
      <c r="UAR248" s="7"/>
      <c r="UAS248" s="8"/>
      <c r="UAT248" s="9"/>
      <c r="UAU248" s="10"/>
      <c r="UAV248" s="11"/>
      <c r="UAW248" s="10"/>
      <c r="UAX248" s="6"/>
      <c r="UAY248" s="7"/>
      <c r="UAZ248" s="8"/>
      <c r="UBA248" s="9"/>
      <c r="UBB248" s="10"/>
      <c r="UBC248" s="11"/>
      <c r="UBD248" s="10"/>
      <c r="UBE248" s="6"/>
      <c r="UBF248" s="7"/>
      <c r="UBG248" s="8"/>
      <c r="UBH248" s="9"/>
      <c r="UBI248" s="10"/>
      <c r="UBJ248" s="11"/>
      <c r="UBK248" s="10"/>
      <c r="UBL248" s="6"/>
      <c r="UBM248" s="7"/>
      <c r="UBN248" s="8"/>
      <c r="UBO248" s="9"/>
      <c r="UBP248" s="10"/>
      <c r="UBQ248" s="11"/>
      <c r="UBR248" s="10"/>
      <c r="UBS248" s="6"/>
      <c r="UBT248" s="7"/>
      <c r="UBU248" s="8"/>
      <c r="UBV248" s="9"/>
      <c r="UBW248" s="10"/>
      <c r="UBX248" s="11"/>
      <c r="UBY248" s="10"/>
      <c r="UBZ248" s="6"/>
      <c r="UCA248" s="7"/>
      <c r="UCB248" s="8"/>
      <c r="UCC248" s="9"/>
      <c r="UCD248" s="10"/>
      <c r="UCE248" s="11"/>
      <c r="UCF248" s="10"/>
      <c r="UCG248" s="6"/>
      <c r="UCH248" s="7"/>
      <c r="UCI248" s="8"/>
      <c r="UCJ248" s="9"/>
      <c r="UCK248" s="10"/>
      <c r="UCL248" s="11"/>
      <c r="UCM248" s="10"/>
      <c r="UCN248" s="6"/>
      <c r="UCO248" s="7"/>
      <c r="UCP248" s="8"/>
      <c r="UCQ248" s="9"/>
      <c r="UCR248" s="10"/>
      <c r="UCS248" s="11"/>
      <c r="UCT248" s="10"/>
      <c r="UCU248" s="6"/>
      <c r="UCV248" s="7"/>
      <c r="UCW248" s="8"/>
      <c r="UCX248" s="9"/>
      <c r="UCY248" s="10"/>
      <c r="UCZ248" s="11"/>
      <c r="UDA248" s="10"/>
      <c r="UDB248" s="6"/>
      <c r="UDC248" s="7"/>
      <c r="UDD248" s="8"/>
      <c r="UDE248" s="9"/>
      <c r="UDF248" s="10"/>
      <c r="UDG248" s="11"/>
      <c r="UDH248" s="10"/>
      <c r="UDI248" s="6"/>
      <c r="UDJ248" s="7"/>
      <c r="UDK248" s="8"/>
      <c r="UDL248" s="9"/>
      <c r="UDM248" s="10"/>
      <c r="UDN248" s="11"/>
      <c r="UDO248" s="10"/>
      <c r="UDP248" s="6"/>
      <c r="UDQ248" s="7"/>
      <c r="UDR248" s="8"/>
      <c r="UDS248" s="9"/>
      <c r="UDT248" s="10"/>
      <c r="UDU248" s="11"/>
      <c r="UDV248" s="10"/>
      <c r="UDW248" s="6"/>
      <c r="UDX248" s="7"/>
      <c r="UDY248" s="8"/>
      <c r="UDZ248" s="9"/>
      <c r="UEA248" s="10"/>
      <c r="UEB248" s="11"/>
      <c r="UEC248" s="10"/>
      <c r="UED248" s="6"/>
      <c r="UEE248" s="7"/>
      <c r="UEF248" s="8"/>
      <c r="UEG248" s="9"/>
      <c r="UEH248" s="10"/>
      <c r="UEI248" s="11"/>
      <c r="UEJ248" s="10"/>
      <c r="UEK248" s="6"/>
      <c r="UEL248" s="7"/>
      <c r="UEM248" s="8"/>
      <c r="UEN248" s="9"/>
      <c r="UEO248" s="10"/>
      <c r="UEP248" s="11"/>
      <c r="UEQ248" s="10"/>
      <c r="UER248" s="6"/>
      <c r="UES248" s="7"/>
      <c r="UET248" s="8"/>
      <c r="UEU248" s="9"/>
      <c r="UEV248" s="10"/>
      <c r="UEW248" s="11"/>
      <c r="UEX248" s="10"/>
      <c r="UEY248" s="6"/>
      <c r="UEZ248" s="7"/>
      <c r="UFA248" s="8"/>
      <c r="UFB248" s="9"/>
      <c r="UFC248" s="10"/>
      <c r="UFD248" s="11"/>
      <c r="UFE248" s="10"/>
      <c r="UFF248" s="6"/>
      <c r="UFG248" s="7"/>
      <c r="UFH248" s="8"/>
      <c r="UFI248" s="9"/>
      <c r="UFJ248" s="10"/>
      <c r="UFK248" s="11"/>
      <c r="UFL248" s="10"/>
      <c r="UFM248" s="6"/>
      <c r="UFN248" s="7"/>
      <c r="UFO248" s="8"/>
      <c r="UFP248" s="9"/>
      <c r="UFQ248" s="10"/>
      <c r="UFR248" s="11"/>
      <c r="UFS248" s="10"/>
      <c r="UFT248" s="6"/>
      <c r="UFU248" s="7"/>
      <c r="UFV248" s="8"/>
      <c r="UFW248" s="9"/>
      <c r="UFX248" s="10"/>
      <c r="UFY248" s="11"/>
      <c r="UFZ248" s="10"/>
      <c r="UGA248" s="6"/>
      <c r="UGB248" s="7"/>
      <c r="UGC248" s="8"/>
      <c r="UGD248" s="9"/>
      <c r="UGE248" s="10"/>
      <c r="UGF248" s="11"/>
      <c r="UGG248" s="10"/>
      <c r="UGH248" s="6"/>
      <c r="UGI248" s="7"/>
      <c r="UGJ248" s="8"/>
      <c r="UGK248" s="9"/>
      <c r="UGL248" s="10"/>
      <c r="UGM248" s="11"/>
      <c r="UGN248" s="10"/>
      <c r="UGO248" s="6"/>
      <c r="UGP248" s="7"/>
      <c r="UGQ248" s="8"/>
      <c r="UGR248" s="9"/>
      <c r="UGS248" s="10"/>
      <c r="UGT248" s="11"/>
      <c r="UGU248" s="10"/>
      <c r="UGV248" s="6"/>
      <c r="UGW248" s="7"/>
      <c r="UGX248" s="8"/>
      <c r="UGY248" s="9"/>
      <c r="UGZ248" s="10"/>
      <c r="UHA248" s="11"/>
      <c r="UHB248" s="10"/>
      <c r="UHC248" s="6"/>
      <c r="UHD248" s="7"/>
      <c r="UHE248" s="8"/>
      <c r="UHF248" s="9"/>
      <c r="UHG248" s="10"/>
      <c r="UHH248" s="11"/>
      <c r="UHI248" s="10"/>
      <c r="UHJ248" s="6"/>
      <c r="UHK248" s="7"/>
      <c r="UHL248" s="8"/>
      <c r="UHM248" s="9"/>
      <c r="UHN248" s="10"/>
      <c r="UHO248" s="11"/>
      <c r="UHP248" s="10"/>
      <c r="UHQ248" s="6"/>
      <c r="UHR248" s="7"/>
      <c r="UHS248" s="8"/>
      <c r="UHT248" s="9"/>
      <c r="UHU248" s="10"/>
      <c r="UHV248" s="11"/>
      <c r="UHW248" s="10"/>
      <c r="UHX248" s="6"/>
      <c r="UHY248" s="7"/>
      <c r="UHZ248" s="8"/>
      <c r="UIA248" s="9"/>
      <c r="UIB248" s="10"/>
      <c r="UIC248" s="11"/>
      <c r="UID248" s="10"/>
      <c r="UIE248" s="6"/>
      <c r="UIF248" s="7"/>
      <c r="UIG248" s="8"/>
      <c r="UIH248" s="9"/>
      <c r="UII248" s="10"/>
      <c r="UIJ248" s="11"/>
      <c r="UIK248" s="10"/>
      <c r="UIL248" s="6"/>
      <c r="UIM248" s="7"/>
      <c r="UIN248" s="8"/>
      <c r="UIO248" s="9"/>
      <c r="UIP248" s="10"/>
      <c r="UIQ248" s="11"/>
      <c r="UIR248" s="10"/>
      <c r="UIS248" s="6"/>
      <c r="UIT248" s="7"/>
      <c r="UIU248" s="8"/>
      <c r="UIV248" s="9"/>
      <c r="UIW248" s="10"/>
      <c r="UIX248" s="11"/>
      <c r="UIY248" s="10"/>
      <c r="UIZ248" s="6"/>
      <c r="UJA248" s="7"/>
      <c r="UJB248" s="8"/>
      <c r="UJC248" s="9"/>
      <c r="UJD248" s="10"/>
      <c r="UJE248" s="11"/>
      <c r="UJF248" s="10"/>
      <c r="UJG248" s="6"/>
      <c r="UJH248" s="7"/>
      <c r="UJI248" s="8"/>
      <c r="UJJ248" s="9"/>
      <c r="UJK248" s="10"/>
      <c r="UJL248" s="11"/>
      <c r="UJM248" s="10"/>
      <c r="UJN248" s="6"/>
      <c r="UJO248" s="7"/>
      <c r="UJP248" s="8"/>
      <c r="UJQ248" s="9"/>
      <c r="UJR248" s="10"/>
      <c r="UJS248" s="11"/>
      <c r="UJT248" s="10"/>
      <c r="UJU248" s="6"/>
      <c r="UJV248" s="7"/>
      <c r="UJW248" s="8"/>
      <c r="UJX248" s="9"/>
      <c r="UJY248" s="10"/>
      <c r="UJZ248" s="11"/>
      <c r="UKA248" s="10"/>
      <c r="UKB248" s="6"/>
      <c r="UKC248" s="7"/>
      <c r="UKD248" s="8"/>
      <c r="UKE248" s="9"/>
      <c r="UKF248" s="10"/>
      <c r="UKG248" s="11"/>
      <c r="UKH248" s="10"/>
      <c r="UKI248" s="6"/>
      <c r="UKJ248" s="7"/>
      <c r="UKK248" s="8"/>
      <c r="UKL248" s="9"/>
      <c r="UKM248" s="10"/>
      <c r="UKN248" s="11"/>
      <c r="UKO248" s="10"/>
      <c r="UKP248" s="6"/>
      <c r="UKQ248" s="7"/>
      <c r="UKR248" s="8"/>
      <c r="UKS248" s="9"/>
      <c r="UKT248" s="10"/>
      <c r="UKU248" s="11"/>
      <c r="UKV248" s="10"/>
      <c r="UKW248" s="6"/>
      <c r="UKX248" s="7"/>
      <c r="UKY248" s="8"/>
      <c r="UKZ248" s="9"/>
      <c r="ULA248" s="10"/>
      <c r="ULB248" s="11"/>
      <c r="ULC248" s="10"/>
      <c r="ULD248" s="6"/>
      <c r="ULE248" s="7"/>
      <c r="ULF248" s="8"/>
      <c r="ULG248" s="9"/>
      <c r="ULH248" s="10"/>
      <c r="ULI248" s="11"/>
      <c r="ULJ248" s="10"/>
      <c r="ULK248" s="6"/>
      <c r="ULL248" s="7"/>
      <c r="ULM248" s="8"/>
      <c r="ULN248" s="9"/>
      <c r="ULO248" s="10"/>
      <c r="ULP248" s="11"/>
      <c r="ULQ248" s="10"/>
      <c r="ULR248" s="6"/>
      <c r="ULS248" s="7"/>
      <c r="ULT248" s="8"/>
      <c r="ULU248" s="9"/>
      <c r="ULV248" s="10"/>
      <c r="ULW248" s="11"/>
      <c r="ULX248" s="10"/>
      <c r="ULY248" s="6"/>
      <c r="ULZ248" s="7"/>
      <c r="UMA248" s="8"/>
      <c r="UMB248" s="9"/>
      <c r="UMC248" s="10"/>
      <c r="UMD248" s="11"/>
      <c r="UME248" s="10"/>
      <c r="UMF248" s="6"/>
      <c r="UMG248" s="7"/>
      <c r="UMH248" s="8"/>
      <c r="UMI248" s="9"/>
      <c r="UMJ248" s="10"/>
      <c r="UMK248" s="11"/>
      <c r="UML248" s="10"/>
      <c r="UMM248" s="6"/>
      <c r="UMN248" s="7"/>
      <c r="UMO248" s="8"/>
      <c r="UMP248" s="9"/>
      <c r="UMQ248" s="10"/>
      <c r="UMR248" s="11"/>
      <c r="UMS248" s="10"/>
      <c r="UMT248" s="6"/>
      <c r="UMU248" s="7"/>
      <c r="UMV248" s="8"/>
      <c r="UMW248" s="9"/>
      <c r="UMX248" s="10"/>
      <c r="UMY248" s="11"/>
      <c r="UMZ248" s="10"/>
      <c r="UNA248" s="6"/>
      <c r="UNB248" s="7"/>
      <c r="UNC248" s="8"/>
      <c r="UND248" s="9"/>
      <c r="UNE248" s="10"/>
      <c r="UNF248" s="11"/>
      <c r="UNG248" s="10"/>
      <c r="UNH248" s="6"/>
      <c r="UNI248" s="7"/>
      <c r="UNJ248" s="8"/>
      <c r="UNK248" s="9"/>
      <c r="UNL248" s="10"/>
      <c r="UNM248" s="11"/>
      <c r="UNN248" s="10"/>
      <c r="UNO248" s="6"/>
      <c r="UNP248" s="7"/>
      <c r="UNQ248" s="8"/>
      <c r="UNR248" s="9"/>
      <c r="UNS248" s="10"/>
      <c r="UNT248" s="11"/>
      <c r="UNU248" s="10"/>
      <c r="UNV248" s="6"/>
      <c r="UNW248" s="7"/>
      <c r="UNX248" s="8"/>
      <c r="UNY248" s="9"/>
      <c r="UNZ248" s="10"/>
      <c r="UOA248" s="11"/>
      <c r="UOB248" s="10"/>
      <c r="UOC248" s="6"/>
      <c r="UOD248" s="7"/>
      <c r="UOE248" s="8"/>
      <c r="UOF248" s="9"/>
      <c r="UOG248" s="10"/>
      <c r="UOH248" s="11"/>
      <c r="UOI248" s="10"/>
      <c r="UOJ248" s="6"/>
      <c r="UOK248" s="7"/>
      <c r="UOL248" s="8"/>
      <c r="UOM248" s="9"/>
      <c r="UON248" s="10"/>
      <c r="UOO248" s="11"/>
      <c r="UOP248" s="10"/>
      <c r="UOQ248" s="6"/>
      <c r="UOR248" s="7"/>
      <c r="UOS248" s="8"/>
      <c r="UOT248" s="9"/>
      <c r="UOU248" s="10"/>
      <c r="UOV248" s="11"/>
      <c r="UOW248" s="10"/>
      <c r="UOX248" s="6"/>
      <c r="UOY248" s="7"/>
      <c r="UOZ248" s="8"/>
      <c r="UPA248" s="9"/>
      <c r="UPB248" s="10"/>
      <c r="UPC248" s="11"/>
      <c r="UPD248" s="10"/>
      <c r="UPE248" s="6"/>
      <c r="UPF248" s="7"/>
      <c r="UPG248" s="8"/>
      <c r="UPH248" s="9"/>
      <c r="UPI248" s="10"/>
      <c r="UPJ248" s="11"/>
      <c r="UPK248" s="10"/>
      <c r="UPL248" s="6"/>
      <c r="UPM248" s="7"/>
      <c r="UPN248" s="8"/>
      <c r="UPO248" s="9"/>
      <c r="UPP248" s="10"/>
      <c r="UPQ248" s="11"/>
      <c r="UPR248" s="10"/>
      <c r="UPS248" s="6"/>
      <c r="UPT248" s="7"/>
      <c r="UPU248" s="8"/>
      <c r="UPV248" s="9"/>
      <c r="UPW248" s="10"/>
      <c r="UPX248" s="11"/>
      <c r="UPY248" s="10"/>
      <c r="UPZ248" s="6"/>
      <c r="UQA248" s="7"/>
      <c r="UQB248" s="8"/>
      <c r="UQC248" s="9"/>
      <c r="UQD248" s="10"/>
      <c r="UQE248" s="11"/>
      <c r="UQF248" s="10"/>
      <c r="UQG248" s="6"/>
      <c r="UQH248" s="7"/>
      <c r="UQI248" s="8"/>
      <c r="UQJ248" s="9"/>
      <c r="UQK248" s="10"/>
      <c r="UQL248" s="11"/>
      <c r="UQM248" s="10"/>
      <c r="UQN248" s="6"/>
      <c r="UQO248" s="7"/>
      <c r="UQP248" s="8"/>
      <c r="UQQ248" s="9"/>
      <c r="UQR248" s="10"/>
      <c r="UQS248" s="11"/>
      <c r="UQT248" s="10"/>
      <c r="UQU248" s="6"/>
      <c r="UQV248" s="7"/>
      <c r="UQW248" s="8"/>
      <c r="UQX248" s="9"/>
      <c r="UQY248" s="10"/>
      <c r="UQZ248" s="11"/>
      <c r="URA248" s="10"/>
      <c r="URB248" s="6"/>
      <c r="URC248" s="7"/>
      <c r="URD248" s="8"/>
      <c r="URE248" s="9"/>
      <c r="URF248" s="10"/>
      <c r="URG248" s="11"/>
      <c r="URH248" s="10"/>
      <c r="URI248" s="6"/>
      <c r="URJ248" s="7"/>
      <c r="URK248" s="8"/>
      <c r="URL248" s="9"/>
      <c r="URM248" s="10"/>
      <c r="URN248" s="11"/>
      <c r="URO248" s="10"/>
      <c r="URP248" s="6"/>
      <c r="URQ248" s="7"/>
      <c r="URR248" s="8"/>
      <c r="URS248" s="9"/>
      <c r="URT248" s="10"/>
      <c r="URU248" s="11"/>
      <c r="URV248" s="10"/>
      <c r="URW248" s="6"/>
      <c r="URX248" s="7"/>
      <c r="URY248" s="8"/>
      <c r="URZ248" s="9"/>
      <c r="USA248" s="10"/>
      <c r="USB248" s="11"/>
      <c r="USC248" s="10"/>
      <c r="USD248" s="6"/>
      <c r="USE248" s="7"/>
      <c r="USF248" s="8"/>
      <c r="USG248" s="9"/>
      <c r="USH248" s="10"/>
      <c r="USI248" s="11"/>
      <c r="USJ248" s="10"/>
      <c r="USK248" s="6"/>
      <c r="USL248" s="7"/>
      <c r="USM248" s="8"/>
      <c r="USN248" s="9"/>
      <c r="USO248" s="10"/>
      <c r="USP248" s="11"/>
      <c r="USQ248" s="10"/>
      <c r="USR248" s="6"/>
      <c r="USS248" s="7"/>
      <c r="UST248" s="8"/>
      <c r="USU248" s="9"/>
      <c r="USV248" s="10"/>
      <c r="USW248" s="11"/>
      <c r="USX248" s="10"/>
      <c r="USY248" s="6"/>
      <c r="USZ248" s="7"/>
      <c r="UTA248" s="8"/>
      <c r="UTB248" s="9"/>
      <c r="UTC248" s="10"/>
      <c r="UTD248" s="11"/>
      <c r="UTE248" s="10"/>
      <c r="UTF248" s="6"/>
      <c r="UTG248" s="7"/>
      <c r="UTH248" s="8"/>
      <c r="UTI248" s="9"/>
      <c r="UTJ248" s="10"/>
      <c r="UTK248" s="11"/>
      <c r="UTL248" s="10"/>
      <c r="UTM248" s="6"/>
      <c r="UTN248" s="7"/>
      <c r="UTO248" s="8"/>
      <c r="UTP248" s="9"/>
      <c r="UTQ248" s="10"/>
      <c r="UTR248" s="11"/>
      <c r="UTS248" s="10"/>
      <c r="UTT248" s="6"/>
      <c r="UTU248" s="7"/>
      <c r="UTV248" s="8"/>
      <c r="UTW248" s="9"/>
      <c r="UTX248" s="10"/>
      <c r="UTY248" s="11"/>
      <c r="UTZ248" s="10"/>
      <c r="UUA248" s="6"/>
      <c r="UUB248" s="7"/>
      <c r="UUC248" s="8"/>
      <c r="UUD248" s="9"/>
      <c r="UUE248" s="10"/>
      <c r="UUF248" s="11"/>
      <c r="UUG248" s="10"/>
      <c r="UUH248" s="6"/>
      <c r="UUI248" s="7"/>
      <c r="UUJ248" s="8"/>
      <c r="UUK248" s="9"/>
      <c r="UUL248" s="10"/>
      <c r="UUM248" s="11"/>
      <c r="UUN248" s="10"/>
      <c r="UUO248" s="6"/>
      <c r="UUP248" s="7"/>
      <c r="UUQ248" s="8"/>
      <c r="UUR248" s="9"/>
      <c r="UUS248" s="10"/>
      <c r="UUT248" s="11"/>
      <c r="UUU248" s="10"/>
      <c r="UUV248" s="6"/>
      <c r="UUW248" s="7"/>
      <c r="UUX248" s="8"/>
      <c r="UUY248" s="9"/>
      <c r="UUZ248" s="10"/>
      <c r="UVA248" s="11"/>
      <c r="UVB248" s="10"/>
      <c r="UVC248" s="6"/>
      <c r="UVD248" s="7"/>
      <c r="UVE248" s="8"/>
      <c r="UVF248" s="9"/>
      <c r="UVG248" s="10"/>
      <c r="UVH248" s="11"/>
      <c r="UVI248" s="10"/>
      <c r="UVJ248" s="6"/>
      <c r="UVK248" s="7"/>
      <c r="UVL248" s="8"/>
      <c r="UVM248" s="9"/>
      <c r="UVN248" s="10"/>
      <c r="UVO248" s="11"/>
      <c r="UVP248" s="10"/>
      <c r="UVQ248" s="6"/>
      <c r="UVR248" s="7"/>
      <c r="UVS248" s="8"/>
      <c r="UVT248" s="9"/>
      <c r="UVU248" s="10"/>
      <c r="UVV248" s="11"/>
      <c r="UVW248" s="10"/>
      <c r="UVX248" s="6"/>
      <c r="UVY248" s="7"/>
      <c r="UVZ248" s="8"/>
      <c r="UWA248" s="9"/>
      <c r="UWB248" s="10"/>
      <c r="UWC248" s="11"/>
      <c r="UWD248" s="10"/>
      <c r="UWE248" s="6"/>
      <c r="UWF248" s="7"/>
      <c r="UWG248" s="8"/>
      <c r="UWH248" s="9"/>
      <c r="UWI248" s="10"/>
      <c r="UWJ248" s="11"/>
      <c r="UWK248" s="10"/>
      <c r="UWL248" s="6"/>
      <c r="UWM248" s="7"/>
      <c r="UWN248" s="8"/>
      <c r="UWO248" s="9"/>
      <c r="UWP248" s="10"/>
      <c r="UWQ248" s="11"/>
      <c r="UWR248" s="10"/>
      <c r="UWS248" s="6"/>
      <c r="UWT248" s="7"/>
      <c r="UWU248" s="8"/>
      <c r="UWV248" s="9"/>
      <c r="UWW248" s="10"/>
      <c r="UWX248" s="11"/>
      <c r="UWY248" s="10"/>
      <c r="UWZ248" s="6"/>
      <c r="UXA248" s="7"/>
      <c r="UXB248" s="8"/>
      <c r="UXC248" s="9"/>
      <c r="UXD248" s="10"/>
      <c r="UXE248" s="11"/>
      <c r="UXF248" s="10"/>
      <c r="UXG248" s="6"/>
      <c r="UXH248" s="7"/>
      <c r="UXI248" s="8"/>
      <c r="UXJ248" s="9"/>
      <c r="UXK248" s="10"/>
      <c r="UXL248" s="11"/>
      <c r="UXM248" s="10"/>
      <c r="UXN248" s="6"/>
      <c r="UXO248" s="7"/>
      <c r="UXP248" s="8"/>
      <c r="UXQ248" s="9"/>
      <c r="UXR248" s="10"/>
      <c r="UXS248" s="11"/>
      <c r="UXT248" s="10"/>
      <c r="UXU248" s="6"/>
      <c r="UXV248" s="7"/>
      <c r="UXW248" s="8"/>
      <c r="UXX248" s="9"/>
      <c r="UXY248" s="10"/>
      <c r="UXZ248" s="11"/>
      <c r="UYA248" s="10"/>
      <c r="UYB248" s="6"/>
      <c r="UYC248" s="7"/>
      <c r="UYD248" s="8"/>
      <c r="UYE248" s="9"/>
      <c r="UYF248" s="10"/>
      <c r="UYG248" s="11"/>
      <c r="UYH248" s="10"/>
      <c r="UYI248" s="6"/>
      <c r="UYJ248" s="7"/>
      <c r="UYK248" s="8"/>
      <c r="UYL248" s="9"/>
      <c r="UYM248" s="10"/>
      <c r="UYN248" s="11"/>
      <c r="UYO248" s="10"/>
      <c r="UYP248" s="6"/>
      <c r="UYQ248" s="7"/>
      <c r="UYR248" s="8"/>
      <c r="UYS248" s="9"/>
      <c r="UYT248" s="10"/>
      <c r="UYU248" s="11"/>
      <c r="UYV248" s="10"/>
      <c r="UYW248" s="6"/>
      <c r="UYX248" s="7"/>
      <c r="UYY248" s="8"/>
      <c r="UYZ248" s="9"/>
      <c r="UZA248" s="10"/>
      <c r="UZB248" s="11"/>
      <c r="UZC248" s="10"/>
      <c r="UZD248" s="6"/>
      <c r="UZE248" s="7"/>
      <c r="UZF248" s="8"/>
      <c r="UZG248" s="9"/>
      <c r="UZH248" s="10"/>
      <c r="UZI248" s="11"/>
      <c r="UZJ248" s="10"/>
      <c r="UZK248" s="6"/>
      <c r="UZL248" s="7"/>
      <c r="UZM248" s="8"/>
      <c r="UZN248" s="9"/>
      <c r="UZO248" s="10"/>
      <c r="UZP248" s="11"/>
      <c r="UZQ248" s="10"/>
      <c r="UZR248" s="6"/>
      <c r="UZS248" s="7"/>
      <c r="UZT248" s="8"/>
      <c r="UZU248" s="9"/>
      <c r="UZV248" s="10"/>
      <c r="UZW248" s="11"/>
      <c r="UZX248" s="10"/>
      <c r="UZY248" s="6"/>
      <c r="UZZ248" s="7"/>
      <c r="VAA248" s="8"/>
      <c r="VAB248" s="9"/>
      <c r="VAC248" s="10"/>
      <c r="VAD248" s="11"/>
      <c r="VAE248" s="10"/>
      <c r="VAF248" s="6"/>
      <c r="VAG248" s="7"/>
      <c r="VAH248" s="8"/>
      <c r="VAI248" s="9"/>
      <c r="VAJ248" s="10"/>
      <c r="VAK248" s="11"/>
      <c r="VAL248" s="10"/>
      <c r="VAM248" s="6"/>
      <c r="VAN248" s="7"/>
      <c r="VAO248" s="8"/>
      <c r="VAP248" s="9"/>
      <c r="VAQ248" s="10"/>
      <c r="VAR248" s="11"/>
      <c r="VAS248" s="10"/>
      <c r="VAT248" s="6"/>
      <c r="VAU248" s="7"/>
      <c r="VAV248" s="8"/>
      <c r="VAW248" s="9"/>
      <c r="VAX248" s="10"/>
      <c r="VAY248" s="11"/>
      <c r="VAZ248" s="10"/>
      <c r="VBA248" s="6"/>
      <c r="VBB248" s="7"/>
      <c r="VBC248" s="8"/>
      <c r="VBD248" s="9"/>
      <c r="VBE248" s="10"/>
      <c r="VBF248" s="11"/>
      <c r="VBG248" s="10"/>
      <c r="VBH248" s="6"/>
      <c r="VBI248" s="7"/>
      <c r="VBJ248" s="8"/>
      <c r="VBK248" s="9"/>
      <c r="VBL248" s="10"/>
      <c r="VBM248" s="11"/>
      <c r="VBN248" s="10"/>
      <c r="VBO248" s="6"/>
      <c r="VBP248" s="7"/>
      <c r="VBQ248" s="8"/>
      <c r="VBR248" s="9"/>
      <c r="VBS248" s="10"/>
      <c r="VBT248" s="11"/>
      <c r="VBU248" s="10"/>
      <c r="VBV248" s="6"/>
      <c r="VBW248" s="7"/>
      <c r="VBX248" s="8"/>
      <c r="VBY248" s="9"/>
      <c r="VBZ248" s="10"/>
      <c r="VCA248" s="11"/>
      <c r="VCB248" s="10"/>
      <c r="VCC248" s="6"/>
      <c r="VCD248" s="7"/>
      <c r="VCE248" s="8"/>
      <c r="VCF248" s="9"/>
      <c r="VCG248" s="10"/>
      <c r="VCH248" s="11"/>
      <c r="VCI248" s="10"/>
      <c r="VCJ248" s="6"/>
      <c r="VCK248" s="7"/>
      <c r="VCL248" s="8"/>
      <c r="VCM248" s="9"/>
      <c r="VCN248" s="10"/>
      <c r="VCO248" s="11"/>
      <c r="VCP248" s="10"/>
      <c r="VCQ248" s="6"/>
      <c r="VCR248" s="7"/>
      <c r="VCS248" s="8"/>
      <c r="VCT248" s="9"/>
      <c r="VCU248" s="10"/>
      <c r="VCV248" s="11"/>
      <c r="VCW248" s="10"/>
      <c r="VCX248" s="6"/>
      <c r="VCY248" s="7"/>
      <c r="VCZ248" s="8"/>
      <c r="VDA248" s="9"/>
      <c r="VDB248" s="10"/>
      <c r="VDC248" s="11"/>
      <c r="VDD248" s="10"/>
      <c r="VDE248" s="6"/>
      <c r="VDF248" s="7"/>
      <c r="VDG248" s="8"/>
      <c r="VDH248" s="9"/>
      <c r="VDI248" s="10"/>
      <c r="VDJ248" s="11"/>
      <c r="VDK248" s="10"/>
      <c r="VDL248" s="6"/>
      <c r="VDM248" s="7"/>
      <c r="VDN248" s="8"/>
      <c r="VDO248" s="9"/>
      <c r="VDP248" s="10"/>
      <c r="VDQ248" s="11"/>
      <c r="VDR248" s="10"/>
      <c r="VDS248" s="6"/>
      <c r="VDT248" s="7"/>
      <c r="VDU248" s="8"/>
      <c r="VDV248" s="9"/>
      <c r="VDW248" s="10"/>
      <c r="VDX248" s="11"/>
      <c r="VDY248" s="10"/>
      <c r="VDZ248" s="6"/>
      <c r="VEA248" s="7"/>
      <c r="VEB248" s="8"/>
      <c r="VEC248" s="9"/>
      <c r="VED248" s="10"/>
      <c r="VEE248" s="11"/>
      <c r="VEF248" s="10"/>
      <c r="VEG248" s="6"/>
      <c r="VEH248" s="7"/>
      <c r="VEI248" s="8"/>
      <c r="VEJ248" s="9"/>
      <c r="VEK248" s="10"/>
      <c r="VEL248" s="11"/>
      <c r="VEM248" s="10"/>
      <c r="VEN248" s="6"/>
      <c r="VEO248" s="7"/>
      <c r="VEP248" s="8"/>
      <c r="VEQ248" s="9"/>
      <c r="VER248" s="10"/>
      <c r="VES248" s="11"/>
      <c r="VET248" s="10"/>
      <c r="VEU248" s="6"/>
      <c r="VEV248" s="7"/>
      <c r="VEW248" s="8"/>
      <c r="VEX248" s="9"/>
      <c r="VEY248" s="10"/>
      <c r="VEZ248" s="11"/>
      <c r="VFA248" s="10"/>
      <c r="VFB248" s="6"/>
      <c r="VFC248" s="7"/>
      <c r="VFD248" s="8"/>
      <c r="VFE248" s="9"/>
      <c r="VFF248" s="10"/>
      <c r="VFG248" s="11"/>
      <c r="VFH248" s="10"/>
      <c r="VFI248" s="6"/>
      <c r="VFJ248" s="7"/>
      <c r="VFK248" s="8"/>
      <c r="VFL248" s="9"/>
      <c r="VFM248" s="10"/>
      <c r="VFN248" s="11"/>
      <c r="VFO248" s="10"/>
      <c r="VFP248" s="6"/>
      <c r="VFQ248" s="7"/>
      <c r="VFR248" s="8"/>
      <c r="VFS248" s="9"/>
      <c r="VFT248" s="10"/>
      <c r="VFU248" s="11"/>
      <c r="VFV248" s="10"/>
      <c r="VFW248" s="6"/>
      <c r="VFX248" s="7"/>
      <c r="VFY248" s="8"/>
      <c r="VFZ248" s="9"/>
      <c r="VGA248" s="10"/>
      <c r="VGB248" s="11"/>
      <c r="VGC248" s="10"/>
      <c r="VGD248" s="6"/>
      <c r="VGE248" s="7"/>
      <c r="VGF248" s="8"/>
      <c r="VGG248" s="9"/>
      <c r="VGH248" s="10"/>
      <c r="VGI248" s="11"/>
      <c r="VGJ248" s="10"/>
      <c r="VGK248" s="6"/>
      <c r="VGL248" s="7"/>
      <c r="VGM248" s="8"/>
      <c r="VGN248" s="9"/>
      <c r="VGO248" s="10"/>
      <c r="VGP248" s="11"/>
      <c r="VGQ248" s="10"/>
      <c r="VGR248" s="6"/>
      <c r="VGS248" s="7"/>
      <c r="VGT248" s="8"/>
      <c r="VGU248" s="9"/>
      <c r="VGV248" s="10"/>
      <c r="VGW248" s="11"/>
      <c r="VGX248" s="10"/>
      <c r="VGY248" s="6"/>
      <c r="VGZ248" s="7"/>
      <c r="VHA248" s="8"/>
      <c r="VHB248" s="9"/>
      <c r="VHC248" s="10"/>
      <c r="VHD248" s="11"/>
      <c r="VHE248" s="10"/>
      <c r="VHF248" s="6"/>
      <c r="VHG248" s="7"/>
      <c r="VHH248" s="8"/>
      <c r="VHI248" s="9"/>
      <c r="VHJ248" s="10"/>
      <c r="VHK248" s="11"/>
      <c r="VHL248" s="10"/>
      <c r="VHM248" s="6"/>
      <c r="VHN248" s="7"/>
      <c r="VHO248" s="8"/>
      <c r="VHP248" s="9"/>
      <c r="VHQ248" s="10"/>
      <c r="VHR248" s="11"/>
      <c r="VHS248" s="10"/>
      <c r="VHT248" s="6"/>
      <c r="VHU248" s="7"/>
      <c r="VHV248" s="8"/>
      <c r="VHW248" s="9"/>
      <c r="VHX248" s="10"/>
      <c r="VHY248" s="11"/>
      <c r="VHZ248" s="10"/>
      <c r="VIA248" s="6"/>
      <c r="VIB248" s="7"/>
      <c r="VIC248" s="8"/>
      <c r="VID248" s="9"/>
      <c r="VIE248" s="10"/>
      <c r="VIF248" s="11"/>
      <c r="VIG248" s="10"/>
      <c r="VIH248" s="6"/>
      <c r="VII248" s="7"/>
      <c r="VIJ248" s="8"/>
      <c r="VIK248" s="9"/>
      <c r="VIL248" s="10"/>
      <c r="VIM248" s="11"/>
      <c r="VIN248" s="10"/>
      <c r="VIO248" s="6"/>
      <c r="VIP248" s="7"/>
      <c r="VIQ248" s="8"/>
      <c r="VIR248" s="9"/>
      <c r="VIS248" s="10"/>
      <c r="VIT248" s="11"/>
      <c r="VIU248" s="10"/>
      <c r="VIV248" s="6"/>
      <c r="VIW248" s="7"/>
      <c r="VIX248" s="8"/>
      <c r="VIY248" s="9"/>
      <c r="VIZ248" s="10"/>
      <c r="VJA248" s="11"/>
      <c r="VJB248" s="10"/>
      <c r="VJC248" s="6"/>
      <c r="VJD248" s="7"/>
      <c r="VJE248" s="8"/>
      <c r="VJF248" s="9"/>
      <c r="VJG248" s="10"/>
      <c r="VJH248" s="11"/>
      <c r="VJI248" s="10"/>
      <c r="VJJ248" s="6"/>
      <c r="VJK248" s="7"/>
      <c r="VJL248" s="8"/>
      <c r="VJM248" s="9"/>
      <c r="VJN248" s="10"/>
      <c r="VJO248" s="11"/>
      <c r="VJP248" s="10"/>
      <c r="VJQ248" s="6"/>
      <c r="VJR248" s="7"/>
      <c r="VJS248" s="8"/>
      <c r="VJT248" s="9"/>
      <c r="VJU248" s="10"/>
      <c r="VJV248" s="11"/>
      <c r="VJW248" s="10"/>
      <c r="VJX248" s="6"/>
      <c r="VJY248" s="7"/>
      <c r="VJZ248" s="8"/>
      <c r="VKA248" s="9"/>
      <c r="VKB248" s="10"/>
      <c r="VKC248" s="11"/>
      <c r="VKD248" s="10"/>
      <c r="VKE248" s="6"/>
      <c r="VKF248" s="7"/>
      <c r="VKG248" s="8"/>
      <c r="VKH248" s="9"/>
      <c r="VKI248" s="10"/>
      <c r="VKJ248" s="11"/>
      <c r="VKK248" s="10"/>
      <c r="VKL248" s="6"/>
      <c r="VKM248" s="7"/>
      <c r="VKN248" s="8"/>
      <c r="VKO248" s="9"/>
      <c r="VKP248" s="10"/>
      <c r="VKQ248" s="11"/>
      <c r="VKR248" s="10"/>
      <c r="VKS248" s="6"/>
      <c r="VKT248" s="7"/>
      <c r="VKU248" s="8"/>
      <c r="VKV248" s="9"/>
      <c r="VKW248" s="10"/>
      <c r="VKX248" s="11"/>
      <c r="VKY248" s="10"/>
      <c r="VKZ248" s="6"/>
      <c r="VLA248" s="7"/>
      <c r="VLB248" s="8"/>
      <c r="VLC248" s="9"/>
      <c r="VLD248" s="10"/>
      <c r="VLE248" s="11"/>
      <c r="VLF248" s="10"/>
      <c r="VLG248" s="6"/>
      <c r="VLH248" s="7"/>
      <c r="VLI248" s="8"/>
      <c r="VLJ248" s="9"/>
      <c r="VLK248" s="10"/>
      <c r="VLL248" s="11"/>
      <c r="VLM248" s="10"/>
      <c r="VLN248" s="6"/>
      <c r="VLO248" s="7"/>
      <c r="VLP248" s="8"/>
      <c r="VLQ248" s="9"/>
      <c r="VLR248" s="10"/>
      <c r="VLS248" s="11"/>
      <c r="VLT248" s="10"/>
      <c r="VLU248" s="6"/>
      <c r="VLV248" s="7"/>
      <c r="VLW248" s="8"/>
      <c r="VLX248" s="9"/>
      <c r="VLY248" s="10"/>
      <c r="VLZ248" s="11"/>
      <c r="VMA248" s="10"/>
      <c r="VMB248" s="6"/>
      <c r="VMC248" s="7"/>
      <c r="VMD248" s="8"/>
      <c r="VME248" s="9"/>
      <c r="VMF248" s="10"/>
      <c r="VMG248" s="11"/>
      <c r="VMH248" s="10"/>
      <c r="VMI248" s="6"/>
      <c r="VMJ248" s="7"/>
      <c r="VMK248" s="8"/>
      <c r="VML248" s="9"/>
      <c r="VMM248" s="10"/>
      <c r="VMN248" s="11"/>
      <c r="VMO248" s="10"/>
      <c r="VMP248" s="6"/>
      <c r="VMQ248" s="7"/>
      <c r="VMR248" s="8"/>
      <c r="VMS248" s="9"/>
      <c r="VMT248" s="10"/>
      <c r="VMU248" s="11"/>
      <c r="VMV248" s="10"/>
      <c r="VMW248" s="6"/>
      <c r="VMX248" s="7"/>
      <c r="VMY248" s="8"/>
      <c r="VMZ248" s="9"/>
      <c r="VNA248" s="10"/>
      <c r="VNB248" s="11"/>
      <c r="VNC248" s="10"/>
      <c r="VND248" s="6"/>
      <c r="VNE248" s="7"/>
      <c r="VNF248" s="8"/>
      <c r="VNG248" s="9"/>
      <c r="VNH248" s="10"/>
      <c r="VNI248" s="11"/>
      <c r="VNJ248" s="10"/>
      <c r="VNK248" s="6"/>
      <c r="VNL248" s="7"/>
      <c r="VNM248" s="8"/>
      <c r="VNN248" s="9"/>
      <c r="VNO248" s="10"/>
      <c r="VNP248" s="11"/>
      <c r="VNQ248" s="10"/>
      <c r="VNR248" s="6"/>
      <c r="VNS248" s="7"/>
      <c r="VNT248" s="8"/>
      <c r="VNU248" s="9"/>
      <c r="VNV248" s="10"/>
      <c r="VNW248" s="11"/>
      <c r="VNX248" s="10"/>
      <c r="VNY248" s="6"/>
      <c r="VNZ248" s="7"/>
      <c r="VOA248" s="8"/>
      <c r="VOB248" s="9"/>
      <c r="VOC248" s="10"/>
      <c r="VOD248" s="11"/>
      <c r="VOE248" s="10"/>
      <c r="VOF248" s="6"/>
      <c r="VOG248" s="7"/>
      <c r="VOH248" s="8"/>
      <c r="VOI248" s="9"/>
      <c r="VOJ248" s="10"/>
      <c r="VOK248" s="11"/>
      <c r="VOL248" s="10"/>
      <c r="VOM248" s="6"/>
      <c r="VON248" s="7"/>
      <c r="VOO248" s="8"/>
      <c r="VOP248" s="9"/>
      <c r="VOQ248" s="10"/>
      <c r="VOR248" s="11"/>
      <c r="VOS248" s="10"/>
      <c r="VOT248" s="6"/>
      <c r="VOU248" s="7"/>
      <c r="VOV248" s="8"/>
      <c r="VOW248" s="9"/>
      <c r="VOX248" s="10"/>
      <c r="VOY248" s="11"/>
      <c r="VOZ248" s="10"/>
      <c r="VPA248" s="6"/>
      <c r="VPB248" s="7"/>
      <c r="VPC248" s="8"/>
      <c r="VPD248" s="9"/>
      <c r="VPE248" s="10"/>
      <c r="VPF248" s="11"/>
      <c r="VPG248" s="10"/>
      <c r="VPH248" s="6"/>
      <c r="VPI248" s="7"/>
      <c r="VPJ248" s="8"/>
      <c r="VPK248" s="9"/>
      <c r="VPL248" s="10"/>
      <c r="VPM248" s="11"/>
      <c r="VPN248" s="10"/>
      <c r="VPO248" s="6"/>
      <c r="VPP248" s="7"/>
      <c r="VPQ248" s="8"/>
      <c r="VPR248" s="9"/>
      <c r="VPS248" s="10"/>
      <c r="VPT248" s="11"/>
      <c r="VPU248" s="10"/>
      <c r="VPV248" s="6"/>
      <c r="VPW248" s="7"/>
      <c r="VPX248" s="8"/>
      <c r="VPY248" s="9"/>
      <c r="VPZ248" s="10"/>
      <c r="VQA248" s="11"/>
      <c r="VQB248" s="10"/>
      <c r="VQC248" s="6"/>
      <c r="VQD248" s="7"/>
      <c r="VQE248" s="8"/>
      <c r="VQF248" s="9"/>
      <c r="VQG248" s="10"/>
      <c r="VQH248" s="11"/>
      <c r="VQI248" s="10"/>
      <c r="VQJ248" s="6"/>
      <c r="VQK248" s="7"/>
      <c r="VQL248" s="8"/>
      <c r="VQM248" s="9"/>
      <c r="VQN248" s="10"/>
      <c r="VQO248" s="11"/>
      <c r="VQP248" s="10"/>
      <c r="VQQ248" s="6"/>
      <c r="VQR248" s="7"/>
      <c r="VQS248" s="8"/>
      <c r="VQT248" s="9"/>
      <c r="VQU248" s="10"/>
      <c r="VQV248" s="11"/>
      <c r="VQW248" s="10"/>
      <c r="VQX248" s="6"/>
      <c r="VQY248" s="7"/>
      <c r="VQZ248" s="8"/>
      <c r="VRA248" s="9"/>
      <c r="VRB248" s="10"/>
      <c r="VRC248" s="11"/>
      <c r="VRD248" s="10"/>
      <c r="VRE248" s="6"/>
      <c r="VRF248" s="7"/>
      <c r="VRG248" s="8"/>
      <c r="VRH248" s="9"/>
      <c r="VRI248" s="10"/>
      <c r="VRJ248" s="11"/>
      <c r="VRK248" s="10"/>
      <c r="VRL248" s="6"/>
      <c r="VRM248" s="7"/>
      <c r="VRN248" s="8"/>
      <c r="VRO248" s="9"/>
      <c r="VRP248" s="10"/>
      <c r="VRQ248" s="11"/>
      <c r="VRR248" s="10"/>
      <c r="VRS248" s="6"/>
      <c r="VRT248" s="7"/>
      <c r="VRU248" s="8"/>
      <c r="VRV248" s="9"/>
      <c r="VRW248" s="10"/>
      <c r="VRX248" s="11"/>
      <c r="VRY248" s="10"/>
      <c r="VRZ248" s="6"/>
      <c r="VSA248" s="7"/>
      <c r="VSB248" s="8"/>
      <c r="VSC248" s="9"/>
      <c r="VSD248" s="10"/>
      <c r="VSE248" s="11"/>
      <c r="VSF248" s="10"/>
      <c r="VSG248" s="6"/>
      <c r="VSH248" s="7"/>
      <c r="VSI248" s="8"/>
      <c r="VSJ248" s="9"/>
      <c r="VSK248" s="10"/>
      <c r="VSL248" s="11"/>
      <c r="VSM248" s="10"/>
      <c r="VSN248" s="6"/>
      <c r="VSO248" s="7"/>
      <c r="VSP248" s="8"/>
      <c r="VSQ248" s="9"/>
      <c r="VSR248" s="10"/>
      <c r="VSS248" s="11"/>
      <c r="VST248" s="10"/>
      <c r="VSU248" s="6"/>
      <c r="VSV248" s="7"/>
      <c r="VSW248" s="8"/>
      <c r="VSX248" s="9"/>
      <c r="VSY248" s="10"/>
      <c r="VSZ248" s="11"/>
      <c r="VTA248" s="10"/>
      <c r="VTB248" s="6"/>
      <c r="VTC248" s="7"/>
      <c r="VTD248" s="8"/>
      <c r="VTE248" s="9"/>
      <c r="VTF248" s="10"/>
      <c r="VTG248" s="11"/>
      <c r="VTH248" s="10"/>
      <c r="VTI248" s="6"/>
      <c r="VTJ248" s="7"/>
      <c r="VTK248" s="8"/>
      <c r="VTL248" s="9"/>
      <c r="VTM248" s="10"/>
      <c r="VTN248" s="11"/>
      <c r="VTO248" s="10"/>
      <c r="VTP248" s="6"/>
      <c r="VTQ248" s="7"/>
      <c r="VTR248" s="8"/>
      <c r="VTS248" s="9"/>
      <c r="VTT248" s="10"/>
      <c r="VTU248" s="11"/>
      <c r="VTV248" s="10"/>
      <c r="VTW248" s="6"/>
      <c r="VTX248" s="7"/>
      <c r="VTY248" s="8"/>
      <c r="VTZ248" s="9"/>
      <c r="VUA248" s="10"/>
      <c r="VUB248" s="11"/>
      <c r="VUC248" s="10"/>
      <c r="VUD248" s="6"/>
      <c r="VUE248" s="7"/>
      <c r="VUF248" s="8"/>
      <c r="VUG248" s="9"/>
      <c r="VUH248" s="10"/>
      <c r="VUI248" s="11"/>
      <c r="VUJ248" s="10"/>
      <c r="VUK248" s="6"/>
      <c r="VUL248" s="7"/>
      <c r="VUM248" s="8"/>
      <c r="VUN248" s="9"/>
      <c r="VUO248" s="10"/>
      <c r="VUP248" s="11"/>
      <c r="VUQ248" s="10"/>
      <c r="VUR248" s="6"/>
      <c r="VUS248" s="7"/>
      <c r="VUT248" s="8"/>
      <c r="VUU248" s="9"/>
      <c r="VUV248" s="10"/>
      <c r="VUW248" s="11"/>
      <c r="VUX248" s="10"/>
      <c r="VUY248" s="6"/>
      <c r="VUZ248" s="7"/>
      <c r="VVA248" s="8"/>
      <c r="VVB248" s="9"/>
      <c r="VVC248" s="10"/>
      <c r="VVD248" s="11"/>
      <c r="VVE248" s="10"/>
      <c r="VVF248" s="6"/>
      <c r="VVG248" s="7"/>
      <c r="VVH248" s="8"/>
      <c r="VVI248" s="9"/>
      <c r="VVJ248" s="10"/>
      <c r="VVK248" s="11"/>
      <c r="VVL248" s="10"/>
      <c r="VVM248" s="6"/>
      <c r="VVN248" s="7"/>
      <c r="VVO248" s="8"/>
      <c r="VVP248" s="9"/>
      <c r="VVQ248" s="10"/>
      <c r="VVR248" s="11"/>
      <c r="VVS248" s="10"/>
      <c r="VVT248" s="6"/>
      <c r="VVU248" s="7"/>
      <c r="VVV248" s="8"/>
      <c r="VVW248" s="9"/>
      <c r="VVX248" s="10"/>
      <c r="VVY248" s="11"/>
      <c r="VVZ248" s="10"/>
      <c r="VWA248" s="6"/>
      <c r="VWB248" s="7"/>
      <c r="VWC248" s="8"/>
      <c r="VWD248" s="9"/>
      <c r="VWE248" s="10"/>
      <c r="VWF248" s="11"/>
      <c r="VWG248" s="10"/>
      <c r="VWH248" s="6"/>
      <c r="VWI248" s="7"/>
      <c r="VWJ248" s="8"/>
      <c r="VWK248" s="9"/>
      <c r="VWL248" s="10"/>
      <c r="VWM248" s="11"/>
      <c r="VWN248" s="10"/>
      <c r="VWO248" s="6"/>
      <c r="VWP248" s="7"/>
      <c r="VWQ248" s="8"/>
      <c r="VWR248" s="9"/>
      <c r="VWS248" s="10"/>
      <c r="VWT248" s="11"/>
      <c r="VWU248" s="10"/>
      <c r="VWV248" s="6"/>
      <c r="VWW248" s="7"/>
      <c r="VWX248" s="8"/>
      <c r="VWY248" s="9"/>
      <c r="VWZ248" s="10"/>
      <c r="VXA248" s="11"/>
      <c r="VXB248" s="10"/>
      <c r="VXC248" s="6"/>
      <c r="VXD248" s="7"/>
      <c r="VXE248" s="8"/>
      <c r="VXF248" s="9"/>
      <c r="VXG248" s="10"/>
      <c r="VXH248" s="11"/>
      <c r="VXI248" s="10"/>
      <c r="VXJ248" s="6"/>
      <c r="VXK248" s="7"/>
      <c r="VXL248" s="8"/>
      <c r="VXM248" s="9"/>
      <c r="VXN248" s="10"/>
      <c r="VXO248" s="11"/>
      <c r="VXP248" s="10"/>
      <c r="VXQ248" s="6"/>
      <c r="VXR248" s="7"/>
      <c r="VXS248" s="8"/>
      <c r="VXT248" s="9"/>
      <c r="VXU248" s="10"/>
      <c r="VXV248" s="11"/>
      <c r="VXW248" s="10"/>
      <c r="VXX248" s="6"/>
      <c r="VXY248" s="7"/>
      <c r="VXZ248" s="8"/>
      <c r="VYA248" s="9"/>
      <c r="VYB248" s="10"/>
      <c r="VYC248" s="11"/>
      <c r="VYD248" s="10"/>
      <c r="VYE248" s="6"/>
      <c r="VYF248" s="7"/>
      <c r="VYG248" s="8"/>
      <c r="VYH248" s="9"/>
      <c r="VYI248" s="10"/>
      <c r="VYJ248" s="11"/>
      <c r="VYK248" s="10"/>
      <c r="VYL248" s="6"/>
      <c r="VYM248" s="7"/>
      <c r="VYN248" s="8"/>
      <c r="VYO248" s="9"/>
      <c r="VYP248" s="10"/>
      <c r="VYQ248" s="11"/>
      <c r="VYR248" s="10"/>
      <c r="VYS248" s="6"/>
      <c r="VYT248" s="7"/>
      <c r="VYU248" s="8"/>
      <c r="VYV248" s="9"/>
      <c r="VYW248" s="10"/>
      <c r="VYX248" s="11"/>
      <c r="VYY248" s="10"/>
      <c r="VYZ248" s="6"/>
      <c r="VZA248" s="7"/>
      <c r="VZB248" s="8"/>
      <c r="VZC248" s="9"/>
      <c r="VZD248" s="10"/>
      <c r="VZE248" s="11"/>
      <c r="VZF248" s="10"/>
      <c r="VZG248" s="6"/>
      <c r="VZH248" s="7"/>
      <c r="VZI248" s="8"/>
      <c r="VZJ248" s="9"/>
      <c r="VZK248" s="10"/>
      <c r="VZL248" s="11"/>
      <c r="VZM248" s="10"/>
      <c r="VZN248" s="6"/>
      <c r="VZO248" s="7"/>
      <c r="VZP248" s="8"/>
      <c r="VZQ248" s="9"/>
      <c r="VZR248" s="10"/>
      <c r="VZS248" s="11"/>
      <c r="VZT248" s="10"/>
      <c r="VZU248" s="6"/>
      <c r="VZV248" s="7"/>
      <c r="VZW248" s="8"/>
      <c r="VZX248" s="9"/>
      <c r="VZY248" s="10"/>
      <c r="VZZ248" s="11"/>
      <c r="WAA248" s="10"/>
      <c r="WAB248" s="6"/>
      <c r="WAC248" s="7"/>
      <c r="WAD248" s="8"/>
      <c r="WAE248" s="9"/>
      <c r="WAF248" s="10"/>
      <c r="WAG248" s="11"/>
      <c r="WAH248" s="10"/>
      <c r="WAI248" s="6"/>
      <c r="WAJ248" s="7"/>
      <c r="WAK248" s="8"/>
      <c r="WAL248" s="9"/>
      <c r="WAM248" s="10"/>
      <c r="WAN248" s="11"/>
      <c r="WAO248" s="10"/>
      <c r="WAP248" s="6"/>
      <c r="WAQ248" s="7"/>
      <c r="WAR248" s="8"/>
      <c r="WAS248" s="9"/>
      <c r="WAT248" s="10"/>
      <c r="WAU248" s="11"/>
      <c r="WAV248" s="10"/>
      <c r="WAW248" s="6"/>
      <c r="WAX248" s="7"/>
      <c r="WAY248" s="8"/>
      <c r="WAZ248" s="9"/>
      <c r="WBA248" s="10"/>
      <c r="WBB248" s="11"/>
      <c r="WBC248" s="10"/>
      <c r="WBD248" s="6"/>
      <c r="WBE248" s="7"/>
      <c r="WBF248" s="8"/>
      <c r="WBG248" s="9"/>
      <c r="WBH248" s="10"/>
      <c r="WBI248" s="11"/>
      <c r="WBJ248" s="10"/>
      <c r="WBK248" s="6"/>
      <c r="WBL248" s="7"/>
      <c r="WBM248" s="8"/>
      <c r="WBN248" s="9"/>
      <c r="WBO248" s="10"/>
      <c r="WBP248" s="11"/>
      <c r="WBQ248" s="10"/>
      <c r="WBR248" s="6"/>
      <c r="WBS248" s="7"/>
      <c r="WBT248" s="8"/>
      <c r="WBU248" s="9"/>
      <c r="WBV248" s="10"/>
      <c r="WBW248" s="11"/>
      <c r="WBX248" s="10"/>
      <c r="WBY248" s="6"/>
      <c r="WBZ248" s="7"/>
      <c r="WCA248" s="8"/>
      <c r="WCB248" s="9"/>
      <c r="WCC248" s="10"/>
      <c r="WCD248" s="11"/>
      <c r="WCE248" s="10"/>
      <c r="WCF248" s="6"/>
      <c r="WCG248" s="7"/>
      <c r="WCH248" s="8"/>
      <c r="WCI248" s="9"/>
      <c r="WCJ248" s="10"/>
      <c r="WCK248" s="11"/>
      <c r="WCL248" s="10"/>
      <c r="WCM248" s="6"/>
      <c r="WCN248" s="7"/>
      <c r="WCO248" s="8"/>
      <c r="WCP248" s="9"/>
      <c r="WCQ248" s="10"/>
      <c r="WCR248" s="11"/>
      <c r="WCS248" s="10"/>
      <c r="WCT248" s="6"/>
      <c r="WCU248" s="7"/>
      <c r="WCV248" s="8"/>
      <c r="WCW248" s="9"/>
      <c r="WCX248" s="10"/>
      <c r="WCY248" s="11"/>
      <c r="WCZ248" s="10"/>
      <c r="WDA248" s="6"/>
      <c r="WDB248" s="7"/>
      <c r="WDC248" s="8"/>
      <c r="WDD248" s="9"/>
      <c r="WDE248" s="10"/>
      <c r="WDF248" s="11"/>
      <c r="WDG248" s="10"/>
      <c r="WDH248" s="6"/>
      <c r="WDI248" s="7"/>
      <c r="WDJ248" s="8"/>
      <c r="WDK248" s="9"/>
      <c r="WDL248" s="10"/>
      <c r="WDM248" s="11"/>
      <c r="WDN248" s="10"/>
      <c r="WDO248" s="6"/>
      <c r="WDP248" s="7"/>
      <c r="WDQ248" s="8"/>
      <c r="WDR248" s="9"/>
      <c r="WDS248" s="10"/>
      <c r="WDT248" s="11"/>
      <c r="WDU248" s="10"/>
      <c r="WDV248" s="6"/>
      <c r="WDW248" s="7"/>
      <c r="WDX248" s="8"/>
      <c r="WDY248" s="9"/>
      <c r="WDZ248" s="10"/>
      <c r="WEA248" s="11"/>
      <c r="WEB248" s="10"/>
      <c r="WEC248" s="6"/>
      <c r="WED248" s="7"/>
      <c r="WEE248" s="8"/>
      <c r="WEF248" s="9"/>
      <c r="WEG248" s="10"/>
      <c r="WEH248" s="11"/>
      <c r="WEI248" s="10"/>
      <c r="WEJ248" s="6"/>
      <c r="WEK248" s="7"/>
      <c r="WEL248" s="8"/>
      <c r="WEM248" s="9"/>
      <c r="WEN248" s="10"/>
      <c r="WEO248" s="11"/>
      <c r="WEP248" s="10"/>
      <c r="WEQ248" s="6"/>
      <c r="WER248" s="7"/>
      <c r="WES248" s="8"/>
      <c r="WET248" s="9"/>
      <c r="WEU248" s="10"/>
      <c r="WEV248" s="11"/>
      <c r="WEW248" s="10"/>
      <c r="WEX248" s="6"/>
      <c r="WEY248" s="7"/>
      <c r="WEZ248" s="8"/>
      <c r="WFA248" s="9"/>
      <c r="WFB248" s="10"/>
      <c r="WFC248" s="11"/>
      <c r="WFD248" s="10"/>
      <c r="WFE248" s="6"/>
      <c r="WFF248" s="7"/>
      <c r="WFG248" s="8"/>
      <c r="WFH248" s="9"/>
      <c r="WFI248" s="10"/>
      <c r="WFJ248" s="11"/>
      <c r="WFK248" s="10"/>
      <c r="WFL248" s="6"/>
      <c r="WFM248" s="7"/>
      <c r="WFN248" s="8"/>
      <c r="WFO248" s="9"/>
      <c r="WFP248" s="10"/>
      <c r="WFQ248" s="11"/>
      <c r="WFR248" s="10"/>
      <c r="WFS248" s="6"/>
      <c r="WFT248" s="7"/>
      <c r="WFU248" s="8"/>
      <c r="WFV248" s="9"/>
      <c r="WFW248" s="10"/>
      <c r="WFX248" s="11"/>
      <c r="WFY248" s="10"/>
      <c r="WFZ248" s="6"/>
      <c r="WGA248" s="7"/>
      <c r="WGB248" s="8"/>
      <c r="WGC248" s="9"/>
      <c r="WGD248" s="10"/>
      <c r="WGE248" s="11"/>
      <c r="WGF248" s="10"/>
      <c r="WGG248" s="6"/>
      <c r="WGH248" s="7"/>
      <c r="WGI248" s="8"/>
      <c r="WGJ248" s="9"/>
      <c r="WGK248" s="10"/>
      <c r="WGL248" s="11"/>
      <c r="WGM248" s="10"/>
      <c r="WGN248" s="6"/>
      <c r="WGO248" s="7"/>
      <c r="WGP248" s="8"/>
      <c r="WGQ248" s="9"/>
      <c r="WGR248" s="10"/>
      <c r="WGS248" s="11"/>
      <c r="WGT248" s="10"/>
      <c r="WGU248" s="6"/>
      <c r="WGV248" s="7"/>
      <c r="WGW248" s="8"/>
      <c r="WGX248" s="9"/>
      <c r="WGY248" s="10"/>
      <c r="WGZ248" s="11"/>
      <c r="WHA248" s="10"/>
      <c r="WHB248" s="6"/>
      <c r="WHC248" s="7"/>
      <c r="WHD248" s="8"/>
      <c r="WHE248" s="9"/>
      <c r="WHF248" s="10"/>
      <c r="WHG248" s="11"/>
      <c r="WHH248" s="10"/>
      <c r="WHI248" s="6"/>
      <c r="WHJ248" s="7"/>
      <c r="WHK248" s="8"/>
      <c r="WHL248" s="9"/>
      <c r="WHM248" s="10"/>
      <c r="WHN248" s="11"/>
      <c r="WHO248" s="10"/>
      <c r="WHP248" s="6"/>
      <c r="WHQ248" s="7"/>
      <c r="WHR248" s="8"/>
      <c r="WHS248" s="9"/>
      <c r="WHT248" s="10"/>
      <c r="WHU248" s="11"/>
      <c r="WHV248" s="10"/>
      <c r="WHW248" s="6"/>
      <c r="WHX248" s="7"/>
      <c r="WHY248" s="8"/>
      <c r="WHZ248" s="9"/>
      <c r="WIA248" s="10"/>
      <c r="WIB248" s="11"/>
      <c r="WIC248" s="10"/>
      <c r="WID248" s="6"/>
      <c r="WIE248" s="7"/>
      <c r="WIF248" s="8"/>
      <c r="WIG248" s="9"/>
      <c r="WIH248" s="10"/>
      <c r="WII248" s="11"/>
      <c r="WIJ248" s="10"/>
      <c r="WIK248" s="6"/>
      <c r="WIL248" s="7"/>
      <c r="WIM248" s="8"/>
      <c r="WIN248" s="9"/>
      <c r="WIO248" s="10"/>
      <c r="WIP248" s="11"/>
      <c r="WIQ248" s="10"/>
      <c r="WIR248" s="6"/>
      <c r="WIS248" s="7"/>
      <c r="WIT248" s="8"/>
      <c r="WIU248" s="9"/>
      <c r="WIV248" s="10"/>
      <c r="WIW248" s="11"/>
      <c r="WIX248" s="10"/>
      <c r="WIY248" s="6"/>
      <c r="WIZ248" s="7"/>
      <c r="WJA248" s="8"/>
      <c r="WJB248" s="9"/>
      <c r="WJC248" s="10"/>
      <c r="WJD248" s="11"/>
      <c r="WJE248" s="10"/>
      <c r="WJF248" s="6"/>
      <c r="WJG248" s="7"/>
      <c r="WJH248" s="8"/>
      <c r="WJI248" s="9"/>
      <c r="WJJ248" s="10"/>
      <c r="WJK248" s="11"/>
      <c r="WJL248" s="10"/>
      <c r="WJM248" s="6"/>
      <c r="WJN248" s="7"/>
      <c r="WJO248" s="8"/>
      <c r="WJP248" s="9"/>
      <c r="WJQ248" s="10"/>
      <c r="WJR248" s="11"/>
      <c r="WJS248" s="10"/>
      <c r="WJT248" s="6"/>
      <c r="WJU248" s="7"/>
      <c r="WJV248" s="8"/>
      <c r="WJW248" s="9"/>
      <c r="WJX248" s="10"/>
      <c r="WJY248" s="11"/>
      <c r="WJZ248" s="10"/>
      <c r="WKA248" s="6"/>
      <c r="WKB248" s="7"/>
      <c r="WKC248" s="8"/>
      <c r="WKD248" s="9"/>
      <c r="WKE248" s="10"/>
      <c r="WKF248" s="11"/>
      <c r="WKG248" s="10"/>
      <c r="WKH248" s="6"/>
      <c r="WKI248" s="7"/>
      <c r="WKJ248" s="8"/>
      <c r="WKK248" s="9"/>
      <c r="WKL248" s="10"/>
      <c r="WKM248" s="11"/>
      <c r="WKN248" s="10"/>
      <c r="WKO248" s="6"/>
      <c r="WKP248" s="7"/>
      <c r="WKQ248" s="8"/>
      <c r="WKR248" s="9"/>
      <c r="WKS248" s="10"/>
      <c r="WKT248" s="11"/>
      <c r="WKU248" s="10"/>
      <c r="WKV248" s="6"/>
      <c r="WKW248" s="7"/>
      <c r="WKX248" s="8"/>
      <c r="WKY248" s="9"/>
      <c r="WKZ248" s="10"/>
      <c r="WLA248" s="11"/>
      <c r="WLB248" s="10"/>
      <c r="WLC248" s="6"/>
      <c r="WLD248" s="7"/>
      <c r="WLE248" s="8"/>
      <c r="WLF248" s="9"/>
      <c r="WLG248" s="10"/>
      <c r="WLH248" s="11"/>
      <c r="WLI248" s="10"/>
      <c r="WLJ248" s="6"/>
      <c r="WLK248" s="7"/>
      <c r="WLL248" s="8"/>
      <c r="WLM248" s="9"/>
      <c r="WLN248" s="10"/>
      <c r="WLO248" s="11"/>
      <c r="WLP248" s="10"/>
      <c r="WLQ248" s="6"/>
      <c r="WLR248" s="7"/>
      <c r="WLS248" s="8"/>
      <c r="WLT248" s="9"/>
      <c r="WLU248" s="10"/>
      <c r="WLV248" s="11"/>
      <c r="WLW248" s="10"/>
      <c r="WLX248" s="6"/>
      <c r="WLY248" s="7"/>
      <c r="WLZ248" s="8"/>
      <c r="WMA248" s="9"/>
      <c r="WMB248" s="10"/>
      <c r="WMC248" s="11"/>
      <c r="WMD248" s="10"/>
      <c r="WME248" s="6"/>
      <c r="WMF248" s="7"/>
      <c r="WMG248" s="8"/>
      <c r="WMH248" s="9"/>
      <c r="WMI248" s="10"/>
      <c r="WMJ248" s="11"/>
      <c r="WMK248" s="10"/>
      <c r="WML248" s="6"/>
      <c r="WMM248" s="7"/>
      <c r="WMN248" s="8"/>
      <c r="WMO248" s="9"/>
      <c r="WMP248" s="10"/>
      <c r="WMQ248" s="11"/>
      <c r="WMR248" s="10"/>
      <c r="WMS248" s="6"/>
      <c r="WMT248" s="7"/>
      <c r="WMU248" s="8"/>
      <c r="WMV248" s="9"/>
      <c r="WMW248" s="10"/>
      <c r="WMX248" s="11"/>
      <c r="WMY248" s="10"/>
      <c r="WMZ248" s="6"/>
      <c r="WNA248" s="7"/>
      <c r="WNB248" s="8"/>
      <c r="WNC248" s="9"/>
      <c r="WND248" s="10"/>
      <c r="WNE248" s="11"/>
      <c r="WNF248" s="10"/>
      <c r="WNG248" s="6"/>
      <c r="WNH248" s="7"/>
      <c r="WNI248" s="8"/>
      <c r="WNJ248" s="9"/>
      <c r="WNK248" s="10"/>
      <c r="WNL248" s="11"/>
      <c r="WNM248" s="10"/>
      <c r="WNN248" s="6"/>
      <c r="WNO248" s="7"/>
      <c r="WNP248" s="8"/>
      <c r="WNQ248" s="9"/>
      <c r="WNR248" s="10"/>
      <c r="WNS248" s="11"/>
      <c r="WNT248" s="10"/>
      <c r="WNU248" s="6"/>
      <c r="WNV248" s="7"/>
      <c r="WNW248" s="8"/>
      <c r="WNX248" s="9"/>
      <c r="WNY248" s="10"/>
      <c r="WNZ248" s="11"/>
      <c r="WOA248" s="10"/>
      <c r="WOB248" s="6"/>
      <c r="WOC248" s="7"/>
      <c r="WOD248" s="8"/>
      <c r="WOE248" s="9"/>
      <c r="WOF248" s="10"/>
      <c r="WOG248" s="11"/>
      <c r="WOH248" s="10"/>
      <c r="WOI248" s="6"/>
      <c r="WOJ248" s="7"/>
      <c r="WOK248" s="8"/>
      <c r="WOL248" s="9"/>
      <c r="WOM248" s="10"/>
      <c r="WON248" s="11"/>
      <c r="WOO248" s="10"/>
      <c r="WOP248" s="6"/>
      <c r="WOQ248" s="7"/>
      <c r="WOR248" s="8"/>
      <c r="WOS248" s="9"/>
      <c r="WOT248" s="10"/>
      <c r="WOU248" s="11"/>
      <c r="WOV248" s="10"/>
      <c r="WOW248" s="6"/>
      <c r="WOX248" s="7"/>
      <c r="WOY248" s="8"/>
      <c r="WOZ248" s="9"/>
      <c r="WPA248" s="10"/>
      <c r="WPB248" s="11"/>
      <c r="WPC248" s="10"/>
      <c r="WPD248" s="6"/>
      <c r="WPE248" s="7"/>
      <c r="WPF248" s="8"/>
      <c r="WPG248" s="9"/>
      <c r="WPH248" s="10"/>
      <c r="WPI248" s="11"/>
      <c r="WPJ248" s="10"/>
      <c r="WPK248" s="6"/>
      <c r="WPL248" s="7"/>
      <c r="WPM248" s="8"/>
      <c r="WPN248" s="9"/>
      <c r="WPO248" s="10"/>
      <c r="WPP248" s="11"/>
      <c r="WPQ248" s="10"/>
      <c r="WPR248" s="6"/>
      <c r="WPS248" s="7"/>
      <c r="WPT248" s="8"/>
      <c r="WPU248" s="9"/>
      <c r="WPV248" s="10"/>
      <c r="WPW248" s="11"/>
      <c r="WPX248" s="10"/>
      <c r="WPY248" s="6"/>
      <c r="WPZ248" s="7"/>
      <c r="WQA248" s="8"/>
      <c r="WQB248" s="9"/>
      <c r="WQC248" s="10"/>
      <c r="WQD248" s="11"/>
      <c r="WQE248" s="10"/>
      <c r="WQF248" s="6"/>
      <c r="WQG248" s="7"/>
      <c r="WQH248" s="8"/>
      <c r="WQI248" s="9"/>
      <c r="WQJ248" s="10"/>
      <c r="WQK248" s="11"/>
      <c r="WQL248" s="10"/>
      <c r="WQM248" s="6"/>
      <c r="WQN248" s="7"/>
      <c r="WQO248" s="8"/>
      <c r="WQP248" s="9"/>
      <c r="WQQ248" s="10"/>
      <c r="WQR248" s="11"/>
      <c r="WQS248" s="10"/>
      <c r="WQT248" s="6"/>
      <c r="WQU248" s="7"/>
      <c r="WQV248" s="8"/>
      <c r="WQW248" s="9"/>
      <c r="WQX248" s="10"/>
      <c r="WQY248" s="11"/>
      <c r="WQZ248" s="10"/>
      <c r="WRA248" s="6"/>
      <c r="WRB248" s="7"/>
      <c r="WRC248" s="8"/>
      <c r="WRD248" s="9"/>
      <c r="WRE248" s="10"/>
      <c r="WRF248" s="11"/>
      <c r="WRG248" s="10"/>
      <c r="WRH248" s="6"/>
      <c r="WRI248" s="7"/>
      <c r="WRJ248" s="8"/>
      <c r="WRK248" s="9"/>
      <c r="WRL248" s="10"/>
      <c r="WRM248" s="11"/>
      <c r="WRN248" s="10"/>
      <c r="WRO248" s="6"/>
      <c r="WRP248" s="7"/>
      <c r="WRQ248" s="8"/>
      <c r="WRR248" s="9"/>
      <c r="WRS248" s="10"/>
      <c r="WRT248" s="11"/>
      <c r="WRU248" s="10"/>
      <c r="WRV248" s="6"/>
      <c r="WRW248" s="7"/>
      <c r="WRX248" s="8"/>
      <c r="WRY248" s="9"/>
      <c r="WRZ248" s="10"/>
      <c r="WSA248" s="11"/>
      <c r="WSB248" s="10"/>
      <c r="WSC248" s="6"/>
      <c r="WSD248" s="7"/>
      <c r="WSE248" s="8"/>
      <c r="WSF248" s="9"/>
      <c r="WSG248" s="10"/>
      <c r="WSH248" s="11"/>
      <c r="WSI248" s="10"/>
      <c r="WSJ248" s="6"/>
      <c r="WSK248" s="7"/>
      <c r="WSL248" s="8"/>
      <c r="WSM248" s="9"/>
      <c r="WSN248" s="10"/>
      <c r="WSO248" s="11"/>
      <c r="WSP248" s="10"/>
      <c r="WSQ248" s="6"/>
      <c r="WSR248" s="7"/>
      <c r="WSS248" s="8"/>
      <c r="WST248" s="9"/>
      <c r="WSU248" s="10"/>
      <c r="WSV248" s="11"/>
      <c r="WSW248" s="10"/>
      <c r="WSX248" s="6"/>
      <c r="WSY248" s="7"/>
      <c r="WSZ248" s="8"/>
      <c r="WTA248" s="9"/>
      <c r="WTB248" s="10"/>
      <c r="WTC248" s="11"/>
      <c r="WTD248" s="10"/>
      <c r="WTE248" s="6"/>
      <c r="WTF248" s="7"/>
      <c r="WTG248" s="8"/>
      <c r="WTH248" s="9"/>
      <c r="WTI248" s="10"/>
      <c r="WTJ248" s="11"/>
      <c r="WTK248" s="10"/>
      <c r="WTL248" s="6"/>
      <c r="WTM248" s="7"/>
      <c r="WTN248" s="8"/>
      <c r="WTO248" s="9"/>
      <c r="WTP248" s="10"/>
      <c r="WTQ248" s="11"/>
      <c r="WTR248" s="10"/>
      <c r="WTS248" s="6"/>
      <c r="WTT248" s="7"/>
      <c r="WTU248" s="8"/>
      <c r="WTV248" s="9"/>
      <c r="WTW248" s="10"/>
      <c r="WTX248" s="11"/>
      <c r="WTY248" s="10"/>
      <c r="WTZ248" s="6"/>
      <c r="WUA248" s="7"/>
      <c r="WUB248" s="8"/>
      <c r="WUC248" s="9"/>
      <c r="WUD248" s="10"/>
      <c r="WUE248" s="11"/>
      <c r="WUF248" s="10"/>
      <c r="WUG248" s="6"/>
      <c r="WUH248" s="7"/>
      <c r="WUI248" s="8"/>
      <c r="WUJ248" s="9"/>
      <c r="WUK248" s="10"/>
      <c r="WUL248" s="11"/>
      <c r="WUM248" s="10"/>
      <c r="WUN248" s="6"/>
      <c r="WUO248" s="7"/>
      <c r="WUP248" s="8"/>
      <c r="WUQ248" s="9"/>
      <c r="WUR248" s="10"/>
      <c r="WUS248" s="11"/>
      <c r="WUT248" s="10"/>
      <c r="WUU248" s="6"/>
      <c r="WUV248" s="7"/>
      <c r="WUW248" s="8"/>
      <c r="WUX248" s="9"/>
      <c r="WUY248" s="10"/>
      <c r="WUZ248" s="11"/>
      <c r="WVA248" s="10"/>
      <c r="WVB248" s="6"/>
      <c r="WVC248" s="7"/>
      <c r="WVD248" s="8"/>
      <c r="WVE248" s="9"/>
      <c r="WVF248" s="10"/>
      <c r="WVG248" s="11"/>
      <c r="WVH248" s="10"/>
      <c r="WVI248" s="6"/>
      <c r="WVJ248" s="7"/>
      <c r="WVK248" s="8"/>
      <c r="WVL248" s="9"/>
      <c r="WVM248" s="10"/>
      <c r="WVN248" s="11"/>
      <c r="WVO248" s="10"/>
      <c r="WVP248" s="6"/>
      <c r="WVQ248" s="7"/>
      <c r="WVR248" s="8"/>
      <c r="WVS248" s="9"/>
      <c r="WVT248" s="10"/>
      <c r="WVU248" s="11"/>
      <c r="WVV248" s="10"/>
      <c r="WVW248" s="6"/>
      <c r="WVX248" s="7"/>
      <c r="WVY248" s="8"/>
      <c r="WVZ248" s="9"/>
      <c r="WWA248" s="10"/>
      <c r="WWB248" s="11"/>
      <c r="WWC248" s="10"/>
      <c r="WWD248" s="6"/>
      <c r="WWE248" s="7"/>
      <c r="WWF248" s="8"/>
      <c r="WWG248" s="9"/>
      <c r="WWH248" s="10"/>
      <c r="WWI248" s="11"/>
      <c r="WWJ248" s="10"/>
      <c r="WWK248" s="6"/>
      <c r="WWL248" s="7"/>
      <c r="WWM248" s="8"/>
      <c r="WWN248" s="9"/>
      <c r="WWO248" s="10"/>
      <c r="WWP248" s="11"/>
      <c r="WWQ248" s="10"/>
      <c r="WWR248" s="6"/>
      <c r="WWS248" s="7"/>
      <c r="WWT248" s="8"/>
      <c r="WWU248" s="9"/>
      <c r="WWV248" s="10"/>
      <c r="WWW248" s="11"/>
      <c r="WWX248" s="10"/>
      <c r="WWY248" s="6"/>
      <c r="WWZ248" s="7"/>
      <c r="WXA248" s="8"/>
      <c r="WXB248" s="9"/>
      <c r="WXC248" s="10"/>
      <c r="WXD248" s="11"/>
      <c r="WXE248" s="10"/>
      <c r="WXF248" s="6"/>
      <c r="WXG248" s="7"/>
      <c r="WXH248" s="8"/>
      <c r="WXI248" s="9"/>
      <c r="WXJ248" s="10"/>
      <c r="WXK248" s="11"/>
      <c r="WXL248" s="10"/>
      <c r="WXM248" s="6"/>
      <c r="WXN248" s="7"/>
      <c r="WXO248" s="8"/>
      <c r="WXP248" s="9"/>
      <c r="WXQ248" s="10"/>
      <c r="WXR248" s="11"/>
      <c r="WXS248" s="10"/>
      <c r="WXT248" s="6"/>
      <c r="WXU248" s="7"/>
      <c r="WXV248" s="8"/>
      <c r="WXW248" s="9"/>
      <c r="WXX248" s="10"/>
      <c r="WXY248" s="11"/>
      <c r="WXZ248" s="10"/>
      <c r="WYA248" s="6"/>
      <c r="WYB248" s="7"/>
      <c r="WYC248" s="8"/>
      <c r="WYD248" s="9"/>
      <c r="WYE248" s="10"/>
      <c r="WYF248" s="11"/>
      <c r="WYG248" s="10"/>
      <c r="WYH248" s="6"/>
      <c r="WYI248" s="7"/>
      <c r="WYJ248" s="8"/>
      <c r="WYK248" s="9"/>
      <c r="WYL248" s="10"/>
      <c r="WYM248" s="11"/>
      <c r="WYN248" s="10"/>
      <c r="WYO248" s="6"/>
      <c r="WYP248" s="7"/>
      <c r="WYQ248" s="8"/>
      <c r="WYR248" s="9"/>
      <c r="WYS248" s="10"/>
      <c r="WYT248" s="11"/>
      <c r="WYU248" s="10"/>
      <c r="WYV248" s="6"/>
      <c r="WYW248" s="7"/>
      <c r="WYX248" s="8"/>
      <c r="WYY248" s="9"/>
      <c r="WYZ248" s="10"/>
      <c r="WZA248" s="11"/>
      <c r="WZB248" s="10"/>
      <c r="WZC248" s="6"/>
      <c r="WZD248" s="7"/>
      <c r="WZE248" s="8"/>
      <c r="WZF248" s="9"/>
      <c r="WZG248" s="10"/>
      <c r="WZH248" s="11"/>
      <c r="WZI248" s="10"/>
      <c r="WZJ248" s="6"/>
      <c r="WZK248" s="7"/>
      <c r="WZL248" s="8"/>
      <c r="WZM248" s="9"/>
      <c r="WZN248" s="10"/>
      <c r="WZO248" s="11"/>
      <c r="WZP248" s="10"/>
      <c r="WZQ248" s="6"/>
      <c r="WZR248" s="7"/>
      <c r="WZS248" s="8"/>
      <c r="WZT248" s="9"/>
      <c r="WZU248" s="10"/>
      <c r="WZV248" s="11"/>
      <c r="WZW248" s="10"/>
      <c r="WZX248" s="6"/>
      <c r="WZY248" s="7"/>
      <c r="WZZ248" s="8"/>
      <c r="XAA248" s="9"/>
      <c r="XAB248" s="10"/>
      <c r="XAC248" s="11"/>
      <c r="XAD248" s="10"/>
      <c r="XAE248" s="6"/>
      <c r="XAF248" s="7"/>
      <c r="XAG248" s="8"/>
      <c r="XAH248" s="9"/>
      <c r="XAI248" s="10"/>
      <c r="XAJ248" s="11"/>
      <c r="XAK248" s="10"/>
      <c r="XAL248" s="6"/>
      <c r="XAM248" s="7"/>
      <c r="XAN248" s="8"/>
      <c r="XAO248" s="9"/>
      <c r="XAP248" s="10"/>
      <c r="XAQ248" s="11"/>
      <c r="XAR248" s="10"/>
      <c r="XAS248" s="6"/>
      <c r="XAT248" s="7"/>
      <c r="XAU248" s="8"/>
      <c r="XAV248" s="9"/>
      <c r="XAW248" s="10"/>
      <c r="XAX248" s="11"/>
      <c r="XAY248" s="10"/>
      <c r="XAZ248" s="6"/>
      <c r="XBA248" s="7"/>
      <c r="XBB248" s="8"/>
      <c r="XBC248" s="9"/>
      <c r="XBD248" s="10"/>
      <c r="XBE248" s="11"/>
      <c r="XBF248" s="10"/>
      <c r="XBG248" s="6"/>
      <c r="XBH248" s="7"/>
      <c r="XBI248" s="8"/>
      <c r="XBJ248" s="9"/>
      <c r="XBK248" s="10"/>
      <c r="XBL248" s="11"/>
      <c r="XBM248" s="10"/>
      <c r="XBN248" s="6"/>
      <c r="XBO248" s="7"/>
      <c r="XBP248" s="8"/>
      <c r="XBQ248" s="9"/>
      <c r="XBR248" s="10"/>
      <c r="XBS248" s="11"/>
      <c r="XBT248" s="10"/>
      <c r="XBU248" s="6"/>
      <c r="XBV248" s="7"/>
      <c r="XBW248" s="8"/>
      <c r="XBX248" s="9"/>
      <c r="XBY248" s="10"/>
      <c r="XBZ248" s="11"/>
      <c r="XCA248" s="10"/>
      <c r="XCB248" s="6"/>
      <c r="XCC248" s="7"/>
      <c r="XCD248" s="8"/>
      <c r="XCE248" s="9"/>
      <c r="XCF248" s="10"/>
      <c r="XCG248" s="11"/>
      <c r="XCH248" s="10"/>
      <c r="XCI248" s="6"/>
      <c r="XCJ248" s="7"/>
      <c r="XCK248" s="8"/>
      <c r="XCL248" s="9"/>
      <c r="XCM248" s="10"/>
      <c r="XCN248" s="11"/>
      <c r="XCO248" s="10"/>
      <c r="XCP248" s="6"/>
      <c r="XCQ248" s="7"/>
      <c r="XCR248" s="8"/>
      <c r="XCS248" s="9"/>
      <c r="XCT248" s="10"/>
      <c r="XCU248" s="11"/>
      <c r="XCV248" s="10"/>
      <c r="XCW248" s="6"/>
      <c r="XCX248" s="7"/>
      <c r="XCY248" s="8"/>
      <c r="XCZ248" s="9"/>
      <c r="XDA248" s="10"/>
      <c r="XDB248" s="11"/>
      <c r="XDC248" s="10"/>
      <c r="XDD248" s="6"/>
      <c r="XDE248" s="7"/>
      <c r="XDF248" s="8"/>
      <c r="XDG248" s="9"/>
      <c r="XDH248" s="10"/>
      <c r="XDI248" s="11"/>
      <c r="XDJ248" s="10"/>
      <c r="XDK248" s="6"/>
      <c r="XDL248" s="7"/>
      <c r="XDM248" s="8"/>
      <c r="XDN248" s="9"/>
      <c r="XDO248" s="10"/>
      <c r="XDP248" s="11"/>
      <c r="XDQ248" s="10"/>
      <c r="XDR248" s="6"/>
      <c r="XDS248" s="7"/>
      <c r="XDT248" s="8"/>
      <c r="XDU248" s="9"/>
      <c r="XDV248" s="10"/>
      <c r="XDW248" s="11"/>
      <c r="XDX248" s="10"/>
      <c r="XDY248" s="6"/>
      <c r="XDZ248" s="7"/>
      <c r="XEA248" s="8"/>
      <c r="XEB248" s="9"/>
      <c r="XEC248" s="10"/>
      <c r="XED248" s="11"/>
      <c r="XEE248" s="10"/>
      <c r="XEF248" s="6"/>
      <c r="XEG248" s="7"/>
      <c r="XEH248" s="8"/>
      <c r="XEI248" s="9"/>
      <c r="XEJ248" s="10"/>
      <c r="XEK248" s="11"/>
      <c r="XEL248" s="10"/>
      <c r="XEM248" s="6"/>
      <c r="XEN248" s="7"/>
      <c r="XEO248" s="8"/>
      <c r="XEP248" s="9"/>
      <c r="XEQ248" s="10"/>
      <c r="XER248" s="11"/>
      <c r="XES248" s="10"/>
      <c r="XET248" s="6"/>
      <c r="XEU248" s="7"/>
      <c r="XEV248" s="8"/>
      <c r="XEW248" s="9"/>
      <c r="XEX248" s="10"/>
      <c r="XEY248" s="11"/>
      <c r="XEZ248" s="10"/>
      <c r="XFA248" s="6"/>
      <c r="XFB248" s="7"/>
      <c r="XFC248" s="8"/>
      <c r="XFD248" s="9"/>
    </row>
    <row r="249" spans="1:16384" ht="28.15" customHeight="1" x14ac:dyDescent="0.5">
      <c r="A249" s="61">
        <v>17</v>
      </c>
      <c r="B249" s="66" t="s">
        <v>451</v>
      </c>
      <c r="C249" s="66"/>
      <c r="D249" s="23"/>
      <c r="E249" s="28"/>
      <c r="F249" s="25"/>
      <c r="G249" s="24"/>
    </row>
    <row r="250" spans="1:16384" ht="28.15" customHeight="1" x14ac:dyDescent="0.5">
      <c r="A250" s="62" t="s">
        <v>157</v>
      </c>
      <c r="B250" s="13"/>
      <c r="C250" s="26" t="s">
        <v>450</v>
      </c>
      <c r="D250" s="37" t="s">
        <v>5</v>
      </c>
      <c r="E250" s="28"/>
      <c r="F250" s="29" t="s">
        <v>498</v>
      </c>
      <c r="G250" s="46"/>
    </row>
    <row r="251" spans="1:16384" ht="28.15" customHeight="1" x14ac:dyDescent="0.5">
      <c r="A251" s="62" t="s">
        <v>158</v>
      </c>
      <c r="B251" s="13"/>
      <c r="C251" s="28" t="s">
        <v>452</v>
      </c>
      <c r="D251" s="37" t="s">
        <v>18</v>
      </c>
      <c r="E251" s="28"/>
      <c r="F251" s="29" t="s">
        <v>498</v>
      </c>
      <c r="G251" s="46"/>
    </row>
    <row r="252" spans="1:16384" ht="28.15" customHeight="1" x14ac:dyDescent="0.5">
      <c r="A252" s="62" t="s">
        <v>159</v>
      </c>
      <c r="B252" s="13"/>
      <c r="C252" s="28" t="s">
        <v>472</v>
      </c>
      <c r="D252" s="37" t="s">
        <v>18</v>
      </c>
      <c r="E252" s="28"/>
      <c r="F252" s="29" t="s">
        <v>498</v>
      </c>
      <c r="G252" s="46"/>
    </row>
    <row r="253" spans="1:16384" ht="28.15" customHeight="1" x14ac:dyDescent="0.5">
      <c r="A253" s="62" t="s">
        <v>471</v>
      </c>
      <c r="B253" s="13"/>
      <c r="C253" s="55" t="s">
        <v>439</v>
      </c>
      <c r="D253" s="37" t="s">
        <v>8</v>
      </c>
      <c r="E253" s="28"/>
      <c r="F253" s="29" t="s">
        <v>498</v>
      </c>
      <c r="G253" s="28"/>
    </row>
    <row r="254" spans="1:16384" ht="28.15" customHeight="1" x14ac:dyDescent="0.5">
      <c r="A254" s="63"/>
      <c r="B254" s="30"/>
      <c r="C254" s="30"/>
      <c r="D254" s="31"/>
      <c r="E254" s="28"/>
      <c r="F254" s="32"/>
      <c r="G254" s="30"/>
    </row>
    <row r="255" spans="1:16384" ht="28.15" customHeight="1" x14ac:dyDescent="0.5">
      <c r="A255" s="61">
        <v>18</v>
      </c>
      <c r="B255" s="66" t="s">
        <v>475</v>
      </c>
      <c r="C255" s="66"/>
      <c r="D255" s="23"/>
      <c r="E255" s="28"/>
      <c r="F255" s="25"/>
      <c r="G255" s="24"/>
    </row>
    <row r="256" spans="1:16384" ht="28.15" customHeight="1" x14ac:dyDescent="0.5">
      <c r="A256" s="62" t="s">
        <v>160</v>
      </c>
      <c r="B256" s="13"/>
      <c r="C256" s="40" t="s">
        <v>140</v>
      </c>
      <c r="D256" s="37" t="s">
        <v>5</v>
      </c>
      <c r="E256" s="28"/>
      <c r="F256" s="29" t="s">
        <v>500</v>
      </c>
      <c r="G256" s="46"/>
    </row>
    <row r="257" spans="1:7" ht="28.15" customHeight="1" x14ac:dyDescent="0.5">
      <c r="A257" s="62" t="s">
        <v>161</v>
      </c>
      <c r="B257" s="13"/>
      <c r="C257" s="40" t="s">
        <v>141</v>
      </c>
      <c r="D257" s="37" t="s">
        <v>5</v>
      </c>
      <c r="E257" s="28"/>
      <c r="F257" s="29" t="s">
        <v>500</v>
      </c>
      <c r="G257" s="46"/>
    </row>
    <row r="258" spans="1:7" ht="28.15" customHeight="1" x14ac:dyDescent="0.5">
      <c r="A258" s="62" t="s">
        <v>247</v>
      </c>
      <c r="B258" s="13"/>
      <c r="C258" s="40" t="s">
        <v>474</v>
      </c>
      <c r="D258" s="37" t="s">
        <v>5</v>
      </c>
      <c r="E258" s="28"/>
      <c r="F258" s="29" t="s">
        <v>498</v>
      </c>
      <c r="G258" s="46"/>
    </row>
    <row r="259" spans="1:7" ht="28.15" customHeight="1" x14ac:dyDescent="0.5">
      <c r="A259" s="62" t="s">
        <v>490</v>
      </c>
      <c r="B259" s="13"/>
      <c r="C259" s="28" t="s">
        <v>395</v>
      </c>
      <c r="D259" s="37" t="s">
        <v>5</v>
      </c>
      <c r="E259" s="28"/>
      <c r="F259" s="29" t="s">
        <v>9</v>
      </c>
      <c r="G259" s="46"/>
    </row>
    <row r="260" spans="1:7" ht="28.15" customHeight="1" x14ac:dyDescent="0.5">
      <c r="A260" s="63"/>
      <c r="B260" s="30"/>
      <c r="C260" s="30"/>
      <c r="D260" s="31"/>
      <c r="E260" s="28"/>
      <c r="F260" s="32"/>
      <c r="G260" s="30"/>
    </row>
    <row r="261" spans="1:7" ht="28.15" customHeight="1" x14ac:dyDescent="0.5">
      <c r="A261" s="61">
        <v>19</v>
      </c>
      <c r="B261" s="66" t="s">
        <v>466</v>
      </c>
      <c r="C261" s="23"/>
      <c r="D261" s="23"/>
      <c r="E261" s="28"/>
      <c r="F261" s="25"/>
      <c r="G261" s="24"/>
    </row>
    <row r="262" spans="1:7" ht="28.15" customHeight="1" x14ac:dyDescent="0.5">
      <c r="A262" s="62" t="s">
        <v>162</v>
      </c>
      <c r="B262" s="13"/>
      <c r="C262" s="28" t="s">
        <v>512</v>
      </c>
      <c r="D262" s="37" t="s">
        <v>5</v>
      </c>
      <c r="E262" s="28"/>
      <c r="F262" s="29" t="s">
        <v>498</v>
      </c>
      <c r="G262" s="46"/>
    </row>
    <row r="263" spans="1:7" ht="28.15" customHeight="1" x14ac:dyDescent="0.5">
      <c r="A263" s="62" t="s">
        <v>167</v>
      </c>
      <c r="B263" s="13"/>
      <c r="C263" s="40" t="s">
        <v>374</v>
      </c>
      <c r="D263" s="37" t="s">
        <v>5</v>
      </c>
      <c r="E263" s="28"/>
      <c r="F263" s="29" t="s">
        <v>498</v>
      </c>
      <c r="G263" s="46"/>
    </row>
    <row r="264" spans="1:7" ht="28.15" customHeight="1" x14ac:dyDescent="0.5">
      <c r="A264" s="62" t="s">
        <v>168</v>
      </c>
      <c r="B264" s="13"/>
      <c r="C264" s="40" t="s">
        <v>146</v>
      </c>
      <c r="D264" s="37" t="s">
        <v>5</v>
      </c>
      <c r="E264" s="28"/>
      <c r="F264" s="29" t="s">
        <v>498</v>
      </c>
      <c r="G264" s="46"/>
    </row>
    <row r="265" spans="1:7" ht="28.15" customHeight="1" x14ac:dyDescent="0.5">
      <c r="A265" s="62" t="s">
        <v>169</v>
      </c>
      <c r="B265" s="13"/>
      <c r="C265" s="40" t="s">
        <v>147</v>
      </c>
      <c r="D265" s="37" t="s">
        <v>5</v>
      </c>
      <c r="E265" s="28"/>
      <c r="F265" s="29" t="s">
        <v>498</v>
      </c>
      <c r="G265" s="46"/>
    </row>
    <row r="266" spans="1:7" ht="28.15" customHeight="1" x14ac:dyDescent="0.5">
      <c r="A266" s="62" t="s">
        <v>170</v>
      </c>
      <c r="B266" s="13"/>
      <c r="C266" s="40" t="s">
        <v>148</v>
      </c>
      <c r="D266" s="37" t="s">
        <v>8</v>
      </c>
      <c r="E266" s="28"/>
      <c r="F266" s="29" t="s">
        <v>498</v>
      </c>
      <c r="G266" s="46"/>
    </row>
    <row r="267" spans="1:7" ht="28.15" customHeight="1" x14ac:dyDescent="0.5">
      <c r="A267" s="63"/>
      <c r="B267" s="30"/>
      <c r="C267" s="30"/>
      <c r="D267" s="31"/>
      <c r="E267" s="28"/>
      <c r="F267" s="32"/>
      <c r="G267" s="30"/>
    </row>
    <row r="268" spans="1:7" ht="28.15" customHeight="1" x14ac:dyDescent="0.5">
      <c r="A268" s="61">
        <v>20</v>
      </c>
      <c r="B268" s="66" t="s">
        <v>154</v>
      </c>
      <c r="C268" s="23"/>
      <c r="D268" s="23"/>
      <c r="E268" s="28"/>
      <c r="F268" s="25"/>
      <c r="G268" s="24"/>
    </row>
    <row r="269" spans="1:7" ht="28.15" customHeight="1" x14ac:dyDescent="0.5">
      <c r="A269" s="62" t="s">
        <v>172</v>
      </c>
      <c r="B269" s="13"/>
      <c r="C269" s="46" t="s">
        <v>513</v>
      </c>
      <c r="D269" s="37" t="s">
        <v>469</v>
      </c>
      <c r="E269" s="28"/>
      <c r="F269" s="29" t="s">
        <v>498</v>
      </c>
      <c r="G269" s="327" t="s">
        <v>480</v>
      </c>
    </row>
    <row r="270" spans="1:7" ht="28.15" customHeight="1" x14ac:dyDescent="0.5">
      <c r="A270" s="62" t="s">
        <v>173</v>
      </c>
      <c r="B270" s="13"/>
      <c r="C270" s="46" t="s">
        <v>155</v>
      </c>
      <c r="D270" s="37" t="s">
        <v>18</v>
      </c>
      <c r="E270" s="28"/>
      <c r="F270" s="29" t="s">
        <v>498</v>
      </c>
      <c r="G270" s="46"/>
    </row>
    <row r="271" spans="1:7" ht="28.15" customHeight="1" x14ac:dyDescent="0.5">
      <c r="A271" s="62" t="s">
        <v>325</v>
      </c>
      <c r="B271" s="13"/>
      <c r="C271" s="46" t="s">
        <v>156</v>
      </c>
      <c r="D271" s="37" t="s">
        <v>8</v>
      </c>
      <c r="E271" s="28"/>
      <c r="F271" s="29" t="s">
        <v>498</v>
      </c>
      <c r="G271" s="46"/>
    </row>
    <row r="272" spans="1:7" ht="28.15" customHeight="1" x14ac:dyDescent="0.5">
      <c r="A272" s="62" t="s">
        <v>326</v>
      </c>
      <c r="B272" s="13"/>
      <c r="C272" s="46" t="s">
        <v>376</v>
      </c>
      <c r="D272" s="37" t="s">
        <v>5</v>
      </c>
      <c r="E272" s="28"/>
      <c r="F272" s="29" t="s">
        <v>498</v>
      </c>
      <c r="G272" s="46"/>
    </row>
    <row r="273" spans="1:7" ht="28.15" customHeight="1" x14ac:dyDescent="0.5">
      <c r="A273" s="62" t="s">
        <v>327</v>
      </c>
      <c r="B273" s="13"/>
      <c r="C273" s="46" t="s">
        <v>440</v>
      </c>
      <c r="D273" s="37" t="s">
        <v>8</v>
      </c>
      <c r="E273" s="28"/>
      <c r="F273" s="29" t="s">
        <v>498</v>
      </c>
      <c r="G273" s="46"/>
    </row>
    <row r="274" spans="1:7" ht="28.15" customHeight="1" x14ac:dyDescent="0.5">
      <c r="A274" s="63"/>
      <c r="B274" s="30"/>
      <c r="C274" s="30"/>
      <c r="D274" s="31"/>
      <c r="E274" s="28"/>
      <c r="F274" s="32"/>
      <c r="G274" s="30"/>
    </row>
    <row r="275" spans="1:7" ht="28.15" customHeight="1" x14ac:dyDescent="0.5">
      <c r="A275" s="63"/>
      <c r="B275" s="30"/>
      <c r="C275" s="30"/>
      <c r="D275" s="31"/>
      <c r="E275" s="28"/>
      <c r="F275" s="32"/>
      <c r="G275" s="30"/>
    </row>
    <row r="276" spans="1:7" ht="28.15" customHeight="1" x14ac:dyDescent="0.5">
      <c r="A276" s="61">
        <v>21</v>
      </c>
      <c r="B276" s="66" t="s">
        <v>163</v>
      </c>
      <c r="C276" s="23"/>
      <c r="D276" s="23"/>
      <c r="E276" s="28"/>
      <c r="F276" s="25"/>
      <c r="G276" s="24"/>
    </row>
    <row r="277" spans="1:7" ht="28.15" customHeight="1" x14ac:dyDescent="0.5">
      <c r="A277" s="62" t="s">
        <v>248</v>
      </c>
      <c r="B277" s="13"/>
      <c r="C277" s="46" t="s">
        <v>441</v>
      </c>
      <c r="D277" s="37" t="s">
        <v>44</v>
      </c>
      <c r="E277" s="28"/>
      <c r="F277" s="29" t="s">
        <v>500</v>
      </c>
      <c r="G277" s="327" t="s">
        <v>375</v>
      </c>
    </row>
    <row r="278" spans="1:7" ht="28.15" customHeight="1" x14ac:dyDescent="0.5">
      <c r="A278" s="62" t="s">
        <v>249</v>
      </c>
      <c r="B278" s="13"/>
      <c r="C278" s="46" t="s">
        <v>164</v>
      </c>
      <c r="D278" s="37" t="s">
        <v>8</v>
      </c>
      <c r="E278" s="28"/>
      <c r="F278" s="29" t="s">
        <v>500</v>
      </c>
      <c r="G278" s="46"/>
    </row>
    <row r="279" spans="1:7" ht="28.15" customHeight="1" x14ac:dyDescent="0.5">
      <c r="A279" s="62" t="s">
        <v>377</v>
      </c>
      <c r="B279" s="13"/>
      <c r="C279" s="46" t="s">
        <v>165</v>
      </c>
      <c r="D279" s="37" t="s">
        <v>8</v>
      </c>
      <c r="E279" s="28"/>
      <c r="F279" s="29" t="s">
        <v>500</v>
      </c>
      <c r="G279" s="46"/>
    </row>
    <row r="280" spans="1:7" ht="28.15" customHeight="1" x14ac:dyDescent="0.5">
      <c r="A280" s="62" t="s">
        <v>378</v>
      </c>
      <c r="B280" s="13"/>
      <c r="C280" s="46" t="s">
        <v>166</v>
      </c>
      <c r="D280" s="37" t="s">
        <v>8</v>
      </c>
      <c r="E280" s="28"/>
      <c r="F280" s="29" t="s">
        <v>500</v>
      </c>
      <c r="G280" s="46"/>
    </row>
    <row r="281" spans="1:7" ht="28.15" customHeight="1" x14ac:dyDescent="0.5">
      <c r="A281" s="62" t="s">
        <v>379</v>
      </c>
      <c r="B281" s="13"/>
      <c r="C281" s="46" t="s">
        <v>442</v>
      </c>
      <c r="D281" s="37" t="s">
        <v>8</v>
      </c>
      <c r="E281" s="28"/>
      <c r="F281" s="29" t="s">
        <v>500</v>
      </c>
      <c r="G281" s="46"/>
    </row>
    <row r="282" spans="1:7" ht="28.15" customHeight="1" x14ac:dyDescent="0.5">
      <c r="A282" s="63"/>
      <c r="B282" s="30"/>
      <c r="C282" s="30"/>
      <c r="D282" s="31"/>
      <c r="E282" s="28"/>
      <c r="F282" s="32"/>
      <c r="G282" s="30"/>
    </row>
    <row r="283" spans="1:7" ht="28.15" customHeight="1" x14ac:dyDescent="0.5">
      <c r="A283" s="61">
        <v>22</v>
      </c>
      <c r="B283" s="66" t="s">
        <v>171</v>
      </c>
      <c r="C283" s="23"/>
      <c r="D283" s="23"/>
      <c r="E283" s="28"/>
      <c r="F283" s="25"/>
      <c r="G283" s="24"/>
    </row>
    <row r="284" spans="1:7" ht="28.15" customHeight="1" x14ac:dyDescent="0.5">
      <c r="A284" s="62" t="s">
        <v>250</v>
      </c>
      <c r="B284" s="13"/>
      <c r="C284" s="46" t="s">
        <v>399</v>
      </c>
      <c r="D284" s="37" t="s">
        <v>8</v>
      </c>
      <c r="E284" s="28"/>
      <c r="F284" s="29" t="s">
        <v>498</v>
      </c>
      <c r="G284" s="46"/>
    </row>
    <row r="285" spans="1:7" ht="28.15" customHeight="1" x14ac:dyDescent="0.5">
      <c r="A285" s="62" t="s">
        <v>251</v>
      </c>
      <c r="B285" s="13"/>
      <c r="C285" s="46" t="s">
        <v>402</v>
      </c>
      <c r="D285" s="37" t="s">
        <v>5</v>
      </c>
      <c r="E285" s="28"/>
      <c r="F285" s="29" t="s">
        <v>498</v>
      </c>
      <c r="G285" s="28"/>
    </row>
    <row r="286" spans="1:7" ht="28.15" customHeight="1" x14ac:dyDescent="0.5">
      <c r="A286" s="62" t="s">
        <v>401</v>
      </c>
      <c r="B286" s="13"/>
      <c r="C286" s="28" t="s">
        <v>400</v>
      </c>
      <c r="D286" s="37" t="s">
        <v>18</v>
      </c>
      <c r="E286" s="28"/>
      <c r="F286" s="29" t="s">
        <v>498</v>
      </c>
      <c r="G286" s="28"/>
    </row>
    <row r="287" spans="1:7" ht="28.15" customHeight="1" x14ac:dyDescent="0.5">
      <c r="B287" s="15"/>
      <c r="C287" s="15"/>
      <c r="D287" s="56"/>
      <c r="E287" s="15"/>
      <c r="F287" s="16"/>
      <c r="G287" s="15"/>
    </row>
    <row r="288" spans="1:7" ht="28.15" customHeight="1" x14ac:dyDescent="0.5">
      <c r="A288" s="61">
        <v>23</v>
      </c>
      <c r="B288" s="66" t="s">
        <v>174</v>
      </c>
      <c r="C288" s="57" t="s">
        <v>175</v>
      </c>
      <c r="D288" s="23"/>
      <c r="E288" s="24"/>
      <c r="F288" s="25"/>
      <c r="G288" s="24"/>
    </row>
    <row r="289" spans="1:7" ht="28.15" customHeight="1" x14ac:dyDescent="0.5">
      <c r="A289" s="62" t="s">
        <v>252</v>
      </c>
      <c r="B289" s="13"/>
      <c r="C289" s="46"/>
      <c r="D289" s="37"/>
      <c r="E289" s="28"/>
      <c r="F289" s="29"/>
      <c r="G289" s="46"/>
    </row>
    <row r="290" spans="1:7" ht="28.15" customHeight="1" x14ac:dyDescent="0.5">
      <c r="A290" s="62" t="s">
        <v>253</v>
      </c>
      <c r="B290" s="17"/>
      <c r="C290" s="46"/>
      <c r="D290" s="37"/>
      <c r="E290" s="28"/>
      <c r="F290" s="29"/>
      <c r="G290" s="28"/>
    </row>
    <row r="291" spans="1:7" ht="28.15" customHeight="1" x14ac:dyDescent="0.5">
      <c r="A291" s="62" t="s">
        <v>380</v>
      </c>
      <c r="B291" s="17"/>
      <c r="C291" s="46"/>
      <c r="D291" s="37"/>
      <c r="E291" s="28"/>
      <c r="F291" s="29"/>
      <c r="G291" s="28"/>
    </row>
    <row r="292" spans="1:7" ht="28.15" customHeight="1" x14ac:dyDescent="0.5">
      <c r="A292" s="62" t="s">
        <v>381</v>
      </c>
      <c r="B292" s="17"/>
      <c r="C292" s="46"/>
      <c r="D292" s="37"/>
      <c r="E292" s="28"/>
      <c r="F292" s="29"/>
      <c r="G292" s="28"/>
    </row>
    <row r="293" spans="1:7" ht="28.15" customHeight="1" x14ac:dyDescent="0.5">
      <c r="A293" s="62" t="s">
        <v>382</v>
      </c>
      <c r="B293" s="58"/>
      <c r="C293" s="46"/>
      <c r="D293" s="37"/>
      <c r="E293" s="28"/>
      <c r="F293" s="29"/>
      <c r="G293" s="28"/>
    </row>
  </sheetData>
  <autoFilter ref="A8:G293"/>
  <mergeCells count="3">
    <mergeCell ref="B192:B199"/>
    <mergeCell ref="B200:B223"/>
    <mergeCell ref="B224:B240"/>
  </mergeCells>
  <printOptions horizontalCentered="1" verticalCentered="1"/>
  <pageMargins left="0" right="0" top="0.25" bottom="0.5" header="0.25" footer="0.05"/>
  <pageSetup paperSize="9" scale="29" orientation="landscape" r:id="rId1"/>
  <headerFooter>
    <oddFooter>Page &amp;P</oddFooter>
  </headerFooter>
  <rowBreaks count="6" manualBreakCount="6">
    <brk id="44" max="6" man="1"/>
    <brk id="89" max="6" man="1"/>
    <brk id="127" max="6" man="1"/>
    <brk id="172" max="6" man="1"/>
    <brk id="223" max="6" man="1"/>
    <brk id="260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0"/>
  <sheetViews>
    <sheetView tabSelected="1" zoomScale="30" zoomScaleNormal="30" workbookViewId="0">
      <selection activeCell="AK370" sqref="AK370:AK384"/>
    </sheetView>
  </sheetViews>
  <sheetFormatPr defaultColWidth="9" defaultRowHeight="15" x14ac:dyDescent="0.25"/>
  <cols>
    <col min="5" max="5" width="9.5703125" customWidth="1"/>
  </cols>
  <sheetData>
    <row r="1" spans="1:35" x14ac:dyDescent="0.25">
      <c r="A1" s="67"/>
      <c r="B1" s="67"/>
      <c r="C1" s="67"/>
      <c r="D1" s="67"/>
      <c r="E1" s="67"/>
      <c r="F1" s="67"/>
      <c r="G1" s="67"/>
      <c r="H1" s="67"/>
      <c r="I1" s="67"/>
      <c r="J1" s="432" t="s">
        <v>514</v>
      </c>
      <c r="K1" s="433"/>
      <c r="L1" s="433"/>
      <c r="M1" s="433"/>
      <c r="N1" s="434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35" ht="15.75" thickBot="1" x14ac:dyDescent="0.3">
      <c r="A2" s="67"/>
      <c r="B2" s="67"/>
      <c r="C2" s="67"/>
      <c r="D2" s="67"/>
      <c r="E2" s="67"/>
      <c r="F2" s="67"/>
      <c r="G2" s="67"/>
      <c r="H2" s="67"/>
      <c r="I2" s="67"/>
      <c r="J2" s="435"/>
      <c r="K2" s="436"/>
      <c r="L2" s="436"/>
      <c r="M2" s="436"/>
      <c r="N2" s="43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1:35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1:35" x14ac:dyDescent="0.25">
      <c r="A4" s="420" t="s">
        <v>515</v>
      </c>
      <c r="B4" s="421"/>
      <c r="C4" s="421"/>
      <c r="D4" s="421"/>
      <c r="E4" s="422"/>
      <c r="F4" s="68"/>
      <c r="G4" s="420" t="s">
        <v>516</v>
      </c>
      <c r="H4" s="421"/>
      <c r="I4" s="421"/>
      <c r="J4" s="421"/>
      <c r="K4" s="422"/>
      <c r="L4" s="68"/>
      <c r="M4" s="420" t="s">
        <v>517</v>
      </c>
      <c r="N4" s="421"/>
      <c r="O4" s="421"/>
      <c r="P4" s="421"/>
      <c r="Q4" s="422"/>
      <c r="R4" s="67"/>
      <c r="S4" s="420" t="s">
        <v>518</v>
      </c>
      <c r="T4" s="421"/>
      <c r="U4" s="421"/>
      <c r="V4" s="421"/>
      <c r="W4" s="422"/>
      <c r="X4" s="67"/>
      <c r="Y4" s="420" t="s">
        <v>1135</v>
      </c>
      <c r="Z4" s="421"/>
      <c r="AA4" s="421"/>
      <c r="AB4" s="421"/>
      <c r="AC4" s="422"/>
      <c r="AE4" s="420" t="s">
        <v>1135</v>
      </c>
      <c r="AF4" s="421"/>
      <c r="AG4" s="421"/>
      <c r="AH4" s="421"/>
      <c r="AI4" s="422"/>
    </row>
    <row r="5" spans="1:35" ht="15" customHeight="1" x14ac:dyDescent="0.25">
      <c r="A5" s="423"/>
      <c r="B5" s="424"/>
      <c r="C5" s="424"/>
      <c r="D5" s="424"/>
      <c r="E5" s="425"/>
      <c r="F5" s="68"/>
      <c r="G5" s="423"/>
      <c r="H5" s="424"/>
      <c r="I5" s="424"/>
      <c r="J5" s="424"/>
      <c r="K5" s="425"/>
      <c r="L5" s="68"/>
      <c r="M5" s="423"/>
      <c r="N5" s="424"/>
      <c r="O5" s="424"/>
      <c r="P5" s="424"/>
      <c r="Q5" s="425"/>
      <c r="R5" s="67"/>
      <c r="S5" s="423"/>
      <c r="T5" s="424"/>
      <c r="U5" s="424"/>
      <c r="V5" s="424"/>
      <c r="W5" s="425"/>
      <c r="X5" s="67"/>
      <c r="Y5" s="423"/>
      <c r="Z5" s="424"/>
      <c r="AA5" s="424"/>
      <c r="AB5" s="424"/>
      <c r="AC5" s="425"/>
      <c r="AE5" s="423"/>
      <c r="AF5" s="424"/>
      <c r="AG5" s="424"/>
      <c r="AH5" s="424"/>
      <c r="AI5" s="425"/>
    </row>
    <row r="6" spans="1:35" ht="15" customHeight="1" x14ac:dyDescent="0.25">
      <c r="A6" s="426"/>
      <c r="B6" s="427"/>
      <c r="C6" s="427"/>
      <c r="D6" s="427"/>
      <c r="E6" s="428"/>
      <c r="F6" s="68"/>
      <c r="G6" s="426"/>
      <c r="H6" s="427"/>
      <c r="I6" s="427"/>
      <c r="J6" s="427"/>
      <c r="K6" s="428"/>
      <c r="L6" s="68"/>
      <c r="M6" s="426"/>
      <c r="N6" s="427"/>
      <c r="O6" s="427"/>
      <c r="P6" s="427"/>
      <c r="Q6" s="428"/>
      <c r="R6" s="67"/>
      <c r="S6" s="426"/>
      <c r="T6" s="427"/>
      <c r="U6" s="427"/>
      <c r="V6" s="427"/>
      <c r="W6" s="428"/>
      <c r="X6" s="67"/>
      <c r="Y6" s="426"/>
      <c r="Z6" s="427"/>
      <c r="AA6" s="427"/>
      <c r="AB6" s="427"/>
      <c r="AC6" s="428"/>
      <c r="AE6" s="426"/>
      <c r="AF6" s="427"/>
      <c r="AG6" s="427"/>
      <c r="AH6" s="427"/>
      <c r="AI6" s="428"/>
    </row>
    <row r="7" spans="1:35" ht="15" customHeight="1" x14ac:dyDescent="0.25">
      <c r="A7" s="426"/>
      <c r="B7" s="427"/>
      <c r="C7" s="427"/>
      <c r="D7" s="427"/>
      <c r="E7" s="428"/>
      <c r="F7" s="68"/>
      <c r="G7" s="426"/>
      <c r="H7" s="427"/>
      <c r="I7" s="427"/>
      <c r="J7" s="427"/>
      <c r="K7" s="428"/>
      <c r="L7" s="68"/>
      <c r="M7" s="426"/>
      <c r="N7" s="427"/>
      <c r="O7" s="427"/>
      <c r="P7" s="427"/>
      <c r="Q7" s="428"/>
      <c r="R7" s="67"/>
      <c r="S7" s="426"/>
      <c r="T7" s="427"/>
      <c r="U7" s="427"/>
      <c r="V7" s="427"/>
      <c r="W7" s="428"/>
      <c r="X7" s="67"/>
      <c r="Y7" s="426"/>
      <c r="Z7" s="427"/>
      <c r="AA7" s="427"/>
      <c r="AB7" s="427"/>
      <c r="AC7" s="428"/>
      <c r="AE7" s="426"/>
      <c r="AF7" s="427"/>
      <c r="AG7" s="427"/>
      <c r="AH7" s="427"/>
      <c r="AI7" s="428"/>
    </row>
    <row r="8" spans="1:35" ht="15" customHeight="1" x14ac:dyDescent="0.25">
      <c r="A8" s="426"/>
      <c r="B8" s="427"/>
      <c r="C8" s="427"/>
      <c r="D8" s="427"/>
      <c r="E8" s="428"/>
      <c r="F8" s="68"/>
      <c r="G8" s="426"/>
      <c r="H8" s="427"/>
      <c r="I8" s="427"/>
      <c r="J8" s="427"/>
      <c r="K8" s="428"/>
      <c r="L8" s="68"/>
      <c r="M8" s="426"/>
      <c r="N8" s="427"/>
      <c r="O8" s="427"/>
      <c r="P8" s="427"/>
      <c r="Q8" s="428"/>
      <c r="R8" s="67"/>
      <c r="S8" s="426"/>
      <c r="T8" s="427"/>
      <c r="U8" s="427"/>
      <c r="V8" s="427"/>
      <c r="W8" s="428"/>
      <c r="X8" s="67"/>
      <c r="Y8" s="426"/>
      <c r="Z8" s="427"/>
      <c r="AA8" s="427"/>
      <c r="AB8" s="427"/>
      <c r="AC8" s="428"/>
      <c r="AE8" s="426"/>
      <c r="AF8" s="427"/>
      <c r="AG8" s="427"/>
      <c r="AH8" s="427"/>
      <c r="AI8" s="428"/>
    </row>
    <row r="9" spans="1:35" ht="15" customHeight="1" x14ac:dyDescent="0.25">
      <c r="A9" s="426"/>
      <c r="B9" s="427"/>
      <c r="C9" s="427"/>
      <c r="D9" s="427"/>
      <c r="E9" s="428"/>
      <c r="F9" s="68"/>
      <c r="G9" s="426"/>
      <c r="H9" s="427"/>
      <c r="I9" s="427"/>
      <c r="J9" s="427"/>
      <c r="K9" s="428"/>
      <c r="L9" s="68"/>
      <c r="M9" s="426"/>
      <c r="N9" s="427"/>
      <c r="O9" s="427"/>
      <c r="P9" s="427"/>
      <c r="Q9" s="428"/>
      <c r="R9" s="67"/>
      <c r="S9" s="426"/>
      <c r="T9" s="427"/>
      <c r="U9" s="427"/>
      <c r="V9" s="427"/>
      <c r="W9" s="428"/>
      <c r="X9" s="67"/>
      <c r="Y9" s="426"/>
      <c r="Z9" s="427"/>
      <c r="AA9" s="427"/>
      <c r="AB9" s="427"/>
      <c r="AC9" s="428"/>
      <c r="AE9" s="426"/>
      <c r="AF9" s="427"/>
      <c r="AG9" s="427"/>
      <c r="AH9" s="427"/>
      <c r="AI9" s="428"/>
    </row>
    <row r="10" spans="1:35" ht="15" customHeight="1" x14ac:dyDescent="0.25">
      <c r="A10" s="426"/>
      <c r="B10" s="427"/>
      <c r="C10" s="427"/>
      <c r="D10" s="427"/>
      <c r="E10" s="428"/>
      <c r="F10" s="68"/>
      <c r="G10" s="426"/>
      <c r="H10" s="427"/>
      <c r="I10" s="427"/>
      <c r="J10" s="427"/>
      <c r="K10" s="428"/>
      <c r="L10" s="68"/>
      <c r="M10" s="426"/>
      <c r="N10" s="427"/>
      <c r="O10" s="427"/>
      <c r="P10" s="427"/>
      <c r="Q10" s="428"/>
      <c r="R10" s="67"/>
      <c r="S10" s="426"/>
      <c r="T10" s="427"/>
      <c r="U10" s="427"/>
      <c r="V10" s="427"/>
      <c r="W10" s="428"/>
      <c r="X10" s="67"/>
      <c r="Y10" s="426"/>
      <c r="Z10" s="427"/>
      <c r="AA10" s="427"/>
      <c r="AB10" s="427"/>
      <c r="AC10" s="428"/>
      <c r="AE10" s="426"/>
      <c r="AF10" s="427"/>
      <c r="AG10" s="427"/>
      <c r="AH10" s="427"/>
      <c r="AI10" s="428"/>
    </row>
    <row r="11" spans="1:35" ht="15" customHeight="1" x14ac:dyDescent="0.25">
      <c r="A11" s="426"/>
      <c r="B11" s="427"/>
      <c r="C11" s="427"/>
      <c r="D11" s="427"/>
      <c r="E11" s="428"/>
      <c r="F11" s="68"/>
      <c r="G11" s="426"/>
      <c r="H11" s="427"/>
      <c r="I11" s="427"/>
      <c r="J11" s="427"/>
      <c r="K11" s="428"/>
      <c r="L11" s="68"/>
      <c r="M11" s="426"/>
      <c r="N11" s="427"/>
      <c r="O11" s="427"/>
      <c r="P11" s="427"/>
      <c r="Q11" s="428"/>
      <c r="R11" s="67"/>
      <c r="S11" s="426"/>
      <c r="T11" s="427"/>
      <c r="U11" s="427"/>
      <c r="V11" s="427"/>
      <c r="W11" s="428"/>
      <c r="X11" s="67"/>
      <c r="Y11" s="426"/>
      <c r="Z11" s="427"/>
      <c r="AA11" s="427"/>
      <c r="AB11" s="427"/>
      <c r="AC11" s="428"/>
      <c r="AE11" s="426"/>
      <c r="AF11" s="427"/>
      <c r="AG11" s="427"/>
      <c r="AH11" s="427"/>
      <c r="AI11" s="428"/>
    </row>
    <row r="12" spans="1:35" ht="15" customHeight="1" x14ac:dyDescent="0.25">
      <c r="A12" s="426"/>
      <c r="B12" s="427"/>
      <c r="C12" s="427"/>
      <c r="D12" s="427"/>
      <c r="E12" s="428"/>
      <c r="F12" s="68"/>
      <c r="G12" s="426"/>
      <c r="H12" s="427"/>
      <c r="I12" s="427"/>
      <c r="J12" s="427"/>
      <c r="K12" s="428"/>
      <c r="L12" s="68"/>
      <c r="M12" s="426"/>
      <c r="N12" s="427"/>
      <c r="O12" s="427"/>
      <c r="P12" s="427"/>
      <c r="Q12" s="428"/>
      <c r="R12" s="67"/>
      <c r="S12" s="426"/>
      <c r="T12" s="427"/>
      <c r="U12" s="427"/>
      <c r="V12" s="427"/>
      <c r="W12" s="428"/>
      <c r="X12" s="67"/>
      <c r="Y12" s="426"/>
      <c r="Z12" s="427"/>
      <c r="AA12" s="427"/>
      <c r="AB12" s="427"/>
      <c r="AC12" s="428"/>
      <c r="AE12" s="426"/>
      <c r="AF12" s="427"/>
      <c r="AG12" s="427"/>
      <c r="AH12" s="427"/>
      <c r="AI12" s="428"/>
    </row>
    <row r="13" spans="1:35" ht="15" customHeight="1" x14ac:dyDescent="0.25">
      <c r="A13" s="426"/>
      <c r="B13" s="427"/>
      <c r="C13" s="427"/>
      <c r="D13" s="427"/>
      <c r="E13" s="428"/>
      <c r="F13" s="68"/>
      <c r="G13" s="426"/>
      <c r="H13" s="427"/>
      <c r="I13" s="427"/>
      <c r="J13" s="427"/>
      <c r="K13" s="428"/>
      <c r="L13" s="68"/>
      <c r="M13" s="426"/>
      <c r="N13" s="427"/>
      <c r="O13" s="427"/>
      <c r="P13" s="427"/>
      <c r="Q13" s="428"/>
      <c r="R13" s="67"/>
      <c r="S13" s="426"/>
      <c r="T13" s="427"/>
      <c r="U13" s="427"/>
      <c r="V13" s="427"/>
      <c r="W13" s="428"/>
      <c r="X13" s="67"/>
      <c r="Y13" s="426"/>
      <c r="Z13" s="427"/>
      <c r="AA13" s="427"/>
      <c r="AB13" s="427"/>
      <c r="AC13" s="428"/>
      <c r="AE13" s="426"/>
      <c r="AF13" s="427"/>
      <c r="AG13" s="427"/>
      <c r="AH13" s="427"/>
      <c r="AI13" s="428"/>
    </row>
    <row r="14" spans="1:35" ht="15" customHeight="1" x14ac:dyDescent="0.25">
      <c r="A14" s="426"/>
      <c r="B14" s="427"/>
      <c r="C14" s="427"/>
      <c r="D14" s="427"/>
      <c r="E14" s="428"/>
      <c r="F14" s="68"/>
      <c r="G14" s="426"/>
      <c r="H14" s="427"/>
      <c r="I14" s="427"/>
      <c r="J14" s="427"/>
      <c r="K14" s="428"/>
      <c r="L14" s="68"/>
      <c r="M14" s="426"/>
      <c r="N14" s="427"/>
      <c r="O14" s="427"/>
      <c r="P14" s="427"/>
      <c r="Q14" s="428"/>
      <c r="R14" s="67"/>
      <c r="S14" s="426"/>
      <c r="T14" s="427"/>
      <c r="U14" s="427"/>
      <c r="V14" s="427"/>
      <c r="W14" s="428"/>
      <c r="X14" s="67"/>
      <c r="Y14" s="426"/>
      <c r="Z14" s="427"/>
      <c r="AA14" s="427"/>
      <c r="AB14" s="427"/>
      <c r="AC14" s="428"/>
      <c r="AE14" s="426"/>
      <c r="AF14" s="427"/>
      <c r="AG14" s="427"/>
      <c r="AH14" s="427"/>
      <c r="AI14" s="428"/>
    </row>
    <row r="15" spans="1:35" ht="15" customHeight="1" x14ac:dyDescent="0.25">
      <c r="A15" s="426"/>
      <c r="B15" s="427"/>
      <c r="C15" s="427"/>
      <c r="D15" s="427"/>
      <c r="E15" s="428"/>
      <c r="F15" s="68"/>
      <c r="G15" s="426"/>
      <c r="H15" s="427"/>
      <c r="I15" s="427"/>
      <c r="J15" s="427"/>
      <c r="K15" s="428"/>
      <c r="L15" s="68"/>
      <c r="M15" s="426"/>
      <c r="N15" s="427"/>
      <c r="O15" s="427"/>
      <c r="P15" s="427"/>
      <c r="Q15" s="428"/>
      <c r="R15" s="67"/>
      <c r="S15" s="426"/>
      <c r="T15" s="427"/>
      <c r="U15" s="427"/>
      <c r="V15" s="427"/>
      <c r="W15" s="428"/>
      <c r="X15" s="67"/>
      <c r="Y15" s="426"/>
      <c r="Z15" s="427"/>
      <c r="AA15" s="427"/>
      <c r="AB15" s="427"/>
      <c r="AC15" s="428"/>
      <c r="AE15" s="426"/>
      <c r="AF15" s="427"/>
      <c r="AG15" s="427"/>
      <c r="AH15" s="427"/>
      <c r="AI15" s="428"/>
    </row>
    <row r="16" spans="1:35" ht="15" customHeight="1" x14ac:dyDescent="0.25">
      <c r="A16" s="426"/>
      <c r="B16" s="427"/>
      <c r="C16" s="427"/>
      <c r="D16" s="427"/>
      <c r="E16" s="428"/>
      <c r="F16" s="68"/>
      <c r="G16" s="426"/>
      <c r="H16" s="427"/>
      <c r="I16" s="427"/>
      <c r="J16" s="427"/>
      <c r="K16" s="428"/>
      <c r="L16" s="68"/>
      <c r="M16" s="426"/>
      <c r="N16" s="427"/>
      <c r="O16" s="427"/>
      <c r="P16" s="427"/>
      <c r="Q16" s="428"/>
      <c r="R16" s="67"/>
      <c r="S16" s="426"/>
      <c r="T16" s="427"/>
      <c r="U16" s="427"/>
      <c r="V16" s="427"/>
      <c r="W16" s="428"/>
      <c r="X16" s="67"/>
      <c r="Y16" s="426"/>
      <c r="Z16" s="427"/>
      <c r="AA16" s="427"/>
      <c r="AB16" s="427"/>
      <c r="AC16" s="428"/>
      <c r="AE16" s="426"/>
      <c r="AF16" s="427"/>
      <c r="AG16" s="427"/>
      <c r="AH16" s="427"/>
      <c r="AI16" s="428"/>
    </row>
    <row r="17" spans="1:35" ht="15" customHeight="1" x14ac:dyDescent="0.25">
      <c r="A17" s="426"/>
      <c r="B17" s="427"/>
      <c r="C17" s="427"/>
      <c r="D17" s="427"/>
      <c r="E17" s="428"/>
      <c r="F17" s="68"/>
      <c r="G17" s="426"/>
      <c r="H17" s="427"/>
      <c r="I17" s="427"/>
      <c r="J17" s="427"/>
      <c r="K17" s="428"/>
      <c r="L17" s="68"/>
      <c r="M17" s="426"/>
      <c r="N17" s="427"/>
      <c r="O17" s="427"/>
      <c r="P17" s="427"/>
      <c r="Q17" s="428"/>
      <c r="R17" s="67"/>
      <c r="S17" s="426"/>
      <c r="T17" s="427"/>
      <c r="U17" s="427"/>
      <c r="V17" s="427"/>
      <c r="W17" s="428"/>
      <c r="X17" s="67"/>
      <c r="Y17" s="426"/>
      <c r="Z17" s="427"/>
      <c r="AA17" s="427"/>
      <c r="AB17" s="427"/>
      <c r="AC17" s="428"/>
      <c r="AE17" s="426"/>
      <c r="AF17" s="427"/>
      <c r="AG17" s="427"/>
      <c r="AH17" s="427"/>
      <c r="AI17" s="428"/>
    </row>
    <row r="18" spans="1:35" ht="15" customHeight="1" x14ac:dyDescent="0.25">
      <c r="A18" s="429"/>
      <c r="B18" s="430"/>
      <c r="C18" s="430"/>
      <c r="D18" s="430"/>
      <c r="E18" s="431"/>
      <c r="F18" s="68"/>
      <c r="G18" s="429"/>
      <c r="H18" s="430"/>
      <c r="I18" s="430"/>
      <c r="J18" s="430"/>
      <c r="K18" s="431"/>
      <c r="L18" s="68"/>
      <c r="M18" s="429"/>
      <c r="N18" s="430"/>
      <c r="O18" s="430"/>
      <c r="P18" s="430"/>
      <c r="Q18" s="431"/>
      <c r="R18" s="67"/>
      <c r="S18" s="429"/>
      <c r="T18" s="430"/>
      <c r="U18" s="430"/>
      <c r="V18" s="430"/>
      <c r="W18" s="431"/>
      <c r="X18" s="67"/>
      <c r="Y18" s="429"/>
      <c r="Z18" s="430"/>
      <c r="AA18" s="430"/>
      <c r="AB18" s="430"/>
      <c r="AC18" s="431"/>
      <c r="AE18" s="429"/>
      <c r="AF18" s="430"/>
      <c r="AG18" s="430"/>
      <c r="AH18" s="430"/>
      <c r="AI18" s="431"/>
    </row>
    <row r="19" spans="1:35" x14ac:dyDescent="0.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7"/>
      <c r="S19" s="68"/>
      <c r="T19" s="68"/>
      <c r="U19" s="68"/>
      <c r="V19" s="68"/>
      <c r="W19" s="68"/>
      <c r="X19" s="67"/>
      <c r="Y19" s="67"/>
      <c r="Z19" s="67"/>
      <c r="AA19" s="67"/>
      <c r="AB19" s="67"/>
      <c r="AC19" s="67"/>
    </row>
    <row r="20" spans="1:35" ht="15" customHeight="1" x14ac:dyDescent="0.25">
      <c r="A20" s="420" t="s">
        <v>519</v>
      </c>
      <c r="B20" s="421"/>
      <c r="C20" s="421"/>
      <c r="D20" s="421"/>
      <c r="E20" s="422"/>
      <c r="F20" s="68"/>
      <c r="G20" s="420" t="s">
        <v>520</v>
      </c>
      <c r="H20" s="421"/>
      <c r="I20" s="421"/>
      <c r="J20" s="421"/>
      <c r="K20" s="422"/>
      <c r="L20" s="68"/>
      <c r="M20" s="420" t="s">
        <v>521</v>
      </c>
      <c r="N20" s="421"/>
      <c r="O20" s="421"/>
      <c r="P20" s="421"/>
      <c r="Q20" s="422"/>
      <c r="R20" s="67"/>
      <c r="S20" s="420" t="s">
        <v>522</v>
      </c>
      <c r="T20" s="421"/>
      <c r="U20" s="421"/>
      <c r="V20" s="421"/>
      <c r="W20" s="422"/>
      <c r="X20" s="67"/>
      <c r="Y20" s="420" t="s">
        <v>1136</v>
      </c>
      <c r="Z20" s="421"/>
      <c r="AA20" s="421"/>
      <c r="AB20" s="421"/>
      <c r="AC20" s="422"/>
      <c r="AE20" s="420" t="s">
        <v>1136</v>
      </c>
      <c r="AF20" s="421"/>
      <c r="AG20" s="421"/>
      <c r="AH20" s="421"/>
      <c r="AI20" s="422"/>
    </row>
    <row r="21" spans="1:35" ht="15" customHeight="1" x14ac:dyDescent="0.25">
      <c r="A21" s="423"/>
      <c r="B21" s="424"/>
      <c r="C21" s="424"/>
      <c r="D21" s="424"/>
      <c r="E21" s="425"/>
      <c r="F21" s="68"/>
      <c r="G21" s="423"/>
      <c r="H21" s="424"/>
      <c r="I21" s="424"/>
      <c r="J21" s="424"/>
      <c r="K21" s="425"/>
      <c r="L21" s="68"/>
      <c r="M21" s="423"/>
      <c r="N21" s="424"/>
      <c r="O21" s="424"/>
      <c r="P21" s="424"/>
      <c r="Q21" s="425"/>
      <c r="R21" s="67"/>
      <c r="S21" s="423"/>
      <c r="T21" s="424"/>
      <c r="U21" s="424"/>
      <c r="V21" s="424"/>
      <c r="W21" s="425"/>
      <c r="X21" s="67"/>
      <c r="Y21" s="423"/>
      <c r="Z21" s="424"/>
      <c r="AA21" s="424"/>
      <c r="AB21" s="424"/>
      <c r="AC21" s="425"/>
      <c r="AE21" s="423"/>
      <c r="AF21" s="424"/>
      <c r="AG21" s="424"/>
      <c r="AH21" s="424"/>
      <c r="AI21" s="425"/>
    </row>
    <row r="22" spans="1:35" ht="15" customHeight="1" x14ac:dyDescent="0.25">
      <c r="A22" s="426"/>
      <c r="B22" s="427"/>
      <c r="C22" s="427"/>
      <c r="D22" s="427"/>
      <c r="E22" s="428"/>
      <c r="F22" s="68"/>
      <c r="G22" s="426"/>
      <c r="H22" s="427"/>
      <c r="I22" s="427"/>
      <c r="J22" s="427"/>
      <c r="K22" s="428"/>
      <c r="L22" s="68"/>
      <c r="M22" s="426"/>
      <c r="N22" s="427"/>
      <c r="O22" s="427"/>
      <c r="P22" s="427"/>
      <c r="Q22" s="428"/>
      <c r="R22" s="67"/>
      <c r="S22" s="426"/>
      <c r="T22" s="427"/>
      <c r="U22" s="427"/>
      <c r="V22" s="427"/>
      <c r="W22" s="428"/>
      <c r="X22" s="67"/>
      <c r="Y22" s="426"/>
      <c r="Z22" s="427"/>
      <c r="AA22" s="427"/>
      <c r="AB22" s="427"/>
      <c r="AC22" s="428"/>
      <c r="AE22" s="426"/>
      <c r="AF22" s="427"/>
      <c r="AG22" s="427"/>
      <c r="AH22" s="427"/>
      <c r="AI22" s="428"/>
    </row>
    <row r="23" spans="1:35" ht="15" customHeight="1" x14ac:dyDescent="0.25">
      <c r="A23" s="426"/>
      <c r="B23" s="427"/>
      <c r="C23" s="427"/>
      <c r="D23" s="427"/>
      <c r="E23" s="428"/>
      <c r="F23" s="68"/>
      <c r="G23" s="426"/>
      <c r="H23" s="427"/>
      <c r="I23" s="427"/>
      <c r="J23" s="427"/>
      <c r="K23" s="428"/>
      <c r="L23" s="68"/>
      <c r="M23" s="426"/>
      <c r="N23" s="427"/>
      <c r="O23" s="427"/>
      <c r="P23" s="427"/>
      <c r="Q23" s="428"/>
      <c r="R23" s="67"/>
      <c r="S23" s="426"/>
      <c r="T23" s="427"/>
      <c r="U23" s="427"/>
      <c r="V23" s="427"/>
      <c r="W23" s="428"/>
      <c r="X23" s="67"/>
      <c r="Y23" s="426"/>
      <c r="Z23" s="427"/>
      <c r="AA23" s="427"/>
      <c r="AB23" s="427"/>
      <c r="AC23" s="428"/>
      <c r="AE23" s="426"/>
      <c r="AF23" s="427"/>
      <c r="AG23" s="427"/>
      <c r="AH23" s="427"/>
      <c r="AI23" s="428"/>
    </row>
    <row r="24" spans="1:35" ht="15" customHeight="1" x14ac:dyDescent="0.25">
      <c r="A24" s="426"/>
      <c r="B24" s="427"/>
      <c r="C24" s="427"/>
      <c r="D24" s="427"/>
      <c r="E24" s="428"/>
      <c r="F24" s="68"/>
      <c r="G24" s="426"/>
      <c r="H24" s="427"/>
      <c r="I24" s="427"/>
      <c r="J24" s="427"/>
      <c r="K24" s="428"/>
      <c r="L24" s="68"/>
      <c r="M24" s="426"/>
      <c r="N24" s="427"/>
      <c r="O24" s="427"/>
      <c r="P24" s="427"/>
      <c r="Q24" s="428"/>
      <c r="R24" s="67"/>
      <c r="S24" s="426"/>
      <c r="T24" s="427"/>
      <c r="U24" s="427"/>
      <c r="V24" s="427"/>
      <c r="W24" s="428"/>
      <c r="X24" s="67"/>
      <c r="Y24" s="426"/>
      <c r="Z24" s="427"/>
      <c r="AA24" s="427"/>
      <c r="AB24" s="427"/>
      <c r="AC24" s="428"/>
      <c r="AE24" s="426"/>
      <c r="AF24" s="427"/>
      <c r="AG24" s="427"/>
      <c r="AH24" s="427"/>
      <c r="AI24" s="428"/>
    </row>
    <row r="25" spans="1:35" ht="15" customHeight="1" x14ac:dyDescent="0.25">
      <c r="A25" s="426"/>
      <c r="B25" s="427"/>
      <c r="C25" s="427"/>
      <c r="D25" s="427"/>
      <c r="E25" s="428"/>
      <c r="F25" s="68"/>
      <c r="G25" s="426"/>
      <c r="H25" s="427"/>
      <c r="I25" s="427"/>
      <c r="J25" s="427"/>
      <c r="K25" s="428"/>
      <c r="L25" s="68"/>
      <c r="M25" s="426"/>
      <c r="N25" s="427"/>
      <c r="O25" s="427"/>
      <c r="P25" s="427"/>
      <c r="Q25" s="428"/>
      <c r="R25" s="67"/>
      <c r="S25" s="426"/>
      <c r="T25" s="427"/>
      <c r="U25" s="427"/>
      <c r="V25" s="427"/>
      <c r="W25" s="428"/>
      <c r="X25" s="67"/>
      <c r="Y25" s="426"/>
      <c r="Z25" s="427"/>
      <c r="AA25" s="427"/>
      <c r="AB25" s="427"/>
      <c r="AC25" s="428"/>
      <c r="AE25" s="426"/>
      <c r="AF25" s="427"/>
      <c r="AG25" s="427"/>
      <c r="AH25" s="427"/>
      <c r="AI25" s="428"/>
    </row>
    <row r="26" spans="1:35" ht="15" customHeight="1" x14ac:dyDescent="0.25">
      <c r="A26" s="426"/>
      <c r="B26" s="427"/>
      <c r="C26" s="427"/>
      <c r="D26" s="427"/>
      <c r="E26" s="428"/>
      <c r="F26" s="68"/>
      <c r="G26" s="426"/>
      <c r="H26" s="427"/>
      <c r="I26" s="427"/>
      <c r="J26" s="427"/>
      <c r="K26" s="428"/>
      <c r="L26" s="68"/>
      <c r="M26" s="426"/>
      <c r="N26" s="427"/>
      <c r="O26" s="427"/>
      <c r="P26" s="427"/>
      <c r="Q26" s="428"/>
      <c r="R26" s="67"/>
      <c r="S26" s="426"/>
      <c r="T26" s="427"/>
      <c r="U26" s="427"/>
      <c r="V26" s="427"/>
      <c r="W26" s="428"/>
      <c r="X26" s="67"/>
      <c r="Y26" s="426"/>
      <c r="Z26" s="427"/>
      <c r="AA26" s="427"/>
      <c r="AB26" s="427"/>
      <c r="AC26" s="428"/>
      <c r="AE26" s="426"/>
      <c r="AF26" s="427"/>
      <c r="AG26" s="427"/>
      <c r="AH26" s="427"/>
      <c r="AI26" s="428"/>
    </row>
    <row r="27" spans="1:35" ht="15" customHeight="1" x14ac:dyDescent="0.25">
      <c r="A27" s="426"/>
      <c r="B27" s="427"/>
      <c r="C27" s="427"/>
      <c r="D27" s="427"/>
      <c r="E27" s="428"/>
      <c r="F27" s="68"/>
      <c r="G27" s="426"/>
      <c r="H27" s="427"/>
      <c r="I27" s="427"/>
      <c r="J27" s="427"/>
      <c r="K27" s="428"/>
      <c r="L27" s="68"/>
      <c r="M27" s="426"/>
      <c r="N27" s="427"/>
      <c r="O27" s="427"/>
      <c r="P27" s="427"/>
      <c r="Q27" s="428"/>
      <c r="R27" s="67"/>
      <c r="S27" s="426"/>
      <c r="T27" s="427"/>
      <c r="U27" s="427"/>
      <c r="V27" s="427"/>
      <c r="W27" s="428"/>
      <c r="X27" s="67"/>
      <c r="Y27" s="426"/>
      <c r="Z27" s="427"/>
      <c r="AA27" s="427"/>
      <c r="AB27" s="427"/>
      <c r="AC27" s="428"/>
      <c r="AE27" s="426"/>
      <c r="AF27" s="427"/>
      <c r="AG27" s="427"/>
      <c r="AH27" s="427"/>
      <c r="AI27" s="428"/>
    </row>
    <row r="28" spans="1:35" ht="15" customHeight="1" x14ac:dyDescent="0.25">
      <c r="A28" s="426"/>
      <c r="B28" s="427"/>
      <c r="C28" s="427"/>
      <c r="D28" s="427"/>
      <c r="E28" s="428"/>
      <c r="F28" s="68"/>
      <c r="G28" s="426"/>
      <c r="H28" s="427"/>
      <c r="I28" s="427"/>
      <c r="J28" s="427"/>
      <c r="K28" s="428"/>
      <c r="L28" s="68"/>
      <c r="M28" s="426"/>
      <c r="N28" s="427"/>
      <c r="O28" s="427"/>
      <c r="P28" s="427"/>
      <c r="Q28" s="428"/>
      <c r="R28" s="67"/>
      <c r="S28" s="426"/>
      <c r="T28" s="427"/>
      <c r="U28" s="427"/>
      <c r="V28" s="427"/>
      <c r="W28" s="428"/>
      <c r="X28" s="67"/>
      <c r="Y28" s="426"/>
      <c r="Z28" s="427"/>
      <c r="AA28" s="427"/>
      <c r="AB28" s="427"/>
      <c r="AC28" s="428"/>
      <c r="AE28" s="426"/>
      <c r="AF28" s="427"/>
      <c r="AG28" s="427"/>
      <c r="AH28" s="427"/>
      <c r="AI28" s="428"/>
    </row>
    <row r="29" spans="1:35" ht="15" customHeight="1" x14ac:dyDescent="0.25">
      <c r="A29" s="426"/>
      <c r="B29" s="427"/>
      <c r="C29" s="427"/>
      <c r="D29" s="427"/>
      <c r="E29" s="428"/>
      <c r="F29" s="68"/>
      <c r="G29" s="426"/>
      <c r="H29" s="427"/>
      <c r="I29" s="427"/>
      <c r="J29" s="427"/>
      <c r="K29" s="428"/>
      <c r="L29" s="68"/>
      <c r="M29" s="426"/>
      <c r="N29" s="427"/>
      <c r="O29" s="427"/>
      <c r="P29" s="427"/>
      <c r="Q29" s="428"/>
      <c r="R29" s="67"/>
      <c r="S29" s="426"/>
      <c r="T29" s="427"/>
      <c r="U29" s="427"/>
      <c r="V29" s="427"/>
      <c r="W29" s="428"/>
      <c r="X29" s="67"/>
      <c r="Y29" s="426"/>
      <c r="Z29" s="427"/>
      <c r="AA29" s="427"/>
      <c r="AB29" s="427"/>
      <c r="AC29" s="428"/>
      <c r="AE29" s="426"/>
      <c r="AF29" s="427"/>
      <c r="AG29" s="427"/>
      <c r="AH29" s="427"/>
      <c r="AI29" s="428"/>
    </row>
    <row r="30" spans="1:35" ht="15" customHeight="1" x14ac:dyDescent="0.25">
      <c r="A30" s="426"/>
      <c r="B30" s="427"/>
      <c r="C30" s="427"/>
      <c r="D30" s="427"/>
      <c r="E30" s="428"/>
      <c r="F30" s="68"/>
      <c r="G30" s="426"/>
      <c r="H30" s="427"/>
      <c r="I30" s="427"/>
      <c r="J30" s="427"/>
      <c r="K30" s="428"/>
      <c r="L30" s="68"/>
      <c r="M30" s="426"/>
      <c r="N30" s="427"/>
      <c r="O30" s="427"/>
      <c r="P30" s="427"/>
      <c r="Q30" s="428"/>
      <c r="R30" s="67"/>
      <c r="S30" s="426"/>
      <c r="T30" s="427"/>
      <c r="U30" s="427"/>
      <c r="V30" s="427"/>
      <c r="W30" s="428"/>
      <c r="X30" s="67"/>
      <c r="Y30" s="426"/>
      <c r="Z30" s="427"/>
      <c r="AA30" s="427"/>
      <c r="AB30" s="427"/>
      <c r="AC30" s="428"/>
      <c r="AE30" s="426"/>
      <c r="AF30" s="427"/>
      <c r="AG30" s="427"/>
      <c r="AH30" s="427"/>
      <c r="AI30" s="428"/>
    </row>
    <row r="31" spans="1:35" ht="15" customHeight="1" x14ac:dyDescent="0.25">
      <c r="A31" s="426"/>
      <c r="B31" s="427"/>
      <c r="C31" s="427"/>
      <c r="D31" s="427"/>
      <c r="E31" s="428"/>
      <c r="F31" s="68"/>
      <c r="G31" s="426"/>
      <c r="H31" s="427"/>
      <c r="I31" s="427"/>
      <c r="J31" s="427"/>
      <c r="K31" s="428"/>
      <c r="L31" s="68"/>
      <c r="M31" s="426"/>
      <c r="N31" s="427"/>
      <c r="O31" s="427"/>
      <c r="P31" s="427"/>
      <c r="Q31" s="428"/>
      <c r="R31" s="67"/>
      <c r="S31" s="426"/>
      <c r="T31" s="427"/>
      <c r="U31" s="427"/>
      <c r="V31" s="427"/>
      <c r="W31" s="428"/>
      <c r="X31" s="67"/>
      <c r="Y31" s="426"/>
      <c r="Z31" s="427"/>
      <c r="AA31" s="427"/>
      <c r="AB31" s="427"/>
      <c r="AC31" s="428"/>
      <c r="AE31" s="426"/>
      <c r="AF31" s="427"/>
      <c r="AG31" s="427"/>
      <c r="AH31" s="427"/>
      <c r="AI31" s="428"/>
    </row>
    <row r="32" spans="1:35" ht="15" customHeight="1" x14ac:dyDescent="0.25">
      <c r="A32" s="426"/>
      <c r="B32" s="427"/>
      <c r="C32" s="427"/>
      <c r="D32" s="427"/>
      <c r="E32" s="428"/>
      <c r="F32" s="68"/>
      <c r="G32" s="426"/>
      <c r="H32" s="427"/>
      <c r="I32" s="427"/>
      <c r="J32" s="427"/>
      <c r="K32" s="428"/>
      <c r="L32" s="68"/>
      <c r="M32" s="426"/>
      <c r="N32" s="427"/>
      <c r="O32" s="427"/>
      <c r="P32" s="427"/>
      <c r="Q32" s="428"/>
      <c r="R32" s="67"/>
      <c r="S32" s="426"/>
      <c r="T32" s="427"/>
      <c r="U32" s="427"/>
      <c r="V32" s="427"/>
      <c r="W32" s="428"/>
      <c r="X32" s="67"/>
      <c r="Y32" s="426"/>
      <c r="Z32" s="427"/>
      <c r="AA32" s="427"/>
      <c r="AB32" s="427"/>
      <c r="AC32" s="428"/>
      <c r="AE32" s="426"/>
      <c r="AF32" s="427"/>
      <c r="AG32" s="427"/>
      <c r="AH32" s="427"/>
      <c r="AI32" s="428"/>
    </row>
    <row r="33" spans="1:35" ht="15" customHeight="1" x14ac:dyDescent="0.25">
      <c r="A33" s="426"/>
      <c r="B33" s="427"/>
      <c r="C33" s="427"/>
      <c r="D33" s="427"/>
      <c r="E33" s="428"/>
      <c r="F33" s="68"/>
      <c r="G33" s="426"/>
      <c r="H33" s="427"/>
      <c r="I33" s="427"/>
      <c r="J33" s="427"/>
      <c r="K33" s="428"/>
      <c r="L33" s="68"/>
      <c r="M33" s="426"/>
      <c r="N33" s="427"/>
      <c r="O33" s="427"/>
      <c r="P33" s="427"/>
      <c r="Q33" s="428"/>
      <c r="R33" s="67"/>
      <c r="S33" s="426"/>
      <c r="T33" s="427"/>
      <c r="U33" s="427"/>
      <c r="V33" s="427"/>
      <c r="W33" s="428"/>
      <c r="X33" s="67"/>
      <c r="Y33" s="426"/>
      <c r="Z33" s="427"/>
      <c r="AA33" s="427"/>
      <c r="AB33" s="427"/>
      <c r="AC33" s="428"/>
      <c r="AE33" s="426"/>
      <c r="AF33" s="427"/>
      <c r="AG33" s="427"/>
      <c r="AH33" s="427"/>
      <c r="AI33" s="428"/>
    </row>
    <row r="34" spans="1:35" x14ac:dyDescent="0.25">
      <c r="A34" s="429"/>
      <c r="B34" s="430"/>
      <c r="C34" s="430"/>
      <c r="D34" s="430"/>
      <c r="E34" s="431"/>
      <c r="F34" s="68"/>
      <c r="G34" s="429"/>
      <c r="H34" s="430"/>
      <c r="I34" s="430"/>
      <c r="J34" s="430"/>
      <c r="K34" s="431"/>
      <c r="L34" s="68"/>
      <c r="M34" s="429"/>
      <c r="N34" s="430"/>
      <c r="O34" s="430"/>
      <c r="P34" s="430"/>
      <c r="Q34" s="431"/>
      <c r="R34" s="67"/>
      <c r="S34" s="429"/>
      <c r="T34" s="430"/>
      <c r="U34" s="430"/>
      <c r="V34" s="430"/>
      <c r="W34" s="431"/>
      <c r="X34" s="67"/>
      <c r="Y34" s="429"/>
      <c r="Z34" s="430"/>
      <c r="AA34" s="430"/>
      <c r="AB34" s="430"/>
      <c r="AC34" s="431"/>
      <c r="AE34" s="429"/>
      <c r="AF34" s="430"/>
      <c r="AG34" s="430"/>
      <c r="AH34" s="430"/>
      <c r="AI34" s="431"/>
    </row>
    <row r="35" spans="1:35" ht="15.75" thickBot="1" x14ac:dyDescent="0.3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7"/>
      <c r="S35" s="68"/>
      <c r="T35" s="68"/>
      <c r="U35" s="68"/>
      <c r="V35" s="68"/>
      <c r="W35" s="68"/>
      <c r="X35" s="67"/>
      <c r="Y35" s="67"/>
      <c r="Z35" s="67"/>
      <c r="AA35" s="67"/>
      <c r="AB35" s="67"/>
      <c r="AC35" s="67"/>
    </row>
    <row r="36" spans="1:35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432" t="s">
        <v>523</v>
      </c>
      <c r="K36" s="433"/>
      <c r="L36" s="433"/>
      <c r="M36" s="433"/>
      <c r="N36" s="434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</row>
    <row r="37" spans="1:35" ht="15.75" thickBot="1" x14ac:dyDescent="0.3">
      <c r="A37" s="67"/>
      <c r="B37" s="67"/>
      <c r="C37" s="67"/>
      <c r="D37" s="67"/>
      <c r="E37" s="67"/>
      <c r="F37" s="67"/>
      <c r="G37" s="67"/>
      <c r="H37" s="67"/>
      <c r="I37" s="67"/>
      <c r="J37" s="435"/>
      <c r="K37" s="436"/>
      <c r="L37" s="436"/>
      <c r="M37" s="436"/>
      <c r="N37" s="43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</row>
    <row r="38" spans="1:35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spans="1:35" x14ac:dyDescent="0.25">
      <c r="A39" s="420" t="s">
        <v>524</v>
      </c>
      <c r="B39" s="421"/>
      <c r="C39" s="421"/>
      <c r="D39" s="421"/>
      <c r="E39" s="422"/>
      <c r="F39" s="68"/>
      <c r="G39" s="420" t="s">
        <v>525</v>
      </c>
      <c r="H39" s="421"/>
      <c r="I39" s="421"/>
      <c r="J39" s="421"/>
      <c r="K39" s="422"/>
      <c r="L39" s="68"/>
      <c r="M39" s="420" t="s">
        <v>526</v>
      </c>
      <c r="N39" s="421"/>
      <c r="O39" s="421"/>
      <c r="P39" s="421"/>
      <c r="Q39" s="422"/>
      <c r="R39" s="67"/>
      <c r="S39" s="420" t="s">
        <v>527</v>
      </c>
      <c r="T39" s="421"/>
      <c r="U39" s="421"/>
      <c r="V39" s="421"/>
      <c r="W39" s="422"/>
      <c r="X39" s="67"/>
      <c r="Y39" s="67"/>
      <c r="Z39" s="67"/>
      <c r="AA39" s="67"/>
      <c r="AB39" s="67"/>
      <c r="AC39" s="67"/>
    </row>
    <row r="40" spans="1:35" x14ac:dyDescent="0.25">
      <c r="A40" s="423" t="s">
        <v>662</v>
      </c>
      <c r="B40" s="424"/>
      <c r="C40" s="424"/>
      <c r="D40" s="424"/>
      <c r="E40" s="425"/>
      <c r="F40" s="68"/>
      <c r="G40" s="423" t="s">
        <v>662</v>
      </c>
      <c r="H40" s="424"/>
      <c r="I40" s="424"/>
      <c r="J40" s="424"/>
      <c r="K40" s="425"/>
      <c r="L40" s="68"/>
      <c r="M40" s="438" t="s">
        <v>662</v>
      </c>
      <c r="N40" s="439"/>
      <c r="O40" s="439"/>
      <c r="P40" s="439"/>
      <c r="Q40" s="440"/>
      <c r="R40" s="67"/>
      <c r="S40" s="423" t="s">
        <v>662</v>
      </c>
      <c r="T40" s="424"/>
      <c r="U40" s="424"/>
      <c r="V40" s="424"/>
      <c r="W40" s="425"/>
      <c r="X40" s="67"/>
      <c r="Y40" s="67"/>
      <c r="Z40" s="67"/>
      <c r="AA40" s="67"/>
      <c r="AB40" s="67"/>
      <c r="AC40" s="67"/>
    </row>
    <row r="41" spans="1:35" x14ac:dyDescent="0.25">
      <c r="A41" s="426"/>
      <c r="B41" s="427"/>
      <c r="C41" s="427"/>
      <c r="D41" s="427"/>
      <c r="E41" s="428"/>
      <c r="F41" s="68"/>
      <c r="G41" s="426"/>
      <c r="H41" s="427"/>
      <c r="I41" s="427"/>
      <c r="J41" s="427"/>
      <c r="K41" s="428"/>
      <c r="L41" s="68"/>
      <c r="M41" s="441"/>
      <c r="N41" s="442"/>
      <c r="O41" s="442"/>
      <c r="P41" s="442"/>
      <c r="Q41" s="443"/>
      <c r="R41" s="67"/>
      <c r="S41" s="426"/>
      <c r="T41" s="427"/>
      <c r="U41" s="427"/>
      <c r="V41" s="427"/>
      <c r="W41" s="428"/>
      <c r="X41" s="67"/>
      <c r="Y41" s="67"/>
      <c r="Z41" s="67"/>
      <c r="AA41" s="67"/>
      <c r="AB41" s="67"/>
      <c r="AC41" s="67"/>
    </row>
    <row r="42" spans="1:35" x14ac:dyDescent="0.25">
      <c r="A42" s="426"/>
      <c r="B42" s="427"/>
      <c r="C42" s="427"/>
      <c r="D42" s="427"/>
      <c r="E42" s="428"/>
      <c r="F42" s="68"/>
      <c r="G42" s="426"/>
      <c r="H42" s="427"/>
      <c r="I42" s="427"/>
      <c r="J42" s="427"/>
      <c r="K42" s="428"/>
      <c r="L42" s="68"/>
      <c r="M42" s="441"/>
      <c r="N42" s="442"/>
      <c r="O42" s="442"/>
      <c r="P42" s="442"/>
      <c r="Q42" s="443"/>
      <c r="R42" s="67"/>
      <c r="S42" s="426"/>
      <c r="T42" s="427"/>
      <c r="U42" s="427"/>
      <c r="V42" s="427"/>
      <c r="W42" s="428"/>
      <c r="X42" s="67"/>
      <c r="Y42" s="67"/>
      <c r="Z42" s="67"/>
      <c r="AA42" s="67"/>
      <c r="AB42" s="67"/>
      <c r="AC42" s="67"/>
    </row>
    <row r="43" spans="1:35" x14ac:dyDescent="0.25">
      <c r="A43" s="426"/>
      <c r="B43" s="427"/>
      <c r="C43" s="427"/>
      <c r="D43" s="427"/>
      <c r="E43" s="428"/>
      <c r="F43" s="68"/>
      <c r="G43" s="426"/>
      <c r="H43" s="427"/>
      <c r="I43" s="427"/>
      <c r="J43" s="427"/>
      <c r="K43" s="428"/>
      <c r="L43" s="68"/>
      <c r="M43" s="441"/>
      <c r="N43" s="442"/>
      <c r="O43" s="442"/>
      <c r="P43" s="442"/>
      <c r="Q43" s="443"/>
      <c r="R43" s="67"/>
      <c r="S43" s="426"/>
      <c r="T43" s="427"/>
      <c r="U43" s="427"/>
      <c r="V43" s="427"/>
      <c r="W43" s="428"/>
      <c r="X43" s="67"/>
      <c r="Y43" s="67"/>
      <c r="Z43" s="67"/>
      <c r="AA43" s="67"/>
      <c r="AB43" s="67"/>
      <c r="AC43" s="67"/>
    </row>
    <row r="44" spans="1:35" x14ac:dyDescent="0.25">
      <c r="A44" s="426"/>
      <c r="B44" s="427"/>
      <c r="C44" s="427"/>
      <c r="D44" s="427"/>
      <c r="E44" s="428"/>
      <c r="F44" s="68"/>
      <c r="G44" s="426"/>
      <c r="H44" s="427"/>
      <c r="I44" s="427"/>
      <c r="J44" s="427"/>
      <c r="K44" s="428"/>
      <c r="L44" s="68"/>
      <c r="M44" s="441"/>
      <c r="N44" s="442"/>
      <c r="O44" s="442"/>
      <c r="P44" s="442"/>
      <c r="Q44" s="443"/>
      <c r="R44" s="67"/>
      <c r="S44" s="426"/>
      <c r="T44" s="427"/>
      <c r="U44" s="427"/>
      <c r="V44" s="427"/>
      <c r="W44" s="428"/>
      <c r="X44" s="67"/>
      <c r="Y44" s="67"/>
      <c r="Z44" s="67"/>
      <c r="AA44" s="67"/>
      <c r="AB44" s="67"/>
      <c r="AC44" s="67"/>
    </row>
    <row r="45" spans="1:35" x14ac:dyDescent="0.25">
      <c r="A45" s="426"/>
      <c r="B45" s="427"/>
      <c r="C45" s="427"/>
      <c r="D45" s="427"/>
      <c r="E45" s="428"/>
      <c r="F45" s="68"/>
      <c r="G45" s="426"/>
      <c r="H45" s="427"/>
      <c r="I45" s="427"/>
      <c r="J45" s="427"/>
      <c r="K45" s="428"/>
      <c r="L45" s="68"/>
      <c r="M45" s="441"/>
      <c r="N45" s="442"/>
      <c r="O45" s="442"/>
      <c r="P45" s="442"/>
      <c r="Q45" s="443"/>
      <c r="R45" s="67"/>
      <c r="S45" s="426"/>
      <c r="T45" s="427"/>
      <c r="U45" s="427"/>
      <c r="V45" s="427"/>
      <c r="W45" s="428"/>
      <c r="X45" s="67"/>
      <c r="Y45" s="67"/>
      <c r="Z45" s="67"/>
      <c r="AA45" s="67"/>
      <c r="AB45" s="67"/>
      <c r="AC45" s="67"/>
    </row>
    <row r="46" spans="1:35" x14ac:dyDescent="0.25">
      <c r="A46" s="426"/>
      <c r="B46" s="427"/>
      <c r="C46" s="427"/>
      <c r="D46" s="427"/>
      <c r="E46" s="428"/>
      <c r="F46" s="68"/>
      <c r="G46" s="426"/>
      <c r="H46" s="427"/>
      <c r="I46" s="427"/>
      <c r="J46" s="427"/>
      <c r="K46" s="428"/>
      <c r="L46" s="68"/>
      <c r="M46" s="441"/>
      <c r="N46" s="442"/>
      <c r="O46" s="442"/>
      <c r="P46" s="442"/>
      <c r="Q46" s="443"/>
      <c r="R46" s="67"/>
      <c r="S46" s="426"/>
      <c r="T46" s="427"/>
      <c r="U46" s="427"/>
      <c r="V46" s="427"/>
      <c r="W46" s="428"/>
      <c r="X46" s="67"/>
      <c r="Y46" s="67"/>
      <c r="Z46" s="67"/>
      <c r="AA46" s="67"/>
      <c r="AB46" s="67"/>
      <c r="AC46" s="67"/>
    </row>
    <row r="47" spans="1:35" x14ac:dyDescent="0.25">
      <c r="A47" s="426"/>
      <c r="B47" s="427"/>
      <c r="C47" s="427"/>
      <c r="D47" s="427"/>
      <c r="E47" s="428"/>
      <c r="F47" s="68"/>
      <c r="G47" s="426"/>
      <c r="H47" s="427"/>
      <c r="I47" s="427"/>
      <c r="J47" s="427"/>
      <c r="K47" s="428"/>
      <c r="L47" s="68"/>
      <c r="M47" s="441"/>
      <c r="N47" s="442"/>
      <c r="O47" s="442"/>
      <c r="P47" s="442"/>
      <c r="Q47" s="443"/>
      <c r="R47" s="67"/>
      <c r="S47" s="426"/>
      <c r="T47" s="427"/>
      <c r="U47" s="427"/>
      <c r="V47" s="427"/>
      <c r="W47" s="428"/>
      <c r="X47" s="67"/>
      <c r="Y47" s="67"/>
      <c r="Z47" s="67"/>
      <c r="AA47" s="67"/>
      <c r="AB47" s="67"/>
      <c r="AC47" s="67"/>
    </row>
    <row r="48" spans="1:35" x14ac:dyDescent="0.25">
      <c r="A48" s="426"/>
      <c r="B48" s="427"/>
      <c r="C48" s="427"/>
      <c r="D48" s="427"/>
      <c r="E48" s="428"/>
      <c r="F48" s="68"/>
      <c r="G48" s="426"/>
      <c r="H48" s="427"/>
      <c r="I48" s="427"/>
      <c r="J48" s="427"/>
      <c r="K48" s="428"/>
      <c r="L48" s="68"/>
      <c r="M48" s="441"/>
      <c r="N48" s="442"/>
      <c r="O48" s="442"/>
      <c r="P48" s="442"/>
      <c r="Q48" s="443"/>
      <c r="R48" s="67"/>
      <c r="S48" s="426"/>
      <c r="T48" s="427"/>
      <c r="U48" s="427"/>
      <c r="V48" s="427"/>
      <c r="W48" s="428"/>
      <c r="X48" s="67"/>
      <c r="Y48" s="67"/>
      <c r="Z48" s="67"/>
      <c r="AA48" s="67"/>
      <c r="AB48" s="67"/>
      <c r="AC48" s="67"/>
    </row>
    <row r="49" spans="1:29" x14ac:dyDescent="0.25">
      <c r="A49" s="426"/>
      <c r="B49" s="427"/>
      <c r="C49" s="427"/>
      <c r="D49" s="427"/>
      <c r="E49" s="428"/>
      <c r="F49" s="68"/>
      <c r="G49" s="426"/>
      <c r="H49" s="427"/>
      <c r="I49" s="427"/>
      <c r="J49" s="427"/>
      <c r="K49" s="428"/>
      <c r="L49" s="68"/>
      <c r="M49" s="441"/>
      <c r="N49" s="442"/>
      <c r="O49" s="442"/>
      <c r="P49" s="442"/>
      <c r="Q49" s="443"/>
      <c r="R49" s="67"/>
      <c r="S49" s="426"/>
      <c r="T49" s="427"/>
      <c r="U49" s="427"/>
      <c r="V49" s="427"/>
      <c r="W49" s="428"/>
      <c r="X49" s="67"/>
      <c r="Y49" s="67"/>
      <c r="Z49" s="67"/>
      <c r="AA49" s="67"/>
      <c r="AB49" s="67"/>
      <c r="AC49" s="67"/>
    </row>
    <row r="50" spans="1:29" x14ac:dyDescent="0.25">
      <c r="A50" s="426"/>
      <c r="B50" s="427"/>
      <c r="C50" s="427"/>
      <c r="D50" s="427"/>
      <c r="E50" s="428"/>
      <c r="F50" s="68"/>
      <c r="G50" s="426"/>
      <c r="H50" s="427"/>
      <c r="I50" s="427"/>
      <c r="J50" s="427"/>
      <c r="K50" s="428"/>
      <c r="L50" s="68"/>
      <c r="M50" s="441"/>
      <c r="N50" s="442"/>
      <c r="O50" s="442"/>
      <c r="P50" s="442"/>
      <c r="Q50" s="443"/>
      <c r="R50" s="67"/>
      <c r="S50" s="426"/>
      <c r="T50" s="427"/>
      <c r="U50" s="427"/>
      <c r="V50" s="427"/>
      <c r="W50" s="428"/>
      <c r="X50" s="67"/>
      <c r="Y50" s="67"/>
      <c r="Z50" s="67"/>
      <c r="AA50" s="67"/>
      <c r="AB50" s="67"/>
      <c r="AC50" s="67"/>
    </row>
    <row r="51" spans="1:29" x14ac:dyDescent="0.25">
      <c r="A51" s="426"/>
      <c r="B51" s="427"/>
      <c r="C51" s="427"/>
      <c r="D51" s="427"/>
      <c r="E51" s="428"/>
      <c r="F51" s="68"/>
      <c r="G51" s="426"/>
      <c r="H51" s="427"/>
      <c r="I51" s="427"/>
      <c r="J51" s="427"/>
      <c r="K51" s="428"/>
      <c r="L51" s="68"/>
      <c r="M51" s="441"/>
      <c r="N51" s="442"/>
      <c r="O51" s="442"/>
      <c r="P51" s="442"/>
      <c r="Q51" s="443"/>
      <c r="R51" s="67"/>
      <c r="S51" s="426"/>
      <c r="T51" s="427"/>
      <c r="U51" s="427"/>
      <c r="V51" s="427"/>
      <c r="W51" s="428"/>
      <c r="X51" s="67"/>
      <c r="Y51" s="67"/>
      <c r="Z51" s="67"/>
      <c r="AA51" s="67"/>
      <c r="AB51" s="67"/>
      <c r="AC51" s="67"/>
    </row>
    <row r="52" spans="1:29" x14ac:dyDescent="0.25">
      <c r="A52" s="426"/>
      <c r="B52" s="427"/>
      <c r="C52" s="427"/>
      <c r="D52" s="427"/>
      <c r="E52" s="428"/>
      <c r="F52" s="68"/>
      <c r="G52" s="426"/>
      <c r="H52" s="427"/>
      <c r="I52" s="427"/>
      <c r="J52" s="427"/>
      <c r="K52" s="428"/>
      <c r="L52" s="68"/>
      <c r="M52" s="441"/>
      <c r="N52" s="442"/>
      <c r="O52" s="442"/>
      <c r="P52" s="442"/>
      <c r="Q52" s="443"/>
      <c r="R52" s="67"/>
      <c r="S52" s="426"/>
      <c r="T52" s="427"/>
      <c r="U52" s="427"/>
      <c r="V52" s="427"/>
      <c r="W52" s="428"/>
      <c r="X52" s="67"/>
      <c r="Y52" s="67"/>
      <c r="Z52" s="67"/>
      <c r="AA52" s="67"/>
      <c r="AB52" s="67"/>
      <c r="AC52" s="67"/>
    </row>
    <row r="53" spans="1:29" x14ac:dyDescent="0.25">
      <c r="A53" s="429"/>
      <c r="B53" s="430"/>
      <c r="C53" s="430"/>
      <c r="D53" s="430"/>
      <c r="E53" s="431"/>
      <c r="F53" s="68"/>
      <c r="G53" s="429"/>
      <c r="H53" s="430"/>
      <c r="I53" s="430"/>
      <c r="J53" s="430"/>
      <c r="K53" s="431"/>
      <c r="L53" s="68"/>
      <c r="M53" s="444"/>
      <c r="N53" s="445"/>
      <c r="O53" s="445"/>
      <c r="P53" s="445"/>
      <c r="Q53" s="446"/>
      <c r="R53" s="67"/>
      <c r="S53" s="429"/>
      <c r="T53" s="430"/>
      <c r="U53" s="430"/>
      <c r="V53" s="430"/>
      <c r="W53" s="431"/>
      <c r="X53" s="67"/>
      <c r="Y53" s="67"/>
      <c r="Z53" s="67"/>
      <c r="AA53" s="67"/>
      <c r="AB53" s="67"/>
      <c r="AC53" s="67"/>
    </row>
    <row r="54" spans="1:29" ht="15.75" x14ac:dyDescent="0.25">
      <c r="A54" s="317"/>
      <c r="B54" s="317"/>
      <c r="C54" s="317"/>
      <c r="D54" s="317"/>
      <c r="E54" s="317"/>
      <c r="F54" s="68"/>
      <c r="G54" s="317"/>
      <c r="H54" s="317"/>
      <c r="I54" s="317"/>
      <c r="J54" s="317"/>
      <c r="K54" s="317"/>
      <c r="L54" s="68"/>
      <c r="M54" s="317"/>
      <c r="N54" s="317"/>
      <c r="O54" s="317"/>
      <c r="P54" s="317"/>
      <c r="Q54" s="317"/>
      <c r="R54" s="67"/>
      <c r="S54" s="317"/>
      <c r="T54" s="317"/>
      <c r="U54" s="317"/>
      <c r="V54" s="317"/>
      <c r="W54" s="317"/>
      <c r="X54" s="67"/>
      <c r="Y54" s="67"/>
      <c r="Z54" s="67"/>
      <c r="AA54" s="67"/>
      <c r="AB54" s="67"/>
      <c r="AC54" s="67"/>
    </row>
    <row r="55" spans="1:29" x14ac:dyDescent="0.25">
      <c r="A55" s="420" t="s">
        <v>528</v>
      </c>
      <c r="B55" s="421"/>
      <c r="C55" s="421"/>
      <c r="D55" s="421"/>
      <c r="E55" s="422"/>
      <c r="F55" s="68"/>
      <c r="G55" s="420" t="s">
        <v>529</v>
      </c>
      <c r="H55" s="421"/>
      <c r="I55" s="421"/>
      <c r="J55" s="421"/>
      <c r="K55" s="422"/>
      <c r="L55" s="68"/>
      <c r="M55" s="420" t="s">
        <v>530</v>
      </c>
      <c r="N55" s="421"/>
      <c r="O55" s="421"/>
      <c r="P55" s="421"/>
      <c r="Q55" s="422"/>
      <c r="R55" s="67"/>
      <c r="S55" s="420" t="s">
        <v>531</v>
      </c>
      <c r="T55" s="421"/>
      <c r="U55" s="421"/>
      <c r="V55" s="421"/>
      <c r="W55" s="422"/>
      <c r="X55" s="67"/>
      <c r="Y55" s="67"/>
      <c r="Z55" s="67"/>
      <c r="AA55" s="67"/>
      <c r="AB55" s="67"/>
      <c r="AC55" s="67"/>
    </row>
    <row r="56" spans="1:29" x14ac:dyDescent="0.25">
      <c r="A56" s="423" t="s">
        <v>662</v>
      </c>
      <c r="B56" s="424"/>
      <c r="C56" s="424"/>
      <c r="D56" s="424"/>
      <c r="E56" s="425"/>
      <c r="F56" s="68"/>
      <c r="G56" s="423" t="s">
        <v>662</v>
      </c>
      <c r="H56" s="424"/>
      <c r="I56" s="424"/>
      <c r="J56" s="424"/>
      <c r="K56" s="425"/>
      <c r="L56" s="68"/>
      <c r="M56" s="423" t="s">
        <v>662</v>
      </c>
      <c r="N56" s="424"/>
      <c r="O56" s="424"/>
      <c r="P56" s="424"/>
      <c r="Q56" s="425"/>
      <c r="R56" s="67"/>
      <c r="S56" s="423" t="s">
        <v>662</v>
      </c>
      <c r="T56" s="424"/>
      <c r="U56" s="424"/>
      <c r="V56" s="424"/>
      <c r="W56" s="425"/>
      <c r="X56" s="67"/>
      <c r="Y56" s="67"/>
      <c r="Z56" s="67"/>
      <c r="AA56" s="67"/>
      <c r="AB56" s="67"/>
      <c r="AC56" s="67"/>
    </row>
    <row r="57" spans="1:29" x14ac:dyDescent="0.25">
      <c r="A57" s="426"/>
      <c r="B57" s="427"/>
      <c r="C57" s="427"/>
      <c r="D57" s="427"/>
      <c r="E57" s="428"/>
      <c r="F57" s="68"/>
      <c r="G57" s="426"/>
      <c r="H57" s="427"/>
      <c r="I57" s="427"/>
      <c r="J57" s="427"/>
      <c r="K57" s="428"/>
      <c r="L57" s="68"/>
      <c r="M57" s="426"/>
      <c r="N57" s="427"/>
      <c r="O57" s="427"/>
      <c r="P57" s="427"/>
      <c r="Q57" s="428"/>
      <c r="R57" s="67"/>
      <c r="S57" s="426"/>
      <c r="T57" s="427"/>
      <c r="U57" s="427"/>
      <c r="V57" s="427"/>
      <c r="W57" s="428"/>
      <c r="X57" s="67"/>
      <c r="Y57" s="67"/>
      <c r="Z57" s="67"/>
      <c r="AA57" s="67"/>
      <c r="AB57" s="67"/>
      <c r="AC57" s="67"/>
    </row>
    <row r="58" spans="1:29" x14ac:dyDescent="0.25">
      <c r="A58" s="426"/>
      <c r="B58" s="427"/>
      <c r="C58" s="427"/>
      <c r="D58" s="427"/>
      <c r="E58" s="428"/>
      <c r="F58" s="68"/>
      <c r="G58" s="426"/>
      <c r="H58" s="427"/>
      <c r="I58" s="427"/>
      <c r="J58" s="427"/>
      <c r="K58" s="428"/>
      <c r="L58" s="68"/>
      <c r="M58" s="426"/>
      <c r="N58" s="427"/>
      <c r="O58" s="427"/>
      <c r="P58" s="427"/>
      <c r="Q58" s="428"/>
      <c r="R58" s="67"/>
      <c r="S58" s="426"/>
      <c r="T58" s="427"/>
      <c r="U58" s="427"/>
      <c r="V58" s="427"/>
      <c r="W58" s="428"/>
      <c r="X58" s="67"/>
      <c r="Y58" s="67"/>
      <c r="Z58" s="67"/>
      <c r="AA58" s="67"/>
      <c r="AB58" s="67"/>
      <c r="AC58" s="67"/>
    </row>
    <row r="59" spans="1:29" x14ac:dyDescent="0.25">
      <c r="A59" s="426"/>
      <c r="B59" s="427"/>
      <c r="C59" s="427"/>
      <c r="D59" s="427"/>
      <c r="E59" s="428"/>
      <c r="F59" s="68"/>
      <c r="G59" s="426"/>
      <c r="H59" s="427"/>
      <c r="I59" s="427"/>
      <c r="J59" s="427"/>
      <c r="K59" s="428"/>
      <c r="L59" s="68"/>
      <c r="M59" s="426"/>
      <c r="N59" s="427"/>
      <c r="O59" s="427"/>
      <c r="P59" s="427"/>
      <c r="Q59" s="428"/>
      <c r="R59" s="67"/>
      <c r="S59" s="426"/>
      <c r="T59" s="427"/>
      <c r="U59" s="427"/>
      <c r="V59" s="427"/>
      <c r="W59" s="428"/>
      <c r="X59" s="67"/>
      <c r="Y59" s="67"/>
      <c r="Z59" s="67"/>
      <c r="AA59" s="67"/>
      <c r="AB59" s="67"/>
      <c r="AC59" s="67"/>
    </row>
    <row r="60" spans="1:29" x14ac:dyDescent="0.25">
      <c r="A60" s="426"/>
      <c r="B60" s="427"/>
      <c r="C60" s="427"/>
      <c r="D60" s="427"/>
      <c r="E60" s="428"/>
      <c r="F60" s="68"/>
      <c r="G60" s="426"/>
      <c r="H60" s="427"/>
      <c r="I60" s="427"/>
      <c r="J60" s="427"/>
      <c r="K60" s="428"/>
      <c r="L60" s="68"/>
      <c r="M60" s="426"/>
      <c r="N60" s="427"/>
      <c r="O60" s="427"/>
      <c r="P60" s="427"/>
      <c r="Q60" s="428"/>
      <c r="R60" s="67"/>
      <c r="S60" s="426"/>
      <c r="T60" s="427"/>
      <c r="U60" s="427"/>
      <c r="V60" s="427"/>
      <c r="W60" s="428"/>
      <c r="X60" s="67"/>
      <c r="Y60" s="67"/>
      <c r="Z60" s="67"/>
      <c r="AA60" s="67"/>
      <c r="AB60" s="67"/>
      <c r="AC60" s="67"/>
    </row>
    <row r="61" spans="1:29" x14ac:dyDescent="0.25">
      <c r="A61" s="426"/>
      <c r="B61" s="427"/>
      <c r="C61" s="427"/>
      <c r="D61" s="427"/>
      <c r="E61" s="428"/>
      <c r="F61" s="68"/>
      <c r="G61" s="426"/>
      <c r="H61" s="427"/>
      <c r="I61" s="427"/>
      <c r="J61" s="427"/>
      <c r="K61" s="428"/>
      <c r="L61" s="68"/>
      <c r="M61" s="426"/>
      <c r="N61" s="427"/>
      <c r="O61" s="427"/>
      <c r="P61" s="427"/>
      <c r="Q61" s="428"/>
      <c r="R61" s="67"/>
      <c r="S61" s="426"/>
      <c r="T61" s="427"/>
      <c r="U61" s="427"/>
      <c r="V61" s="427"/>
      <c r="W61" s="428"/>
      <c r="X61" s="67"/>
      <c r="Y61" s="67"/>
      <c r="Z61" s="67"/>
      <c r="AA61" s="67"/>
      <c r="AB61" s="67"/>
      <c r="AC61" s="67"/>
    </row>
    <row r="62" spans="1:29" x14ac:dyDescent="0.25">
      <c r="A62" s="426"/>
      <c r="B62" s="427"/>
      <c r="C62" s="427"/>
      <c r="D62" s="427"/>
      <c r="E62" s="428"/>
      <c r="F62" s="68"/>
      <c r="G62" s="426"/>
      <c r="H62" s="427"/>
      <c r="I62" s="427"/>
      <c r="J62" s="427"/>
      <c r="K62" s="428"/>
      <c r="L62" s="68"/>
      <c r="M62" s="426"/>
      <c r="N62" s="427"/>
      <c r="O62" s="427"/>
      <c r="P62" s="427"/>
      <c r="Q62" s="428"/>
      <c r="R62" s="67"/>
      <c r="S62" s="426"/>
      <c r="T62" s="427"/>
      <c r="U62" s="427"/>
      <c r="V62" s="427"/>
      <c r="W62" s="428"/>
      <c r="X62" s="67"/>
      <c r="Y62" s="67"/>
      <c r="Z62" s="67"/>
      <c r="AA62" s="67"/>
      <c r="AB62" s="67"/>
      <c r="AC62" s="67"/>
    </row>
    <row r="63" spans="1:29" x14ac:dyDescent="0.25">
      <c r="A63" s="426"/>
      <c r="B63" s="427"/>
      <c r="C63" s="427"/>
      <c r="D63" s="427"/>
      <c r="E63" s="428"/>
      <c r="F63" s="68"/>
      <c r="G63" s="426"/>
      <c r="H63" s="427"/>
      <c r="I63" s="427"/>
      <c r="J63" s="427"/>
      <c r="K63" s="428"/>
      <c r="L63" s="68"/>
      <c r="M63" s="426"/>
      <c r="N63" s="427"/>
      <c r="O63" s="427"/>
      <c r="P63" s="427"/>
      <c r="Q63" s="428"/>
      <c r="R63" s="67"/>
      <c r="S63" s="426"/>
      <c r="T63" s="427"/>
      <c r="U63" s="427"/>
      <c r="V63" s="427"/>
      <c r="W63" s="428"/>
      <c r="X63" s="67"/>
      <c r="Y63" s="67"/>
      <c r="Z63" s="67"/>
      <c r="AA63" s="67"/>
      <c r="AB63" s="67"/>
      <c r="AC63" s="67"/>
    </row>
    <row r="64" spans="1:29" x14ac:dyDescent="0.25">
      <c r="A64" s="426"/>
      <c r="B64" s="427"/>
      <c r="C64" s="427"/>
      <c r="D64" s="427"/>
      <c r="E64" s="428"/>
      <c r="F64" s="68"/>
      <c r="G64" s="426"/>
      <c r="H64" s="427"/>
      <c r="I64" s="427"/>
      <c r="J64" s="427"/>
      <c r="K64" s="428"/>
      <c r="L64" s="68"/>
      <c r="M64" s="426"/>
      <c r="N64" s="427"/>
      <c r="O64" s="427"/>
      <c r="P64" s="427"/>
      <c r="Q64" s="428"/>
      <c r="R64" s="67"/>
      <c r="S64" s="426"/>
      <c r="T64" s="427"/>
      <c r="U64" s="427"/>
      <c r="V64" s="427"/>
      <c r="W64" s="428"/>
      <c r="X64" s="67"/>
      <c r="Y64" s="67"/>
      <c r="Z64" s="67"/>
      <c r="AA64" s="67"/>
      <c r="AB64" s="67"/>
      <c r="AC64" s="67"/>
    </row>
    <row r="65" spans="1:41" x14ac:dyDescent="0.25">
      <c r="A65" s="426"/>
      <c r="B65" s="427"/>
      <c r="C65" s="427"/>
      <c r="D65" s="427"/>
      <c r="E65" s="428"/>
      <c r="F65" s="68"/>
      <c r="G65" s="426"/>
      <c r="H65" s="427"/>
      <c r="I65" s="427"/>
      <c r="J65" s="427"/>
      <c r="K65" s="428"/>
      <c r="L65" s="68"/>
      <c r="M65" s="426"/>
      <c r="N65" s="427"/>
      <c r="O65" s="427"/>
      <c r="P65" s="427"/>
      <c r="Q65" s="428"/>
      <c r="R65" s="67"/>
      <c r="S65" s="426"/>
      <c r="T65" s="427"/>
      <c r="U65" s="427"/>
      <c r="V65" s="427"/>
      <c r="W65" s="428"/>
      <c r="X65" s="67"/>
      <c r="Y65" s="67"/>
      <c r="Z65" s="67"/>
      <c r="AA65" s="67"/>
      <c r="AB65" s="67"/>
      <c r="AC65" s="67"/>
    </row>
    <row r="66" spans="1:41" x14ac:dyDescent="0.25">
      <c r="A66" s="426"/>
      <c r="B66" s="427"/>
      <c r="C66" s="427"/>
      <c r="D66" s="427"/>
      <c r="E66" s="428"/>
      <c r="F66" s="68"/>
      <c r="G66" s="426"/>
      <c r="H66" s="427"/>
      <c r="I66" s="427"/>
      <c r="J66" s="427"/>
      <c r="K66" s="428"/>
      <c r="L66" s="68"/>
      <c r="M66" s="426"/>
      <c r="N66" s="427"/>
      <c r="O66" s="427"/>
      <c r="P66" s="427"/>
      <c r="Q66" s="428"/>
      <c r="R66" s="67"/>
      <c r="S66" s="426"/>
      <c r="T66" s="427"/>
      <c r="U66" s="427"/>
      <c r="V66" s="427"/>
      <c r="W66" s="428"/>
      <c r="X66" s="67"/>
      <c r="Y66" s="67"/>
      <c r="Z66" s="67"/>
      <c r="AA66" s="67"/>
      <c r="AB66" s="67"/>
      <c r="AC66" s="67"/>
    </row>
    <row r="67" spans="1:41" x14ac:dyDescent="0.25">
      <c r="A67" s="426"/>
      <c r="B67" s="427"/>
      <c r="C67" s="427"/>
      <c r="D67" s="427"/>
      <c r="E67" s="428"/>
      <c r="F67" s="68"/>
      <c r="G67" s="426"/>
      <c r="H67" s="427"/>
      <c r="I67" s="427"/>
      <c r="J67" s="427"/>
      <c r="K67" s="428"/>
      <c r="L67" s="68"/>
      <c r="M67" s="426"/>
      <c r="N67" s="427"/>
      <c r="O67" s="427"/>
      <c r="P67" s="427"/>
      <c r="Q67" s="428"/>
      <c r="R67" s="67"/>
      <c r="S67" s="426"/>
      <c r="T67" s="427"/>
      <c r="U67" s="427"/>
      <c r="V67" s="427"/>
      <c r="W67" s="428"/>
      <c r="X67" s="67"/>
      <c r="Y67" s="67"/>
      <c r="Z67" s="67"/>
      <c r="AA67" s="67"/>
      <c r="AB67" s="67"/>
      <c r="AC67" s="67"/>
    </row>
    <row r="68" spans="1:41" x14ac:dyDescent="0.25">
      <c r="A68" s="426"/>
      <c r="B68" s="427"/>
      <c r="C68" s="427"/>
      <c r="D68" s="427"/>
      <c r="E68" s="428"/>
      <c r="F68" s="68"/>
      <c r="G68" s="426"/>
      <c r="H68" s="427"/>
      <c r="I68" s="427"/>
      <c r="J68" s="427"/>
      <c r="K68" s="428"/>
      <c r="L68" s="68"/>
      <c r="M68" s="426"/>
      <c r="N68" s="427"/>
      <c r="O68" s="427"/>
      <c r="P68" s="427"/>
      <c r="Q68" s="428"/>
      <c r="R68" s="67"/>
      <c r="S68" s="426"/>
      <c r="T68" s="427"/>
      <c r="U68" s="427"/>
      <c r="V68" s="427"/>
      <c r="W68" s="428"/>
      <c r="X68" s="67"/>
      <c r="Y68" s="67"/>
      <c r="Z68" s="67"/>
      <c r="AA68" s="67"/>
      <c r="AB68" s="67"/>
      <c r="AC68" s="67"/>
    </row>
    <row r="69" spans="1:41" x14ac:dyDescent="0.25">
      <c r="A69" s="429"/>
      <c r="B69" s="430"/>
      <c r="C69" s="430"/>
      <c r="D69" s="430"/>
      <c r="E69" s="431"/>
      <c r="F69" s="68"/>
      <c r="G69" s="429"/>
      <c r="H69" s="430"/>
      <c r="I69" s="430"/>
      <c r="J69" s="430"/>
      <c r="K69" s="431"/>
      <c r="L69" s="68"/>
      <c r="M69" s="429"/>
      <c r="N69" s="430"/>
      <c r="O69" s="430"/>
      <c r="P69" s="430"/>
      <c r="Q69" s="431"/>
      <c r="R69" s="67"/>
      <c r="S69" s="429"/>
      <c r="T69" s="430"/>
      <c r="U69" s="430"/>
      <c r="V69" s="430"/>
      <c r="W69" s="431"/>
      <c r="X69" s="67"/>
      <c r="Y69" s="67"/>
      <c r="Z69" s="67"/>
      <c r="AA69" s="67"/>
      <c r="AB69" s="67"/>
      <c r="AC69" s="67"/>
    </row>
    <row r="70" spans="1:41" ht="15.75" thickBot="1" x14ac:dyDescent="0.3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</row>
    <row r="71" spans="1:41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432" t="s">
        <v>532</v>
      </c>
      <c r="K71" s="433"/>
      <c r="L71" s="433"/>
      <c r="M71" s="433"/>
      <c r="N71" s="434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</row>
    <row r="72" spans="1:41" ht="15.75" thickBot="1" x14ac:dyDescent="0.3">
      <c r="A72" s="67"/>
      <c r="B72" s="67"/>
      <c r="C72" s="67"/>
      <c r="D72" s="67"/>
      <c r="E72" s="67"/>
      <c r="F72" s="67"/>
      <c r="G72" s="67"/>
      <c r="H72" s="67"/>
      <c r="I72" s="67"/>
      <c r="J72" s="435"/>
      <c r="K72" s="436"/>
      <c r="L72" s="436"/>
      <c r="M72" s="436"/>
      <c r="N72" s="43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</row>
    <row r="73" spans="1:41" x14ac:dyDescent="0.25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</row>
    <row r="74" spans="1:41" x14ac:dyDescent="0.25">
      <c r="A74" s="420" t="s">
        <v>524</v>
      </c>
      <c r="B74" s="421"/>
      <c r="C74" s="421"/>
      <c r="D74" s="421"/>
      <c r="E74" s="422"/>
      <c r="F74" s="68"/>
      <c r="G74" s="420" t="s">
        <v>525</v>
      </c>
      <c r="H74" s="421"/>
      <c r="I74" s="421"/>
      <c r="J74" s="421"/>
      <c r="K74" s="422"/>
      <c r="L74" s="68"/>
      <c r="M74" s="420" t="s">
        <v>526</v>
      </c>
      <c r="N74" s="421"/>
      <c r="O74" s="421"/>
      <c r="P74" s="421"/>
      <c r="Q74" s="422"/>
      <c r="R74" s="67"/>
      <c r="S74" s="420" t="s">
        <v>527</v>
      </c>
      <c r="T74" s="421"/>
      <c r="U74" s="421"/>
      <c r="V74" s="421"/>
      <c r="W74" s="422"/>
      <c r="X74" s="67"/>
      <c r="Y74" s="420" t="s">
        <v>1137</v>
      </c>
      <c r="Z74" s="421"/>
      <c r="AA74" s="421"/>
      <c r="AB74" s="421"/>
      <c r="AC74" s="422"/>
      <c r="AE74" s="420" t="s">
        <v>1137</v>
      </c>
      <c r="AF74" s="421"/>
      <c r="AG74" s="421"/>
      <c r="AH74" s="421"/>
      <c r="AI74" s="422"/>
      <c r="AK74" s="420" t="s">
        <v>1137</v>
      </c>
      <c r="AL74" s="421"/>
      <c r="AM74" s="421"/>
      <c r="AN74" s="421"/>
      <c r="AO74" s="422"/>
    </row>
    <row r="75" spans="1:41" x14ac:dyDescent="0.25">
      <c r="A75" s="423"/>
      <c r="B75" s="424"/>
      <c r="C75" s="424"/>
      <c r="D75" s="424"/>
      <c r="E75" s="425"/>
      <c r="F75" s="68"/>
      <c r="G75" s="423"/>
      <c r="H75" s="424"/>
      <c r="I75" s="424"/>
      <c r="J75" s="424"/>
      <c r="K75" s="425"/>
      <c r="L75" s="68"/>
      <c r="M75" s="423"/>
      <c r="N75" s="424"/>
      <c r="O75" s="424"/>
      <c r="P75" s="424"/>
      <c r="Q75" s="425"/>
      <c r="R75" s="67"/>
      <c r="S75" s="423"/>
      <c r="T75" s="424"/>
      <c r="U75" s="424"/>
      <c r="V75" s="424"/>
      <c r="W75" s="425"/>
      <c r="X75" s="67"/>
      <c r="Y75" s="423"/>
      <c r="Z75" s="424"/>
      <c r="AA75" s="424"/>
      <c r="AB75" s="424"/>
      <c r="AC75" s="425"/>
      <c r="AE75" s="423"/>
      <c r="AF75" s="424"/>
      <c r="AG75" s="424"/>
      <c r="AH75" s="424"/>
      <c r="AI75" s="425"/>
      <c r="AK75" s="423"/>
      <c r="AL75" s="424"/>
      <c r="AM75" s="424"/>
      <c r="AN75" s="424"/>
      <c r="AO75" s="425"/>
    </row>
    <row r="76" spans="1:41" x14ac:dyDescent="0.25">
      <c r="A76" s="426"/>
      <c r="B76" s="427"/>
      <c r="C76" s="427"/>
      <c r="D76" s="427"/>
      <c r="E76" s="428"/>
      <c r="F76" s="68"/>
      <c r="G76" s="426"/>
      <c r="H76" s="427"/>
      <c r="I76" s="427"/>
      <c r="J76" s="427"/>
      <c r="K76" s="428"/>
      <c r="L76" s="68"/>
      <c r="M76" s="426"/>
      <c r="N76" s="427"/>
      <c r="O76" s="427"/>
      <c r="P76" s="427"/>
      <c r="Q76" s="428"/>
      <c r="R76" s="67"/>
      <c r="S76" s="426"/>
      <c r="T76" s="427"/>
      <c r="U76" s="427"/>
      <c r="V76" s="427"/>
      <c r="W76" s="428"/>
      <c r="X76" s="67"/>
      <c r="Y76" s="426"/>
      <c r="Z76" s="427"/>
      <c r="AA76" s="427"/>
      <c r="AB76" s="427"/>
      <c r="AC76" s="428"/>
      <c r="AE76" s="426"/>
      <c r="AF76" s="427"/>
      <c r="AG76" s="427"/>
      <c r="AH76" s="427"/>
      <c r="AI76" s="428"/>
      <c r="AK76" s="426"/>
      <c r="AL76" s="427"/>
      <c r="AM76" s="427"/>
      <c r="AN76" s="427"/>
      <c r="AO76" s="428"/>
    </row>
    <row r="77" spans="1:41" x14ac:dyDescent="0.25">
      <c r="A77" s="426"/>
      <c r="B77" s="427"/>
      <c r="C77" s="427"/>
      <c r="D77" s="427"/>
      <c r="E77" s="428"/>
      <c r="F77" s="68"/>
      <c r="G77" s="426"/>
      <c r="H77" s="427"/>
      <c r="I77" s="427"/>
      <c r="J77" s="427"/>
      <c r="K77" s="428"/>
      <c r="L77" s="68"/>
      <c r="M77" s="426"/>
      <c r="N77" s="427"/>
      <c r="O77" s="427"/>
      <c r="P77" s="427"/>
      <c r="Q77" s="428"/>
      <c r="R77" s="67"/>
      <c r="S77" s="426"/>
      <c r="T77" s="427"/>
      <c r="U77" s="427"/>
      <c r="V77" s="427"/>
      <c r="W77" s="428"/>
      <c r="X77" s="67"/>
      <c r="Y77" s="426"/>
      <c r="Z77" s="427"/>
      <c r="AA77" s="427"/>
      <c r="AB77" s="427"/>
      <c r="AC77" s="428"/>
      <c r="AE77" s="426"/>
      <c r="AF77" s="427"/>
      <c r="AG77" s="427"/>
      <c r="AH77" s="427"/>
      <c r="AI77" s="428"/>
      <c r="AK77" s="426"/>
      <c r="AL77" s="427"/>
      <c r="AM77" s="427"/>
      <c r="AN77" s="427"/>
      <c r="AO77" s="428"/>
    </row>
    <row r="78" spans="1:41" x14ac:dyDescent="0.25">
      <c r="A78" s="426"/>
      <c r="B78" s="427"/>
      <c r="C78" s="427"/>
      <c r="D78" s="427"/>
      <c r="E78" s="428"/>
      <c r="F78" s="68"/>
      <c r="G78" s="426"/>
      <c r="H78" s="427"/>
      <c r="I78" s="427"/>
      <c r="J78" s="427"/>
      <c r="K78" s="428"/>
      <c r="L78" s="68"/>
      <c r="M78" s="426"/>
      <c r="N78" s="427"/>
      <c r="O78" s="427"/>
      <c r="P78" s="427"/>
      <c r="Q78" s="428"/>
      <c r="R78" s="67"/>
      <c r="S78" s="426"/>
      <c r="T78" s="427"/>
      <c r="U78" s="427"/>
      <c r="V78" s="427"/>
      <c r="W78" s="428"/>
      <c r="X78" s="67"/>
      <c r="Y78" s="426"/>
      <c r="Z78" s="427"/>
      <c r="AA78" s="427"/>
      <c r="AB78" s="427"/>
      <c r="AC78" s="428"/>
      <c r="AE78" s="426"/>
      <c r="AF78" s="427"/>
      <c r="AG78" s="427"/>
      <c r="AH78" s="427"/>
      <c r="AI78" s="428"/>
      <c r="AK78" s="426"/>
      <c r="AL78" s="427"/>
      <c r="AM78" s="427"/>
      <c r="AN78" s="427"/>
      <c r="AO78" s="428"/>
    </row>
    <row r="79" spans="1:41" x14ac:dyDescent="0.25">
      <c r="A79" s="426"/>
      <c r="B79" s="427"/>
      <c r="C79" s="427"/>
      <c r="D79" s="427"/>
      <c r="E79" s="428"/>
      <c r="F79" s="68"/>
      <c r="G79" s="426"/>
      <c r="H79" s="427"/>
      <c r="I79" s="427"/>
      <c r="J79" s="427"/>
      <c r="K79" s="428"/>
      <c r="L79" s="68"/>
      <c r="M79" s="426"/>
      <c r="N79" s="427"/>
      <c r="O79" s="427"/>
      <c r="P79" s="427"/>
      <c r="Q79" s="428"/>
      <c r="R79" s="67"/>
      <c r="S79" s="426"/>
      <c r="T79" s="427"/>
      <c r="U79" s="427"/>
      <c r="V79" s="427"/>
      <c r="W79" s="428"/>
      <c r="X79" s="67"/>
      <c r="Y79" s="426"/>
      <c r="Z79" s="427"/>
      <c r="AA79" s="427"/>
      <c r="AB79" s="427"/>
      <c r="AC79" s="428"/>
      <c r="AE79" s="426"/>
      <c r="AF79" s="427"/>
      <c r="AG79" s="427"/>
      <c r="AH79" s="427"/>
      <c r="AI79" s="428"/>
      <c r="AK79" s="426"/>
      <c r="AL79" s="427"/>
      <c r="AM79" s="427"/>
      <c r="AN79" s="427"/>
      <c r="AO79" s="428"/>
    </row>
    <row r="80" spans="1:41" x14ac:dyDescent="0.25">
      <c r="A80" s="426"/>
      <c r="B80" s="427"/>
      <c r="C80" s="427"/>
      <c r="D80" s="427"/>
      <c r="E80" s="428"/>
      <c r="F80" s="68"/>
      <c r="G80" s="426"/>
      <c r="H80" s="427"/>
      <c r="I80" s="427"/>
      <c r="J80" s="427"/>
      <c r="K80" s="428"/>
      <c r="L80" s="68"/>
      <c r="M80" s="426"/>
      <c r="N80" s="427"/>
      <c r="O80" s="427"/>
      <c r="P80" s="427"/>
      <c r="Q80" s="428"/>
      <c r="R80" s="67"/>
      <c r="S80" s="426"/>
      <c r="T80" s="427"/>
      <c r="U80" s="427"/>
      <c r="V80" s="427"/>
      <c r="W80" s="428"/>
      <c r="X80" s="67"/>
      <c r="Y80" s="426"/>
      <c r="Z80" s="427"/>
      <c r="AA80" s="427"/>
      <c r="AB80" s="427"/>
      <c r="AC80" s="428"/>
      <c r="AE80" s="426"/>
      <c r="AF80" s="427"/>
      <c r="AG80" s="427"/>
      <c r="AH80" s="427"/>
      <c r="AI80" s="428"/>
      <c r="AK80" s="426"/>
      <c r="AL80" s="427"/>
      <c r="AM80" s="427"/>
      <c r="AN80" s="427"/>
      <c r="AO80" s="428"/>
    </row>
    <row r="81" spans="1:41" x14ac:dyDescent="0.25">
      <c r="A81" s="426"/>
      <c r="B81" s="427"/>
      <c r="C81" s="427"/>
      <c r="D81" s="427"/>
      <c r="E81" s="428"/>
      <c r="F81" s="68"/>
      <c r="G81" s="426"/>
      <c r="H81" s="427"/>
      <c r="I81" s="427"/>
      <c r="J81" s="427"/>
      <c r="K81" s="428"/>
      <c r="L81" s="68"/>
      <c r="M81" s="426"/>
      <c r="N81" s="427"/>
      <c r="O81" s="427"/>
      <c r="P81" s="427"/>
      <c r="Q81" s="428"/>
      <c r="R81" s="67"/>
      <c r="S81" s="426"/>
      <c r="T81" s="427"/>
      <c r="U81" s="427"/>
      <c r="V81" s="427"/>
      <c r="W81" s="428"/>
      <c r="X81" s="67"/>
      <c r="Y81" s="426"/>
      <c r="Z81" s="427"/>
      <c r="AA81" s="427"/>
      <c r="AB81" s="427"/>
      <c r="AC81" s="428"/>
      <c r="AE81" s="426"/>
      <c r="AF81" s="427"/>
      <c r="AG81" s="427"/>
      <c r="AH81" s="427"/>
      <c r="AI81" s="428"/>
      <c r="AK81" s="426"/>
      <c r="AL81" s="427"/>
      <c r="AM81" s="427"/>
      <c r="AN81" s="427"/>
      <c r="AO81" s="428"/>
    </row>
    <row r="82" spans="1:41" x14ac:dyDescent="0.25">
      <c r="A82" s="426"/>
      <c r="B82" s="427"/>
      <c r="C82" s="427"/>
      <c r="D82" s="427"/>
      <c r="E82" s="428"/>
      <c r="F82" s="68"/>
      <c r="G82" s="426"/>
      <c r="H82" s="427"/>
      <c r="I82" s="427"/>
      <c r="J82" s="427"/>
      <c r="K82" s="428"/>
      <c r="L82" s="68"/>
      <c r="M82" s="426"/>
      <c r="N82" s="427"/>
      <c r="O82" s="427"/>
      <c r="P82" s="427"/>
      <c r="Q82" s="428"/>
      <c r="R82" s="67"/>
      <c r="S82" s="426"/>
      <c r="T82" s="427"/>
      <c r="U82" s="427"/>
      <c r="V82" s="427"/>
      <c r="W82" s="428"/>
      <c r="X82" s="67"/>
      <c r="Y82" s="426"/>
      <c r="Z82" s="427"/>
      <c r="AA82" s="427"/>
      <c r="AB82" s="427"/>
      <c r="AC82" s="428"/>
      <c r="AE82" s="426"/>
      <c r="AF82" s="427"/>
      <c r="AG82" s="427"/>
      <c r="AH82" s="427"/>
      <c r="AI82" s="428"/>
      <c r="AK82" s="426"/>
      <c r="AL82" s="427"/>
      <c r="AM82" s="427"/>
      <c r="AN82" s="427"/>
      <c r="AO82" s="428"/>
    </row>
    <row r="83" spans="1:41" x14ac:dyDescent="0.25">
      <c r="A83" s="426"/>
      <c r="B83" s="427"/>
      <c r="C83" s="427"/>
      <c r="D83" s="427"/>
      <c r="E83" s="428"/>
      <c r="F83" s="68"/>
      <c r="G83" s="426"/>
      <c r="H83" s="427"/>
      <c r="I83" s="427"/>
      <c r="J83" s="427"/>
      <c r="K83" s="428"/>
      <c r="L83" s="68"/>
      <c r="M83" s="426"/>
      <c r="N83" s="427"/>
      <c r="O83" s="427"/>
      <c r="P83" s="427"/>
      <c r="Q83" s="428"/>
      <c r="R83" s="67"/>
      <c r="S83" s="426"/>
      <c r="T83" s="427"/>
      <c r="U83" s="427"/>
      <c r="V83" s="427"/>
      <c r="W83" s="428"/>
      <c r="X83" s="67"/>
      <c r="Y83" s="426"/>
      <c r="Z83" s="427"/>
      <c r="AA83" s="427"/>
      <c r="AB83" s="427"/>
      <c r="AC83" s="428"/>
      <c r="AE83" s="426"/>
      <c r="AF83" s="427"/>
      <c r="AG83" s="427"/>
      <c r="AH83" s="427"/>
      <c r="AI83" s="428"/>
      <c r="AK83" s="426"/>
      <c r="AL83" s="427"/>
      <c r="AM83" s="427"/>
      <c r="AN83" s="427"/>
      <c r="AO83" s="428"/>
    </row>
    <row r="84" spans="1:41" x14ac:dyDescent="0.25">
      <c r="A84" s="426"/>
      <c r="B84" s="427"/>
      <c r="C84" s="427"/>
      <c r="D84" s="427"/>
      <c r="E84" s="428"/>
      <c r="F84" s="68"/>
      <c r="G84" s="426"/>
      <c r="H84" s="427"/>
      <c r="I84" s="427"/>
      <c r="J84" s="427"/>
      <c r="K84" s="428"/>
      <c r="L84" s="68"/>
      <c r="M84" s="426"/>
      <c r="N84" s="427"/>
      <c r="O84" s="427"/>
      <c r="P84" s="427"/>
      <c r="Q84" s="428"/>
      <c r="R84" s="67"/>
      <c r="S84" s="426"/>
      <c r="T84" s="427"/>
      <c r="U84" s="427"/>
      <c r="V84" s="427"/>
      <c r="W84" s="428"/>
      <c r="X84" s="67"/>
      <c r="Y84" s="426"/>
      <c r="Z84" s="427"/>
      <c r="AA84" s="427"/>
      <c r="AB84" s="427"/>
      <c r="AC84" s="428"/>
      <c r="AE84" s="426"/>
      <c r="AF84" s="427"/>
      <c r="AG84" s="427"/>
      <c r="AH84" s="427"/>
      <c r="AI84" s="428"/>
      <c r="AK84" s="426"/>
      <c r="AL84" s="427"/>
      <c r="AM84" s="427"/>
      <c r="AN84" s="427"/>
      <c r="AO84" s="428"/>
    </row>
    <row r="85" spans="1:41" x14ac:dyDescent="0.25">
      <c r="A85" s="426"/>
      <c r="B85" s="427"/>
      <c r="C85" s="427"/>
      <c r="D85" s="427"/>
      <c r="E85" s="428"/>
      <c r="F85" s="68"/>
      <c r="G85" s="426"/>
      <c r="H85" s="427"/>
      <c r="I85" s="427"/>
      <c r="J85" s="427"/>
      <c r="K85" s="428"/>
      <c r="L85" s="68"/>
      <c r="M85" s="426"/>
      <c r="N85" s="427"/>
      <c r="O85" s="427"/>
      <c r="P85" s="427"/>
      <c r="Q85" s="428"/>
      <c r="R85" s="67"/>
      <c r="S85" s="426"/>
      <c r="T85" s="427"/>
      <c r="U85" s="427"/>
      <c r="V85" s="427"/>
      <c r="W85" s="428"/>
      <c r="X85" s="67"/>
      <c r="Y85" s="426"/>
      <c r="Z85" s="427"/>
      <c r="AA85" s="427"/>
      <c r="AB85" s="427"/>
      <c r="AC85" s="428"/>
      <c r="AE85" s="426"/>
      <c r="AF85" s="427"/>
      <c r="AG85" s="427"/>
      <c r="AH85" s="427"/>
      <c r="AI85" s="428"/>
      <c r="AK85" s="426"/>
      <c r="AL85" s="427"/>
      <c r="AM85" s="427"/>
      <c r="AN85" s="427"/>
      <c r="AO85" s="428"/>
    </row>
    <row r="86" spans="1:41" x14ac:dyDescent="0.25">
      <c r="A86" s="426"/>
      <c r="B86" s="427"/>
      <c r="C86" s="427"/>
      <c r="D86" s="427"/>
      <c r="E86" s="428"/>
      <c r="F86" s="68"/>
      <c r="G86" s="426"/>
      <c r="H86" s="427"/>
      <c r="I86" s="427"/>
      <c r="J86" s="427"/>
      <c r="K86" s="428"/>
      <c r="L86" s="68"/>
      <c r="M86" s="426"/>
      <c r="N86" s="427"/>
      <c r="O86" s="427"/>
      <c r="P86" s="427"/>
      <c r="Q86" s="428"/>
      <c r="R86" s="67"/>
      <c r="S86" s="426"/>
      <c r="T86" s="427"/>
      <c r="U86" s="427"/>
      <c r="V86" s="427"/>
      <c r="W86" s="428"/>
      <c r="X86" s="67"/>
      <c r="Y86" s="426"/>
      <c r="Z86" s="427"/>
      <c r="AA86" s="427"/>
      <c r="AB86" s="427"/>
      <c r="AC86" s="428"/>
      <c r="AE86" s="426"/>
      <c r="AF86" s="427"/>
      <c r="AG86" s="427"/>
      <c r="AH86" s="427"/>
      <c r="AI86" s="428"/>
      <c r="AK86" s="426"/>
      <c r="AL86" s="427"/>
      <c r="AM86" s="427"/>
      <c r="AN86" s="427"/>
      <c r="AO86" s="428"/>
    </row>
    <row r="87" spans="1:41" x14ac:dyDescent="0.25">
      <c r="A87" s="426"/>
      <c r="B87" s="427"/>
      <c r="C87" s="427"/>
      <c r="D87" s="427"/>
      <c r="E87" s="428"/>
      <c r="F87" s="68"/>
      <c r="G87" s="426"/>
      <c r="H87" s="427"/>
      <c r="I87" s="427"/>
      <c r="J87" s="427"/>
      <c r="K87" s="428"/>
      <c r="L87" s="68"/>
      <c r="M87" s="426"/>
      <c r="N87" s="427"/>
      <c r="O87" s="427"/>
      <c r="P87" s="427"/>
      <c r="Q87" s="428"/>
      <c r="R87" s="67"/>
      <c r="S87" s="426"/>
      <c r="T87" s="427"/>
      <c r="U87" s="427"/>
      <c r="V87" s="427"/>
      <c r="W87" s="428"/>
      <c r="X87" s="67"/>
      <c r="Y87" s="426"/>
      <c r="Z87" s="427"/>
      <c r="AA87" s="427"/>
      <c r="AB87" s="427"/>
      <c r="AC87" s="428"/>
      <c r="AE87" s="426"/>
      <c r="AF87" s="427"/>
      <c r="AG87" s="427"/>
      <c r="AH87" s="427"/>
      <c r="AI87" s="428"/>
      <c r="AK87" s="426"/>
      <c r="AL87" s="427"/>
      <c r="AM87" s="427"/>
      <c r="AN87" s="427"/>
      <c r="AO87" s="428"/>
    </row>
    <row r="88" spans="1:41" x14ac:dyDescent="0.25">
      <c r="A88" s="429"/>
      <c r="B88" s="430"/>
      <c r="C88" s="430"/>
      <c r="D88" s="430"/>
      <c r="E88" s="431"/>
      <c r="F88" s="68"/>
      <c r="G88" s="429"/>
      <c r="H88" s="430"/>
      <c r="I88" s="430"/>
      <c r="J88" s="430"/>
      <c r="K88" s="431"/>
      <c r="L88" s="68"/>
      <c r="M88" s="429"/>
      <c r="N88" s="430"/>
      <c r="O88" s="430"/>
      <c r="P88" s="430"/>
      <c r="Q88" s="431"/>
      <c r="R88" s="67"/>
      <c r="S88" s="429"/>
      <c r="T88" s="430"/>
      <c r="U88" s="430"/>
      <c r="V88" s="430"/>
      <c r="W88" s="431"/>
      <c r="X88" s="67"/>
      <c r="Y88" s="429"/>
      <c r="Z88" s="430"/>
      <c r="AA88" s="430"/>
      <c r="AB88" s="430"/>
      <c r="AC88" s="431"/>
      <c r="AE88" s="429"/>
      <c r="AF88" s="430"/>
      <c r="AG88" s="430"/>
      <c r="AH88" s="430"/>
      <c r="AI88" s="431"/>
      <c r="AK88" s="429"/>
      <c r="AL88" s="430"/>
      <c r="AM88" s="430"/>
      <c r="AN88" s="430"/>
      <c r="AO88" s="431"/>
    </row>
    <row r="89" spans="1:41" ht="15.75" thickBot="1" x14ac:dyDescent="0.3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</row>
    <row r="90" spans="1:41" x14ac:dyDescent="0.25">
      <c r="A90" s="67"/>
      <c r="B90" s="67"/>
      <c r="C90" s="67"/>
      <c r="D90" s="67"/>
      <c r="E90" s="67"/>
      <c r="F90" s="67"/>
      <c r="G90" s="67"/>
      <c r="H90" s="67"/>
      <c r="I90" s="67"/>
      <c r="J90" s="432" t="s">
        <v>533</v>
      </c>
      <c r="K90" s="433"/>
      <c r="L90" s="433"/>
      <c r="M90" s="433"/>
      <c r="N90" s="434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</row>
    <row r="91" spans="1:41" ht="15.75" thickBot="1" x14ac:dyDescent="0.3">
      <c r="A91" s="67"/>
      <c r="B91" s="67"/>
      <c r="C91" s="67"/>
      <c r="D91" s="67"/>
      <c r="E91" s="67"/>
      <c r="F91" s="67"/>
      <c r="G91" s="67"/>
      <c r="H91" s="67"/>
      <c r="I91" s="67"/>
      <c r="J91" s="435"/>
      <c r="K91" s="436"/>
      <c r="L91" s="436"/>
      <c r="M91" s="436"/>
      <c r="N91" s="43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</row>
    <row r="92" spans="1:41" x14ac:dyDescent="0.2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</row>
    <row r="93" spans="1:41" x14ac:dyDescent="0.25">
      <c r="A93" s="420" t="s">
        <v>534</v>
      </c>
      <c r="B93" s="421"/>
      <c r="C93" s="421"/>
      <c r="D93" s="421"/>
      <c r="E93" s="422"/>
      <c r="F93" s="68"/>
      <c r="G93" s="420" t="s">
        <v>535</v>
      </c>
      <c r="H93" s="421"/>
      <c r="I93" s="421"/>
      <c r="J93" s="421"/>
      <c r="K93" s="422"/>
      <c r="L93" s="68"/>
      <c r="M93" s="420" t="s">
        <v>536</v>
      </c>
      <c r="N93" s="421"/>
      <c r="O93" s="421"/>
      <c r="P93" s="421"/>
      <c r="Q93" s="422"/>
      <c r="R93" s="67"/>
      <c r="S93" s="420" t="s">
        <v>537</v>
      </c>
      <c r="T93" s="421"/>
      <c r="U93" s="421"/>
      <c r="V93" s="421"/>
      <c r="W93" s="422"/>
      <c r="X93" s="67"/>
      <c r="Y93" s="67"/>
      <c r="Z93" s="67"/>
      <c r="AA93" s="67"/>
      <c r="AB93" s="67"/>
      <c r="AC93" s="67"/>
    </row>
    <row r="94" spans="1:41" x14ac:dyDescent="0.25">
      <c r="A94" s="423"/>
      <c r="B94" s="424"/>
      <c r="C94" s="424"/>
      <c r="D94" s="424"/>
      <c r="E94" s="425"/>
      <c r="F94" s="68"/>
      <c r="G94" s="423"/>
      <c r="H94" s="424"/>
      <c r="I94" s="424"/>
      <c r="J94" s="424"/>
      <c r="K94" s="425"/>
      <c r="L94" s="68"/>
      <c r="M94" s="423"/>
      <c r="N94" s="424"/>
      <c r="O94" s="424"/>
      <c r="P94" s="424"/>
      <c r="Q94" s="425"/>
      <c r="R94" s="67"/>
      <c r="S94" s="423"/>
      <c r="T94" s="424"/>
      <c r="U94" s="424"/>
      <c r="V94" s="424"/>
      <c r="W94" s="425"/>
      <c r="X94" s="67"/>
      <c r="Y94" s="67"/>
      <c r="Z94" s="67"/>
      <c r="AA94" s="67"/>
      <c r="AB94" s="67"/>
      <c r="AC94" s="67"/>
    </row>
    <row r="95" spans="1:41" x14ac:dyDescent="0.25">
      <c r="A95" s="426"/>
      <c r="B95" s="427"/>
      <c r="C95" s="427"/>
      <c r="D95" s="427"/>
      <c r="E95" s="428"/>
      <c r="F95" s="68"/>
      <c r="G95" s="426"/>
      <c r="H95" s="427"/>
      <c r="I95" s="427"/>
      <c r="J95" s="427"/>
      <c r="K95" s="428"/>
      <c r="L95" s="68"/>
      <c r="M95" s="426"/>
      <c r="N95" s="427"/>
      <c r="O95" s="427"/>
      <c r="P95" s="427"/>
      <c r="Q95" s="428"/>
      <c r="R95" s="67"/>
      <c r="S95" s="426"/>
      <c r="T95" s="427"/>
      <c r="U95" s="427"/>
      <c r="V95" s="427"/>
      <c r="W95" s="428"/>
      <c r="X95" s="67"/>
      <c r="Y95" s="67"/>
      <c r="Z95" s="67"/>
      <c r="AA95" s="67"/>
      <c r="AB95" s="67"/>
      <c r="AC95" s="67"/>
    </row>
    <row r="96" spans="1:41" x14ac:dyDescent="0.25">
      <c r="A96" s="426"/>
      <c r="B96" s="427"/>
      <c r="C96" s="427"/>
      <c r="D96" s="427"/>
      <c r="E96" s="428"/>
      <c r="F96" s="68"/>
      <c r="G96" s="426"/>
      <c r="H96" s="427"/>
      <c r="I96" s="427"/>
      <c r="J96" s="427"/>
      <c r="K96" s="428"/>
      <c r="L96" s="68"/>
      <c r="M96" s="426"/>
      <c r="N96" s="427"/>
      <c r="O96" s="427"/>
      <c r="P96" s="427"/>
      <c r="Q96" s="428"/>
      <c r="R96" s="67"/>
      <c r="S96" s="426"/>
      <c r="T96" s="427"/>
      <c r="U96" s="427"/>
      <c r="V96" s="427"/>
      <c r="W96" s="428"/>
      <c r="X96" s="67"/>
      <c r="Y96" s="67"/>
      <c r="Z96" s="67"/>
      <c r="AA96" s="67"/>
      <c r="AB96" s="67"/>
      <c r="AC96" s="67"/>
    </row>
    <row r="97" spans="1:29" x14ac:dyDescent="0.25">
      <c r="A97" s="426"/>
      <c r="B97" s="427"/>
      <c r="C97" s="427"/>
      <c r="D97" s="427"/>
      <c r="E97" s="428"/>
      <c r="F97" s="68"/>
      <c r="G97" s="426"/>
      <c r="H97" s="427"/>
      <c r="I97" s="427"/>
      <c r="J97" s="427"/>
      <c r="K97" s="428"/>
      <c r="L97" s="68"/>
      <c r="M97" s="426"/>
      <c r="N97" s="427"/>
      <c r="O97" s="427"/>
      <c r="P97" s="427"/>
      <c r="Q97" s="428"/>
      <c r="R97" s="67"/>
      <c r="S97" s="426"/>
      <c r="T97" s="427"/>
      <c r="U97" s="427"/>
      <c r="V97" s="427"/>
      <c r="W97" s="428"/>
      <c r="X97" s="67"/>
      <c r="Y97" s="67"/>
      <c r="Z97" s="67"/>
      <c r="AA97" s="67"/>
      <c r="AB97" s="67"/>
      <c r="AC97" s="67"/>
    </row>
    <row r="98" spans="1:29" x14ac:dyDescent="0.25">
      <c r="A98" s="426"/>
      <c r="B98" s="427"/>
      <c r="C98" s="427"/>
      <c r="D98" s="427"/>
      <c r="E98" s="428"/>
      <c r="F98" s="68"/>
      <c r="G98" s="426"/>
      <c r="H98" s="427"/>
      <c r="I98" s="427"/>
      <c r="J98" s="427"/>
      <c r="K98" s="428"/>
      <c r="L98" s="68"/>
      <c r="M98" s="426"/>
      <c r="N98" s="427"/>
      <c r="O98" s="427"/>
      <c r="P98" s="427"/>
      <c r="Q98" s="428"/>
      <c r="R98" s="67"/>
      <c r="S98" s="426"/>
      <c r="T98" s="427"/>
      <c r="U98" s="427"/>
      <c r="V98" s="427"/>
      <c r="W98" s="428"/>
      <c r="X98" s="67"/>
      <c r="Y98" s="67"/>
      <c r="Z98" s="67"/>
      <c r="AA98" s="67"/>
      <c r="AB98" s="67"/>
      <c r="AC98" s="67"/>
    </row>
    <row r="99" spans="1:29" x14ac:dyDescent="0.25">
      <c r="A99" s="426"/>
      <c r="B99" s="427"/>
      <c r="C99" s="427"/>
      <c r="D99" s="427"/>
      <c r="E99" s="428"/>
      <c r="F99" s="68"/>
      <c r="G99" s="426"/>
      <c r="H99" s="427"/>
      <c r="I99" s="427"/>
      <c r="J99" s="427"/>
      <c r="K99" s="428"/>
      <c r="L99" s="68"/>
      <c r="M99" s="426"/>
      <c r="N99" s="427"/>
      <c r="O99" s="427"/>
      <c r="P99" s="427"/>
      <c r="Q99" s="428"/>
      <c r="R99" s="67"/>
      <c r="S99" s="426"/>
      <c r="T99" s="427"/>
      <c r="U99" s="427"/>
      <c r="V99" s="427"/>
      <c r="W99" s="428"/>
      <c r="X99" s="67"/>
      <c r="Y99" s="67"/>
      <c r="Z99" s="67"/>
      <c r="AA99" s="67"/>
      <c r="AB99" s="67"/>
      <c r="AC99" s="67"/>
    </row>
    <row r="100" spans="1:29" x14ac:dyDescent="0.25">
      <c r="A100" s="426"/>
      <c r="B100" s="427"/>
      <c r="C100" s="427"/>
      <c r="D100" s="427"/>
      <c r="E100" s="428"/>
      <c r="F100" s="68"/>
      <c r="G100" s="426"/>
      <c r="H100" s="427"/>
      <c r="I100" s="427"/>
      <c r="J100" s="427"/>
      <c r="K100" s="428"/>
      <c r="L100" s="68"/>
      <c r="M100" s="426"/>
      <c r="N100" s="427"/>
      <c r="O100" s="427"/>
      <c r="P100" s="427"/>
      <c r="Q100" s="428"/>
      <c r="R100" s="67"/>
      <c r="S100" s="426"/>
      <c r="T100" s="427"/>
      <c r="U100" s="427"/>
      <c r="V100" s="427"/>
      <c r="W100" s="428"/>
      <c r="X100" s="67"/>
      <c r="Y100" s="67"/>
      <c r="Z100" s="67"/>
      <c r="AA100" s="67"/>
      <c r="AB100" s="67"/>
      <c r="AC100" s="67"/>
    </row>
    <row r="101" spans="1:29" x14ac:dyDescent="0.25">
      <c r="A101" s="426"/>
      <c r="B101" s="427"/>
      <c r="C101" s="427"/>
      <c r="D101" s="427"/>
      <c r="E101" s="428"/>
      <c r="F101" s="68"/>
      <c r="G101" s="426"/>
      <c r="H101" s="427"/>
      <c r="I101" s="427"/>
      <c r="J101" s="427"/>
      <c r="K101" s="428"/>
      <c r="L101" s="68"/>
      <c r="M101" s="426"/>
      <c r="N101" s="427"/>
      <c r="O101" s="427"/>
      <c r="P101" s="427"/>
      <c r="Q101" s="428"/>
      <c r="R101" s="67"/>
      <c r="S101" s="426"/>
      <c r="T101" s="427"/>
      <c r="U101" s="427"/>
      <c r="V101" s="427"/>
      <c r="W101" s="428"/>
      <c r="X101" s="67"/>
      <c r="Y101" s="67"/>
      <c r="Z101" s="67"/>
      <c r="AA101" s="67"/>
      <c r="AB101" s="67"/>
      <c r="AC101" s="67"/>
    </row>
    <row r="102" spans="1:29" x14ac:dyDescent="0.25">
      <c r="A102" s="426"/>
      <c r="B102" s="427"/>
      <c r="C102" s="427"/>
      <c r="D102" s="427"/>
      <c r="E102" s="428"/>
      <c r="F102" s="68"/>
      <c r="G102" s="426"/>
      <c r="H102" s="427"/>
      <c r="I102" s="427"/>
      <c r="J102" s="427"/>
      <c r="K102" s="428"/>
      <c r="L102" s="68"/>
      <c r="M102" s="426"/>
      <c r="N102" s="427"/>
      <c r="O102" s="427"/>
      <c r="P102" s="427"/>
      <c r="Q102" s="428"/>
      <c r="R102" s="67"/>
      <c r="S102" s="426"/>
      <c r="T102" s="427"/>
      <c r="U102" s="427"/>
      <c r="V102" s="427"/>
      <c r="W102" s="428"/>
      <c r="X102" s="67"/>
      <c r="Y102" s="67"/>
      <c r="Z102" s="67"/>
      <c r="AA102" s="67"/>
      <c r="AB102" s="67"/>
      <c r="AC102" s="67"/>
    </row>
    <row r="103" spans="1:29" x14ac:dyDescent="0.25">
      <c r="A103" s="426"/>
      <c r="B103" s="427"/>
      <c r="C103" s="427"/>
      <c r="D103" s="427"/>
      <c r="E103" s="428"/>
      <c r="F103" s="68"/>
      <c r="G103" s="426"/>
      <c r="H103" s="427"/>
      <c r="I103" s="427"/>
      <c r="J103" s="427"/>
      <c r="K103" s="428"/>
      <c r="L103" s="68"/>
      <c r="M103" s="426"/>
      <c r="N103" s="427"/>
      <c r="O103" s="427"/>
      <c r="P103" s="427"/>
      <c r="Q103" s="428"/>
      <c r="R103" s="67"/>
      <c r="S103" s="426"/>
      <c r="T103" s="427"/>
      <c r="U103" s="427"/>
      <c r="V103" s="427"/>
      <c r="W103" s="428"/>
      <c r="X103" s="67"/>
      <c r="Y103" s="67"/>
      <c r="Z103" s="67"/>
      <c r="AA103" s="67"/>
      <c r="AB103" s="67"/>
      <c r="AC103" s="67"/>
    </row>
    <row r="104" spans="1:29" x14ac:dyDescent="0.25">
      <c r="A104" s="426"/>
      <c r="B104" s="427"/>
      <c r="C104" s="427"/>
      <c r="D104" s="427"/>
      <c r="E104" s="428"/>
      <c r="F104" s="68"/>
      <c r="G104" s="426"/>
      <c r="H104" s="427"/>
      <c r="I104" s="427"/>
      <c r="J104" s="427"/>
      <c r="K104" s="428"/>
      <c r="L104" s="68"/>
      <c r="M104" s="426"/>
      <c r="N104" s="427"/>
      <c r="O104" s="427"/>
      <c r="P104" s="427"/>
      <c r="Q104" s="428"/>
      <c r="R104" s="67"/>
      <c r="S104" s="426"/>
      <c r="T104" s="427"/>
      <c r="U104" s="427"/>
      <c r="V104" s="427"/>
      <c r="W104" s="428"/>
      <c r="X104" s="67"/>
      <c r="Y104" s="67"/>
      <c r="Z104" s="67"/>
      <c r="AA104" s="67"/>
      <c r="AB104" s="67"/>
      <c r="AC104" s="67"/>
    </row>
    <row r="105" spans="1:29" x14ac:dyDescent="0.25">
      <c r="A105" s="426"/>
      <c r="B105" s="427"/>
      <c r="C105" s="427"/>
      <c r="D105" s="427"/>
      <c r="E105" s="428"/>
      <c r="F105" s="68"/>
      <c r="G105" s="426"/>
      <c r="H105" s="427"/>
      <c r="I105" s="427"/>
      <c r="J105" s="427"/>
      <c r="K105" s="428"/>
      <c r="L105" s="68"/>
      <c r="M105" s="426"/>
      <c r="N105" s="427"/>
      <c r="O105" s="427"/>
      <c r="P105" s="427"/>
      <c r="Q105" s="428"/>
      <c r="R105" s="67"/>
      <c r="S105" s="426"/>
      <c r="T105" s="427"/>
      <c r="U105" s="427"/>
      <c r="V105" s="427"/>
      <c r="W105" s="428"/>
      <c r="X105" s="67"/>
      <c r="Y105" s="67"/>
      <c r="Z105" s="67"/>
      <c r="AA105" s="67"/>
      <c r="AB105" s="67"/>
      <c r="AC105" s="67"/>
    </row>
    <row r="106" spans="1:29" x14ac:dyDescent="0.25">
      <c r="A106" s="426"/>
      <c r="B106" s="427"/>
      <c r="C106" s="427"/>
      <c r="D106" s="427"/>
      <c r="E106" s="428"/>
      <c r="F106" s="68"/>
      <c r="G106" s="426"/>
      <c r="H106" s="427"/>
      <c r="I106" s="427"/>
      <c r="J106" s="427"/>
      <c r="K106" s="428"/>
      <c r="L106" s="68"/>
      <c r="M106" s="426"/>
      <c r="N106" s="427"/>
      <c r="O106" s="427"/>
      <c r="P106" s="427"/>
      <c r="Q106" s="428"/>
      <c r="R106" s="67"/>
      <c r="S106" s="426"/>
      <c r="T106" s="427"/>
      <c r="U106" s="427"/>
      <c r="V106" s="427"/>
      <c r="W106" s="428"/>
      <c r="X106" s="67"/>
      <c r="Y106" s="67"/>
      <c r="Z106" s="67"/>
      <c r="AA106" s="67"/>
      <c r="AB106" s="67"/>
      <c r="AC106" s="67"/>
    </row>
    <row r="107" spans="1:29" x14ac:dyDescent="0.25">
      <c r="A107" s="429"/>
      <c r="B107" s="430"/>
      <c r="C107" s="430"/>
      <c r="D107" s="430"/>
      <c r="E107" s="431"/>
      <c r="F107" s="68"/>
      <c r="G107" s="429"/>
      <c r="H107" s="430"/>
      <c r="I107" s="430"/>
      <c r="J107" s="430"/>
      <c r="K107" s="431"/>
      <c r="L107" s="68"/>
      <c r="M107" s="429"/>
      <c r="N107" s="430"/>
      <c r="O107" s="430"/>
      <c r="P107" s="430"/>
      <c r="Q107" s="431"/>
      <c r="R107" s="67"/>
      <c r="S107" s="429"/>
      <c r="T107" s="430"/>
      <c r="U107" s="430"/>
      <c r="V107" s="430"/>
      <c r="W107" s="431"/>
      <c r="X107" s="67"/>
      <c r="Y107" s="67"/>
      <c r="Z107" s="67"/>
      <c r="AA107" s="67"/>
      <c r="AB107" s="67"/>
      <c r="AC107" s="67"/>
    </row>
    <row r="108" spans="1:29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</row>
    <row r="109" spans="1:29" x14ac:dyDescent="0.25">
      <c r="A109" s="420" t="s">
        <v>538</v>
      </c>
      <c r="B109" s="421"/>
      <c r="C109" s="421"/>
      <c r="D109" s="421"/>
      <c r="E109" s="422"/>
      <c r="F109" s="68"/>
      <c r="G109" s="420" t="s">
        <v>539</v>
      </c>
      <c r="H109" s="421"/>
      <c r="I109" s="421"/>
      <c r="J109" s="421"/>
      <c r="K109" s="422"/>
      <c r="L109" s="68"/>
      <c r="M109" s="420" t="s">
        <v>540</v>
      </c>
      <c r="N109" s="421"/>
      <c r="O109" s="421"/>
      <c r="P109" s="421"/>
      <c r="Q109" s="422"/>
      <c r="R109" s="68"/>
      <c r="S109" s="420" t="s">
        <v>541</v>
      </c>
      <c r="T109" s="421"/>
      <c r="U109" s="421"/>
      <c r="V109" s="421"/>
      <c r="W109" s="422"/>
      <c r="X109" s="67"/>
      <c r="Y109" s="67"/>
      <c r="Z109" s="67"/>
      <c r="AA109" s="67"/>
      <c r="AB109" s="67"/>
      <c r="AC109" s="67"/>
    </row>
    <row r="110" spans="1:29" x14ac:dyDescent="0.25">
      <c r="A110" s="423"/>
      <c r="B110" s="424"/>
      <c r="C110" s="424"/>
      <c r="D110" s="424"/>
      <c r="E110" s="425"/>
      <c r="F110" s="68"/>
      <c r="G110" s="423"/>
      <c r="H110" s="424"/>
      <c r="I110" s="424"/>
      <c r="J110" s="424"/>
      <c r="K110" s="425"/>
      <c r="L110" s="68"/>
      <c r="M110" s="423"/>
      <c r="N110" s="424"/>
      <c r="O110" s="424"/>
      <c r="P110" s="424"/>
      <c r="Q110" s="425"/>
      <c r="R110" s="68"/>
      <c r="S110" s="423"/>
      <c r="T110" s="424"/>
      <c r="U110" s="424"/>
      <c r="V110" s="424"/>
      <c r="W110" s="425"/>
      <c r="X110" s="67"/>
      <c r="Y110" s="67"/>
      <c r="Z110" s="67"/>
      <c r="AA110" s="67"/>
      <c r="AB110" s="67"/>
      <c r="AC110" s="67"/>
    </row>
    <row r="111" spans="1:29" x14ac:dyDescent="0.25">
      <c r="A111" s="426"/>
      <c r="B111" s="427"/>
      <c r="C111" s="427"/>
      <c r="D111" s="427"/>
      <c r="E111" s="428"/>
      <c r="F111" s="68"/>
      <c r="G111" s="426"/>
      <c r="H111" s="427"/>
      <c r="I111" s="427"/>
      <c r="J111" s="427"/>
      <c r="K111" s="428"/>
      <c r="L111" s="68"/>
      <c r="M111" s="426"/>
      <c r="N111" s="427"/>
      <c r="O111" s="427"/>
      <c r="P111" s="427"/>
      <c r="Q111" s="428"/>
      <c r="R111" s="68"/>
      <c r="S111" s="426"/>
      <c r="T111" s="427"/>
      <c r="U111" s="427"/>
      <c r="V111" s="427"/>
      <c r="W111" s="428"/>
      <c r="X111" s="67"/>
      <c r="Y111" s="67"/>
      <c r="Z111" s="67"/>
      <c r="AA111" s="67"/>
      <c r="AB111" s="67"/>
      <c r="AC111" s="67"/>
    </row>
    <row r="112" spans="1:29" x14ac:dyDescent="0.25">
      <c r="A112" s="426"/>
      <c r="B112" s="427"/>
      <c r="C112" s="427"/>
      <c r="D112" s="427"/>
      <c r="E112" s="428"/>
      <c r="F112" s="68"/>
      <c r="G112" s="426"/>
      <c r="H112" s="427"/>
      <c r="I112" s="427"/>
      <c r="J112" s="427"/>
      <c r="K112" s="428"/>
      <c r="L112" s="68"/>
      <c r="M112" s="426"/>
      <c r="N112" s="427"/>
      <c r="O112" s="427"/>
      <c r="P112" s="427"/>
      <c r="Q112" s="428"/>
      <c r="R112" s="68"/>
      <c r="S112" s="426"/>
      <c r="T112" s="427"/>
      <c r="U112" s="427"/>
      <c r="V112" s="427"/>
      <c r="W112" s="428"/>
      <c r="X112" s="67"/>
      <c r="Y112" s="67"/>
      <c r="Z112" s="67"/>
      <c r="AA112" s="67"/>
      <c r="AB112" s="67"/>
      <c r="AC112" s="67"/>
    </row>
    <row r="113" spans="1:29" x14ac:dyDescent="0.25">
      <c r="A113" s="426"/>
      <c r="B113" s="427"/>
      <c r="C113" s="427"/>
      <c r="D113" s="427"/>
      <c r="E113" s="428"/>
      <c r="F113" s="68"/>
      <c r="G113" s="426"/>
      <c r="H113" s="427"/>
      <c r="I113" s="427"/>
      <c r="J113" s="427"/>
      <c r="K113" s="428"/>
      <c r="L113" s="68"/>
      <c r="M113" s="426"/>
      <c r="N113" s="427"/>
      <c r="O113" s="427"/>
      <c r="P113" s="427"/>
      <c r="Q113" s="428"/>
      <c r="R113" s="68"/>
      <c r="S113" s="426"/>
      <c r="T113" s="427"/>
      <c r="U113" s="427"/>
      <c r="V113" s="427"/>
      <c r="W113" s="428"/>
      <c r="X113" s="67"/>
      <c r="Y113" s="67"/>
      <c r="Z113" s="67"/>
      <c r="AA113" s="67"/>
      <c r="AB113" s="67"/>
      <c r="AC113" s="67"/>
    </row>
    <row r="114" spans="1:29" x14ac:dyDescent="0.25">
      <c r="A114" s="426"/>
      <c r="B114" s="427"/>
      <c r="C114" s="427"/>
      <c r="D114" s="427"/>
      <c r="E114" s="428"/>
      <c r="F114" s="68"/>
      <c r="G114" s="426"/>
      <c r="H114" s="427"/>
      <c r="I114" s="427"/>
      <c r="J114" s="427"/>
      <c r="K114" s="428"/>
      <c r="L114" s="68"/>
      <c r="M114" s="426"/>
      <c r="N114" s="427"/>
      <c r="O114" s="427"/>
      <c r="P114" s="427"/>
      <c r="Q114" s="428"/>
      <c r="R114" s="68"/>
      <c r="S114" s="426"/>
      <c r="T114" s="427"/>
      <c r="U114" s="427"/>
      <c r="V114" s="427"/>
      <c r="W114" s="428"/>
      <c r="X114" s="67"/>
      <c r="Y114" s="67"/>
      <c r="Z114" s="67"/>
      <c r="AA114" s="67"/>
      <c r="AB114" s="67"/>
      <c r="AC114" s="67"/>
    </row>
    <row r="115" spans="1:29" x14ac:dyDescent="0.25">
      <c r="A115" s="426"/>
      <c r="B115" s="427"/>
      <c r="C115" s="427"/>
      <c r="D115" s="427"/>
      <c r="E115" s="428"/>
      <c r="F115" s="68"/>
      <c r="G115" s="426"/>
      <c r="H115" s="427"/>
      <c r="I115" s="427"/>
      <c r="J115" s="427"/>
      <c r="K115" s="428"/>
      <c r="L115" s="68"/>
      <c r="M115" s="426"/>
      <c r="N115" s="427"/>
      <c r="O115" s="427"/>
      <c r="P115" s="427"/>
      <c r="Q115" s="428"/>
      <c r="R115" s="68"/>
      <c r="S115" s="426"/>
      <c r="T115" s="427"/>
      <c r="U115" s="427"/>
      <c r="V115" s="427"/>
      <c r="W115" s="428"/>
      <c r="X115" s="67"/>
      <c r="Y115" s="67"/>
      <c r="Z115" s="67"/>
      <c r="AA115" s="67"/>
      <c r="AB115" s="67"/>
      <c r="AC115" s="67"/>
    </row>
    <row r="116" spans="1:29" x14ac:dyDescent="0.25">
      <c r="A116" s="426"/>
      <c r="B116" s="427"/>
      <c r="C116" s="427"/>
      <c r="D116" s="427"/>
      <c r="E116" s="428"/>
      <c r="F116" s="68"/>
      <c r="G116" s="426"/>
      <c r="H116" s="427"/>
      <c r="I116" s="427"/>
      <c r="J116" s="427"/>
      <c r="K116" s="428"/>
      <c r="L116" s="68"/>
      <c r="M116" s="426"/>
      <c r="N116" s="427"/>
      <c r="O116" s="427"/>
      <c r="P116" s="427"/>
      <c r="Q116" s="428"/>
      <c r="R116" s="68"/>
      <c r="S116" s="426"/>
      <c r="T116" s="427"/>
      <c r="U116" s="427"/>
      <c r="V116" s="427"/>
      <c r="W116" s="428"/>
      <c r="X116" s="67"/>
      <c r="Y116" s="67"/>
      <c r="Z116" s="67"/>
      <c r="AA116" s="67"/>
      <c r="AB116" s="67"/>
      <c r="AC116" s="67"/>
    </row>
    <row r="117" spans="1:29" x14ac:dyDescent="0.25">
      <c r="A117" s="426"/>
      <c r="B117" s="427"/>
      <c r="C117" s="427"/>
      <c r="D117" s="427"/>
      <c r="E117" s="428"/>
      <c r="F117" s="68"/>
      <c r="G117" s="426"/>
      <c r="H117" s="427"/>
      <c r="I117" s="427"/>
      <c r="J117" s="427"/>
      <c r="K117" s="428"/>
      <c r="L117" s="68"/>
      <c r="M117" s="426"/>
      <c r="N117" s="427"/>
      <c r="O117" s="427"/>
      <c r="P117" s="427"/>
      <c r="Q117" s="428"/>
      <c r="R117" s="68"/>
      <c r="S117" s="426"/>
      <c r="T117" s="427"/>
      <c r="U117" s="427"/>
      <c r="V117" s="427"/>
      <c r="W117" s="428"/>
      <c r="X117" s="67"/>
      <c r="Y117" s="67"/>
      <c r="Z117" s="67"/>
      <c r="AA117" s="67"/>
      <c r="AB117" s="67"/>
      <c r="AC117" s="67"/>
    </row>
    <row r="118" spans="1:29" x14ac:dyDescent="0.25">
      <c r="A118" s="426"/>
      <c r="B118" s="427"/>
      <c r="C118" s="427"/>
      <c r="D118" s="427"/>
      <c r="E118" s="428"/>
      <c r="F118" s="68"/>
      <c r="G118" s="426"/>
      <c r="H118" s="427"/>
      <c r="I118" s="427"/>
      <c r="J118" s="427"/>
      <c r="K118" s="428"/>
      <c r="L118" s="68"/>
      <c r="M118" s="426"/>
      <c r="N118" s="427"/>
      <c r="O118" s="427"/>
      <c r="P118" s="427"/>
      <c r="Q118" s="428"/>
      <c r="R118" s="68"/>
      <c r="S118" s="426"/>
      <c r="T118" s="427"/>
      <c r="U118" s="427"/>
      <c r="V118" s="427"/>
      <c r="W118" s="428"/>
      <c r="X118" s="67"/>
      <c r="Y118" s="67"/>
      <c r="Z118" s="67"/>
      <c r="AA118" s="67"/>
      <c r="AB118" s="67"/>
      <c r="AC118" s="67"/>
    </row>
    <row r="119" spans="1:29" x14ac:dyDescent="0.25">
      <c r="A119" s="426"/>
      <c r="B119" s="427"/>
      <c r="C119" s="427"/>
      <c r="D119" s="427"/>
      <c r="E119" s="428"/>
      <c r="F119" s="68"/>
      <c r="G119" s="426"/>
      <c r="H119" s="427"/>
      <c r="I119" s="427"/>
      <c r="J119" s="427"/>
      <c r="K119" s="428"/>
      <c r="L119" s="68"/>
      <c r="M119" s="426"/>
      <c r="N119" s="427"/>
      <c r="O119" s="427"/>
      <c r="P119" s="427"/>
      <c r="Q119" s="428"/>
      <c r="R119" s="68"/>
      <c r="S119" s="426"/>
      <c r="T119" s="427"/>
      <c r="U119" s="427"/>
      <c r="V119" s="427"/>
      <c r="W119" s="428"/>
      <c r="X119" s="67"/>
      <c r="Y119" s="67"/>
      <c r="Z119" s="67"/>
      <c r="AA119" s="67"/>
      <c r="AB119" s="67"/>
      <c r="AC119" s="67"/>
    </row>
    <row r="120" spans="1:29" x14ac:dyDescent="0.25">
      <c r="A120" s="426"/>
      <c r="B120" s="427"/>
      <c r="C120" s="427"/>
      <c r="D120" s="427"/>
      <c r="E120" s="428"/>
      <c r="F120" s="68"/>
      <c r="G120" s="426"/>
      <c r="H120" s="427"/>
      <c r="I120" s="427"/>
      <c r="J120" s="427"/>
      <c r="K120" s="428"/>
      <c r="L120" s="68"/>
      <c r="M120" s="426"/>
      <c r="N120" s="427"/>
      <c r="O120" s="427"/>
      <c r="P120" s="427"/>
      <c r="Q120" s="428"/>
      <c r="R120" s="68"/>
      <c r="S120" s="426"/>
      <c r="T120" s="427"/>
      <c r="U120" s="427"/>
      <c r="V120" s="427"/>
      <c r="W120" s="428"/>
      <c r="X120" s="67"/>
      <c r="Y120" s="67"/>
      <c r="Z120" s="67"/>
      <c r="AA120" s="67"/>
      <c r="AB120" s="67"/>
      <c r="AC120" s="67"/>
    </row>
    <row r="121" spans="1:29" x14ac:dyDescent="0.25">
      <c r="A121" s="426"/>
      <c r="B121" s="427"/>
      <c r="C121" s="427"/>
      <c r="D121" s="427"/>
      <c r="E121" s="428"/>
      <c r="F121" s="68"/>
      <c r="G121" s="426"/>
      <c r="H121" s="427"/>
      <c r="I121" s="427"/>
      <c r="J121" s="427"/>
      <c r="K121" s="428"/>
      <c r="L121" s="68"/>
      <c r="M121" s="426"/>
      <c r="N121" s="427"/>
      <c r="O121" s="427"/>
      <c r="P121" s="427"/>
      <c r="Q121" s="428"/>
      <c r="R121" s="68"/>
      <c r="S121" s="426"/>
      <c r="T121" s="427"/>
      <c r="U121" s="427"/>
      <c r="V121" s="427"/>
      <c r="W121" s="428"/>
      <c r="X121" s="67"/>
      <c r="Y121" s="67"/>
      <c r="Z121" s="67"/>
      <c r="AA121" s="67"/>
      <c r="AB121" s="67"/>
      <c r="AC121" s="67"/>
    </row>
    <row r="122" spans="1:29" x14ac:dyDescent="0.25">
      <c r="A122" s="426"/>
      <c r="B122" s="427"/>
      <c r="C122" s="427"/>
      <c r="D122" s="427"/>
      <c r="E122" s="428"/>
      <c r="F122" s="68"/>
      <c r="G122" s="426"/>
      <c r="H122" s="427"/>
      <c r="I122" s="427"/>
      <c r="J122" s="427"/>
      <c r="K122" s="428"/>
      <c r="L122" s="68"/>
      <c r="M122" s="426"/>
      <c r="N122" s="427"/>
      <c r="O122" s="427"/>
      <c r="P122" s="427"/>
      <c r="Q122" s="428"/>
      <c r="R122" s="68"/>
      <c r="S122" s="426"/>
      <c r="T122" s="427"/>
      <c r="U122" s="427"/>
      <c r="V122" s="427"/>
      <c r="W122" s="428"/>
      <c r="X122" s="67"/>
      <c r="Y122" s="67"/>
      <c r="Z122" s="67"/>
      <c r="AA122" s="67"/>
      <c r="AB122" s="67"/>
      <c r="AC122" s="67"/>
    </row>
    <row r="123" spans="1:29" x14ac:dyDescent="0.25">
      <c r="A123" s="429"/>
      <c r="B123" s="430"/>
      <c r="C123" s="430"/>
      <c r="D123" s="430"/>
      <c r="E123" s="431"/>
      <c r="F123" s="68"/>
      <c r="G123" s="429"/>
      <c r="H123" s="430"/>
      <c r="I123" s="430"/>
      <c r="J123" s="430"/>
      <c r="K123" s="431"/>
      <c r="L123" s="68"/>
      <c r="M123" s="429"/>
      <c r="N123" s="430"/>
      <c r="O123" s="430"/>
      <c r="P123" s="430"/>
      <c r="Q123" s="431"/>
      <c r="R123" s="68"/>
      <c r="S123" s="429"/>
      <c r="T123" s="430"/>
      <c r="U123" s="430"/>
      <c r="V123" s="430"/>
      <c r="W123" s="431"/>
      <c r="X123" s="67"/>
      <c r="Y123" s="67"/>
      <c r="Z123" s="67"/>
      <c r="AA123" s="67"/>
      <c r="AB123" s="67"/>
      <c r="AC123" s="67"/>
    </row>
    <row r="124" spans="1:29" ht="15.75" thickBot="1" x14ac:dyDescent="0.3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</row>
    <row r="125" spans="1:29" x14ac:dyDescent="0.25">
      <c r="A125" s="67"/>
      <c r="B125" s="67"/>
      <c r="C125" s="67"/>
      <c r="D125" s="67"/>
      <c r="E125" s="67"/>
      <c r="F125" s="67"/>
      <c r="G125" s="67"/>
      <c r="H125" s="67"/>
      <c r="I125" s="67"/>
      <c r="J125" s="432" t="s">
        <v>542</v>
      </c>
      <c r="K125" s="433"/>
      <c r="L125" s="433"/>
      <c r="M125" s="433"/>
      <c r="N125" s="434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</row>
    <row r="126" spans="1:29" ht="15.75" thickBot="1" x14ac:dyDescent="0.3">
      <c r="A126" s="67"/>
      <c r="B126" s="67"/>
      <c r="C126" s="67"/>
      <c r="D126" s="67"/>
      <c r="E126" s="67"/>
      <c r="F126" s="67"/>
      <c r="G126" s="67"/>
      <c r="H126" s="67"/>
      <c r="I126" s="67"/>
      <c r="J126" s="435"/>
      <c r="K126" s="436"/>
      <c r="L126" s="436"/>
      <c r="M126" s="436"/>
      <c r="N126" s="43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</row>
    <row r="127" spans="1:29" x14ac:dyDescent="0.25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</row>
    <row r="128" spans="1:29" x14ac:dyDescent="0.25">
      <c r="A128" s="420" t="s">
        <v>543</v>
      </c>
      <c r="B128" s="421"/>
      <c r="C128" s="421"/>
      <c r="D128" s="421"/>
      <c r="E128" s="422"/>
      <c r="F128" s="68"/>
      <c r="G128" s="420" t="s">
        <v>544</v>
      </c>
      <c r="H128" s="421"/>
      <c r="I128" s="421"/>
      <c r="J128" s="421"/>
      <c r="K128" s="422"/>
      <c r="L128" s="68"/>
      <c r="M128" s="420" t="s">
        <v>545</v>
      </c>
      <c r="N128" s="421"/>
      <c r="O128" s="421"/>
      <c r="P128" s="421"/>
      <c r="Q128" s="422"/>
      <c r="R128" s="67"/>
      <c r="S128" s="420" t="s">
        <v>546</v>
      </c>
      <c r="T128" s="421"/>
      <c r="U128" s="421"/>
      <c r="V128" s="421"/>
      <c r="W128" s="422"/>
      <c r="X128" s="67"/>
      <c r="Y128" s="67"/>
      <c r="Z128" s="67"/>
      <c r="AA128" s="67"/>
      <c r="AB128" s="67"/>
      <c r="AC128" s="67"/>
    </row>
    <row r="129" spans="1:29" x14ac:dyDescent="0.25">
      <c r="A129" s="423"/>
      <c r="B129" s="424"/>
      <c r="C129" s="424"/>
      <c r="D129" s="424"/>
      <c r="E129" s="425"/>
      <c r="F129" s="68"/>
      <c r="G129" s="423"/>
      <c r="H129" s="424"/>
      <c r="I129" s="424"/>
      <c r="J129" s="424"/>
      <c r="K129" s="425"/>
      <c r="L129" s="68"/>
      <c r="M129" s="423"/>
      <c r="N129" s="424"/>
      <c r="O129" s="424"/>
      <c r="P129" s="424"/>
      <c r="Q129" s="425"/>
      <c r="R129" s="67"/>
      <c r="S129" s="438"/>
      <c r="T129" s="439"/>
      <c r="U129" s="439"/>
      <c r="V129" s="439"/>
      <c r="W129" s="440"/>
      <c r="X129" s="67"/>
      <c r="Y129" s="67"/>
      <c r="Z129" s="67"/>
      <c r="AA129" s="67"/>
      <c r="AB129" s="67"/>
      <c r="AC129" s="67"/>
    </row>
    <row r="130" spans="1:29" x14ac:dyDescent="0.25">
      <c r="A130" s="426"/>
      <c r="B130" s="427"/>
      <c r="C130" s="427"/>
      <c r="D130" s="427"/>
      <c r="E130" s="428"/>
      <c r="F130" s="68"/>
      <c r="G130" s="426"/>
      <c r="H130" s="427"/>
      <c r="I130" s="427"/>
      <c r="J130" s="427"/>
      <c r="K130" s="428"/>
      <c r="L130" s="68"/>
      <c r="M130" s="426"/>
      <c r="N130" s="427"/>
      <c r="O130" s="427"/>
      <c r="P130" s="427"/>
      <c r="Q130" s="428"/>
      <c r="R130" s="67"/>
      <c r="S130" s="441"/>
      <c r="T130" s="442"/>
      <c r="U130" s="442"/>
      <c r="V130" s="442"/>
      <c r="W130" s="443"/>
      <c r="X130" s="67"/>
      <c r="Y130" s="67"/>
      <c r="Z130" s="67"/>
      <c r="AA130" s="67"/>
      <c r="AB130" s="67"/>
      <c r="AC130" s="67"/>
    </row>
    <row r="131" spans="1:29" x14ac:dyDescent="0.25">
      <c r="A131" s="426"/>
      <c r="B131" s="427"/>
      <c r="C131" s="427"/>
      <c r="D131" s="427"/>
      <c r="E131" s="428"/>
      <c r="F131" s="68"/>
      <c r="G131" s="426"/>
      <c r="H131" s="427"/>
      <c r="I131" s="427"/>
      <c r="J131" s="427"/>
      <c r="K131" s="428"/>
      <c r="L131" s="68"/>
      <c r="M131" s="426"/>
      <c r="N131" s="427"/>
      <c r="O131" s="427"/>
      <c r="P131" s="427"/>
      <c r="Q131" s="428"/>
      <c r="R131" s="67"/>
      <c r="S131" s="441"/>
      <c r="T131" s="442"/>
      <c r="U131" s="442"/>
      <c r="V131" s="442"/>
      <c r="W131" s="443"/>
      <c r="X131" s="67"/>
      <c r="Y131" s="67"/>
      <c r="Z131" s="67"/>
      <c r="AA131" s="67"/>
      <c r="AB131" s="67"/>
      <c r="AC131" s="67"/>
    </row>
    <row r="132" spans="1:29" x14ac:dyDescent="0.25">
      <c r="A132" s="426"/>
      <c r="B132" s="427"/>
      <c r="C132" s="427"/>
      <c r="D132" s="427"/>
      <c r="E132" s="428"/>
      <c r="F132" s="68"/>
      <c r="G132" s="426"/>
      <c r="H132" s="427"/>
      <c r="I132" s="427"/>
      <c r="J132" s="427"/>
      <c r="K132" s="428"/>
      <c r="L132" s="68"/>
      <c r="M132" s="426"/>
      <c r="N132" s="427"/>
      <c r="O132" s="427"/>
      <c r="P132" s="427"/>
      <c r="Q132" s="428"/>
      <c r="R132" s="67"/>
      <c r="S132" s="441"/>
      <c r="T132" s="442"/>
      <c r="U132" s="442"/>
      <c r="V132" s="442"/>
      <c r="W132" s="443"/>
      <c r="X132" s="67"/>
      <c r="Y132" s="67"/>
      <c r="Z132" s="67"/>
      <c r="AA132" s="67"/>
      <c r="AB132" s="67"/>
      <c r="AC132" s="67"/>
    </row>
    <row r="133" spans="1:29" x14ac:dyDescent="0.25">
      <c r="A133" s="426"/>
      <c r="B133" s="427"/>
      <c r="C133" s="427"/>
      <c r="D133" s="427"/>
      <c r="E133" s="428"/>
      <c r="F133" s="68"/>
      <c r="G133" s="426"/>
      <c r="H133" s="427"/>
      <c r="I133" s="427"/>
      <c r="J133" s="427"/>
      <c r="K133" s="428"/>
      <c r="L133" s="68"/>
      <c r="M133" s="426"/>
      <c r="N133" s="427"/>
      <c r="O133" s="427"/>
      <c r="P133" s="427"/>
      <c r="Q133" s="428"/>
      <c r="R133" s="67"/>
      <c r="S133" s="441"/>
      <c r="T133" s="442"/>
      <c r="U133" s="442"/>
      <c r="V133" s="442"/>
      <c r="W133" s="443"/>
      <c r="X133" s="67"/>
      <c r="Y133" s="67"/>
      <c r="Z133" s="67"/>
      <c r="AA133" s="67"/>
      <c r="AB133" s="67"/>
      <c r="AC133" s="67"/>
    </row>
    <row r="134" spans="1:29" x14ac:dyDescent="0.25">
      <c r="A134" s="426"/>
      <c r="B134" s="427"/>
      <c r="C134" s="427"/>
      <c r="D134" s="427"/>
      <c r="E134" s="428"/>
      <c r="F134" s="68"/>
      <c r="G134" s="426"/>
      <c r="H134" s="427"/>
      <c r="I134" s="427"/>
      <c r="J134" s="427"/>
      <c r="K134" s="428"/>
      <c r="L134" s="68"/>
      <c r="M134" s="426"/>
      <c r="N134" s="427"/>
      <c r="O134" s="427"/>
      <c r="P134" s="427"/>
      <c r="Q134" s="428"/>
      <c r="R134" s="67"/>
      <c r="S134" s="441"/>
      <c r="T134" s="442"/>
      <c r="U134" s="442"/>
      <c r="V134" s="442"/>
      <c r="W134" s="443"/>
      <c r="X134" s="67"/>
      <c r="Y134" s="67"/>
      <c r="Z134" s="67"/>
      <c r="AA134" s="67"/>
      <c r="AB134" s="67"/>
      <c r="AC134" s="67"/>
    </row>
    <row r="135" spans="1:29" x14ac:dyDescent="0.25">
      <c r="A135" s="426"/>
      <c r="B135" s="427"/>
      <c r="C135" s="427"/>
      <c r="D135" s="427"/>
      <c r="E135" s="428"/>
      <c r="F135" s="68"/>
      <c r="G135" s="426"/>
      <c r="H135" s="427"/>
      <c r="I135" s="427"/>
      <c r="J135" s="427"/>
      <c r="K135" s="428"/>
      <c r="L135" s="68"/>
      <c r="M135" s="426"/>
      <c r="N135" s="427"/>
      <c r="O135" s="427"/>
      <c r="P135" s="427"/>
      <c r="Q135" s="428"/>
      <c r="R135" s="67"/>
      <c r="S135" s="441"/>
      <c r="T135" s="442"/>
      <c r="U135" s="442"/>
      <c r="V135" s="442"/>
      <c r="W135" s="443"/>
      <c r="X135" s="67"/>
      <c r="Y135" s="67"/>
      <c r="Z135" s="67"/>
      <c r="AA135" s="67"/>
      <c r="AB135" s="67"/>
      <c r="AC135" s="67"/>
    </row>
    <row r="136" spans="1:29" x14ac:dyDescent="0.25">
      <c r="A136" s="426"/>
      <c r="B136" s="427"/>
      <c r="C136" s="427"/>
      <c r="D136" s="427"/>
      <c r="E136" s="428"/>
      <c r="F136" s="68"/>
      <c r="G136" s="426"/>
      <c r="H136" s="427"/>
      <c r="I136" s="427"/>
      <c r="J136" s="427"/>
      <c r="K136" s="428"/>
      <c r="L136" s="68"/>
      <c r="M136" s="426"/>
      <c r="N136" s="427"/>
      <c r="O136" s="427"/>
      <c r="P136" s="427"/>
      <c r="Q136" s="428"/>
      <c r="R136" s="67"/>
      <c r="S136" s="441"/>
      <c r="T136" s="442"/>
      <c r="U136" s="442"/>
      <c r="V136" s="442"/>
      <c r="W136" s="443"/>
      <c r="X136" s="67"/>
      <c r="Y136" s="67"/>
      <c r="Z136" s="67"/>
      <c r="AA136" s="67"/>
      <c r="AB136" s="67"/>
      <c r="AC136" s="67"/>
    </row>
    <row r="137" spans="1:29" x14ac:dyDescent="0.25">
      <c r="A137" s="426"/>
      <c r="B137" s="427"/>
      <c r="C137" s="427"/>
      <c r="D137" s="427"/>
      <c r="E137" s="428"/>
      <c r="F137" s="68"/>
      <c r="G137" s="426"/>
      <c r="H137" s="427"/>
      <c r="I137" s="427"/>
      <c r="J137" s="427"/>
      <c r="K137" s="428"/>
      <c r="L137" s="68"/>
      <c r="M137" s="426"/>
      <c r="N137" s="427"/>
      <c r="O137" s="427"/>
      <c r="P137" s="427"/>
      <c r="Q137" s="428"/>
      <c r="R137" s="67"/>
      <c r="S137" s="441"/>
      <c r="T137" s="442"/>
      <c r="U137" s="442"/>
      <c r="V137" s="442"/>
      <c r="W137" s="443"/>
      <c r="X137" s="67"/>
      <c r="Y137" s="67"/>
      <c r="Z137" s="67"/>
      <c r="AA137" s="67"/>
      <c r="AB137" s="67"/>
      <c r="AC137" s="67"/>
    </row>
    <row r="138" spans="1:29" x14ac:dyDescent="0.25">
      <c r="A138" s="426"/>
      <c r="B138" s="427"/>
      <c r="C138" s="427"/>
      <c r="D138" s="427"/>
      <c r="E138" s="428"/>
      <c r="F138" s="68"/>
      <c r="G138" s="426"/>
      <c r="H138" s="427"/>
      <c r="I138" s="427"/>
      <c r="J138" s="427"/>
      <c r="K138" s="428"/>
      <c r="L138" s="68"/>
      <c r="M138" s="426"/>
      <c r="N138" s="427"/>
      <c r="O138" s="427"/>
      <c r="P138" s="427"/>
      <c r="Q138" s="428"/>
      <c r="R138" s="67"/>
      <c r="S138" s="441"/>
      <c r="T138" s="442"/>
      <c r="U138" s="442"/>
      <c r="V138" s="442"/>
      <c r="W138" s="443"/>
      <c r="X138" s="67"/>
      <c r="Y138" s="67"/>
      <c r="Z138" s="67"/>
      <c r="AA138" s="67"/>
      <c r="AB138" s="67"/>
      <c r="AC138" s="67"/>
    </row>
    <row r="139" spans="1:29" x14ac:dyDescent="0.25">
      <c r="A139" s="426"/>
      <c r="B139" s="427"/>
      <c r="C139" s="427"/>
      <c r="D139" s="427"/>
      <c r="E139" s="428"/>
      <c r="F139" s="68"/>
      <c r="G139" s="426"/>
      <c r="H139" s="427"/>
      <c r="I139" s="427"/>
      <c r="J139" s="427"/>
      <c r="K139" s="428"/>
      <c r="L139" s="68"/>
      <c r="M139" s="426"/>
      <c r="N139" s="427"/>
      <c r="O139" s="427"/>
      <c r="P139" s="427"/>
      <c r="Q139" s="428"/>
      <c r="R139" s="67"/>
      <c r="S139" s="441"/>
      <c r="T139" s="442"/>
      <c r="U139" s="442"/>
      <c r="V139" s="442"/>
      <c r="W139" s="443"/>
      <c r="X139" s="67"/>
      <c r="Y139" s="67"/>
      <c r="Z139" s="67"/>
      <c r="AA139" s="67"/>
      <c r="AB139" s="67"/>
      <c r="AC139" s="67"/>
    </row>
    <row r="140" spans="1:29" x14ac:dyDescent="0.25">
      <c r="A140" s="426"/>
      <c r="B140" s="427"/>
      <c r="C140" s="427"/>
      <c r="D140" s="427"/>
      <c r="E140" s="428"/>
      <c r="F140" s="68"/>
      <c r="G140" s="426"/>
      <c r="H140" s="427"/>
      <c r="I140" s="427"/>
      <c r="J140" s="427"/>
      <c r="K140" s="428"/>
      <c r="L140" s="68"/>
      <c r="M140" s="426"/>
      <c r="N140" s="427"/>
      <c r="O140" s="427"/>
      <c r="P140" s="427"/>
      <c r="Q140" s="428"/>
      <c r="R140" s="67"/>
      <c r="S140" s="441"/>
      <c r="T140" s="442"/>
      <c r="U140" s="442"/>
      <c r="V140" s="442"/>
      <c r="W140" s="443"/>
      <c r="X140" s="67"/>
      <c r="Y140" s="67"/>
      <c r="Z140" s="67"/>
      <c r="AA140" s="67"/>
      <c r="AB140" s="67"/>
      <c r="AC140" s="67"/>
    </row>
    <row r="141" spans="1:29" x14ac:dyDescent="0.25">
      <c r="A141" s="426"/>
      <c r="B141" s="427"/>
      <c r="C141" s="427"/>
      <c r="D141" s="427"/>
      <c r="E141" s="428"/>
      <c r="F141" s="68"/>
      <c r="G141" s="426"/>
      <c r="H141" s="427"/>
      <c r="I141" s="427"/>
      <c r="J141" s="427"/>
      <c r="K141" s="428"/>
      <c r="L141" s="68"/>
      <c r="M141" s="426"/>
      <c r="N141" s="427"/>
      <c r="O141" s="427"/>
      <c r="P141" s="427"/>
      <c r="Q141" s="428"/>
      <c r="R141" s="67"/>
      <c r="S141" s="441"/>
      <c r="T141" s="442"/>
      <c r="U141" s="442"/>
      <c r="V141" s="442"/>
      <c r="W141" s="443"/>
      <c r="X141" s="67"/>
      <c r="Y141" s="67"/>
      <c r="Z141" s="67"/>
      <c r="AA141" s="67"/>
      <c r="AB141" s="67"/>
      <c r="AC141" s="67"/>
    </row>
    <row r="142" spans="1:29" x14ac:dyDescent="0.25">
      <c r="A142" s="429"/>
      <c r="B142" s="430"/>
      <c r="C142" s="430"/>
      <c r="D142" s="430"/>
      <c r="E142" s="431"/>
      <c r="F142" s="68"/>
      <c r="G142" s="429"/>
      <c r="H142" s="430"/>
      <c r="I142" s="430"/>
      <c r="J142" s="430"/>
      <c r="K142" s="431"/>
      <c r="L142" s="68"/>
      <c r="M142" s="429"/>
      <c r="N142" s="430"/>
      <c r="O142" s="430"/>
      <c r="P142" s="430"/>
      <c r="Q142" s="431"/>
      <c r="R142" s="67"/>
      <c r="S142" s="444"/>
      <c r="T142" s="445"/>
      <c r="U142" s="445"/>
      <c r="V142" s="445"/>
      <c r="W142" s="446"/>
      <c r="X142" s="67"/>
      <c r="Y142" s="67"/>
      <c r="Z142" s="67"/>
      <c r="AA142" s="67"/>
      <c r="AB142" s="67"/>
      <c r="AC142" s="67"/>
    </row>
    <row r="143" spans="1:29" x14ac:dyDescent="0.2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</row>
    <row r="144" spans="1:29" x14ac:dyDescent="0.25">
      <c r="A144" s="420" t="s">
        <v>547</v>
      </c>
      <c r="B144" s="421"/>
      <c r="C144" s="421"/>
      <c r="D144" s="421"/>
      <c r="E144" s="422"/>
      <c r="F144" s="68"/>
      <c r="G144" s="420" t="s">
        <v>548</v>
      </c>
      <c r="H144" s="421"/>
      <c r="I144" s="421"/>
      <c r="J144" s="421"/>
      <c r="K144" s="422"/>
      <c r="L144" s="68"/>
      <c r="M144" s="420" t="s">
        <v>549</v>
      </c>
      <c r="N144" s="421"/>
      <c r="O144" s="421"/>
      <c r="P144" s="421"/>
      <c r="Q144" s="422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</row>
    <row r="145" spans="1:29" x14ac:dyDescent="0.25">
      <c r="A145" s="423"/>
      <c r="B145" s="424"/>
      <c r="C145" s="424"/>
      <c r="D145" s="424"/>
      <c r="E145" s="425"/>
      <c r="F145" s="68"/>
      <c r="G145" s="423"/>
      <c r="H145" s="424"/>
      <c r="I145" s="424"/>
      <c r="J145" s="424"/>
      <c r="K145" s="425"/>
      <c r="L145" s="68"/>
      <c r="M145" s="423"/>
      <c r="N145" s="424"/>
      <c r="O145" s="424"/>
      <c r="P145" s="424"/>
      <c r="Q145" s="425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</row>
    <row r="146" spans="1:29" x14ac:dyDescent="0.25">
      <c r="A146" s="426"/>
      <c r="B146" s="427"/>
      <c r="C146" s="427"/>
      <c r="D146" s="427"/>
      <c r="E146" s="428"/>
      <c r="F146" s="68"/>
      <c r="G146" s="426"/>
      <c r="H146" s="427"/>
      <c r="I146" s="427"/>
      <c r="J146" s="427"/>
      <c r="K146" s="428"/>
      <c r="L146" s="68"/>
      <c r="M146" s="426"/>
      <c r="N146" s="427"/>
      <c r="O146" s="427"/>
      <c r="P146" s="427"/>
      <c r="Q146" s="428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</row>
    <row r="147" spans="1:29" x14ac:dyDescent="0.25">
      <c r="A147" s="426"/>
      <c r="B147" s="427"/>
      <c r="C147" s="427"/>
      <c r="D147" s="427"/>
      <c r="E147" s="428"/>
      <c r="F147" s="68"/>
      <c r="G147" s="426"/>
      <c r="H147" s="427"/>
      <c r="I147" s="427"/>
      <c r="J147" s="427"/>
      <c r="K147" s="428"/>
      <c r="L147" s="68"/>
      <c r="M147" s="426"/>
      <c r="N147" s="427"/>
      <c r="O147" s="427"/>
      <c r="P147" s="427"/>
      <c r="Q147" s="428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</row>
    <row r="148" spans="1:29" x14ac:dyDescent="0.25">
      <c r="A148" s="426"/>
      <c r="B148" s="427"/>
      <c r="C148" s="427"/>
      <c r="D148" s="427"/>
      <c r="E148" s="428"/>
      <c r="F148" s="68"/>
      <c r="G148" s="426"/>
      <c r="H148" s="427"/>
      <c r="I148" s="427"/>
      <c r="J148" s="427"/>
      <c r="K148" s="428"/>
      <c r="L148" s="68"/>
      <c r="M148" s="426"/>
      <c r="N148" s="427"/>
      <c r="O148" s="427"/>
      <c r="P148" s="427"/>
      <c r="Q148" s="428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</row>
    <row r="149" spans="1:29" x14ac:dyDescent="0.25">
      <c r="A149" s="426"/>
      <c r="B149" s="427"/>
      <c r="C149" s="427"/>
      <c r="D149" s="427"/>
      <c r="E149" s="428"/>
      <c r="F149" s="68"/>
      <c r="G149" s="426"/>
      <c r="H149" s="427"/>
      <c r="I149" s="427"/>
      <c r="J149" s="427"/>
      <c r="K149" s="428"/>
      <c r="L149" s="68"/>
      <c r="M149" s="426"/>
      <c r="N149" s="427"/>
      <c r="O149" s="427"/>
      <c r="P149" s="427"/>
      <c r="Q149" s="428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</row>
    <row r="150" spans="1:29" x14ac:dyDescent="0.25">
      <c r="A150" s="426"/>
      <c r="B150" s="427"/>
      <c r="C150" s="427"/>
      <c r="D150" s="427"/>
      <c r="E150" s="428"/>
      <c r="F150" s="68"/>
      <c r="G150" s="426"/>
      <c r="H150" s="427"/>
      <c r="I150" s="427"/>
      <c r="J150" s="427"/>
      <c r="K150" s="428"/>
      <c r="L150" s="68"/>
      <c r="M150" s="426"/>
      <c r="N150" s="427"/>
      <c r="O150" s="427"/>
      <c r="P150" s="427"/>
      <c r="Q150" s="428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</row>
    <row r="151" spans="1:29" x14ac:dyDescent="0.25">
      <c r="A151" s="426"/>
      <c r="B151" s="427"/>
      <c r="C151" s="427"/>
      <c r="D151" s="427"/>
      <c r="E151" s="428"/>
      <c r="F151" s="68"/>
      <c r="G151" s="426"/>
      <c r="H151" s="427"/>
      <c r="I151" s="427"/>
      <c r="J151" s="427"/>
      <c r="K151" s="428"/>
      <c r="L151" s="68"/>
      <c r="M151" s="426"/>
      <c r="N151" s="427"/>
      <c r="O151" s="427"/>
      <c r="P151" s="427"/>
      <c r="Q151" s="428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</row>
    <row r="152" spans="1:29" x14ac:dyDescent="0.25">
      <c r="A152" s="426"/>
      <c r="B152" s="427"/>
      <c r="C152" s="427"/>
      <c r="D152" s="427"/>
      <c r="E152" s="428"/>
      <c r="F152" s="68"/>
      <c r="G152" s="426"/>
      <c r="H152" s="427"/>
      <c r="I152" s="427"/>
      <c r="J152" s="427"/>
      <c r="K152" s="428"/>
      <c r="L152" s="68"/>
      <c r="M152" s="426"/>
      <c r="N152" s="427"/>
      <c r="O152" s="427"/>
      <c r="P152" s="427"/>
      <c r="Q152" s="428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</row>
    <row r="153" spans="1:29" x14ac:dyDescent="0.25">
      <c r="A153" s="426"/>
      <c r="B153" s="427"/>
      <c r="C153" s="427"/>
      <c r="D153" s="427"/>
      <c r="E153" s="428"/>
      <c r="F153" s="68"/>
      <c r="G153" s="426"/>
      <c r="H153" s="427"/>
      <c r="I153" s="427"/>
      <c r="J153" s="427"/>
      <c r="K153" s="428"/>
      <c r="L153" s="68"/>
      <c r="M153" s="426"/>
      <c r="N153" s="427"/>
      <c r="O153" s="427"/>
      <c r="P153" s="427"/>
      <c r="Q153" s="428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</row>
    <row r="154" spans="1:29" x14ac:dyDescent="0.25">
      <c r="A154" s="426"/>
      <c r="B154" s="427"/>
      <c r="C154" s="427"/>
      <c r="D154" s="427"/>
      <c r="E154" s="428"/>
      <c r="F154" s="68"/>
      <c r="G154" s="426"/>
      <c r="H154" s="427"/>
      <c r="I154" s="427"/>
      <c r="J154" s="427"/>
      <c r="K154" s="428"/>
      <c r="L154" s="68"/>
      <c r="M154" s="426"/>
      <c r="N154" s="427"/>
      <c r="O154" s="427"/>
      <c r="P154" s="427"/>
      <c r="Q154" s="428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</row>
    <row r="155" spans="1:29" x14ac:dyDescent="0.25">
      <c r="A155" s="426"/>
      <c r="B155" s="427"/>
      <c r="C155" s="427"/>
      <c r="D155" s="427"/>
      <c r="E155" s="428"/>
      <c r="F155" s="68"/>
      <c r="G155" s="426"/>
      <c r="H155" s="427"/>
      <c r="I155" s="427"/>
      <c r="J155" s="427"/>
      <c r="K155" s="428"/>
      <c r="L155" s="68"/>
      <c r="M155" s="426"/>
      <c r="N155" s="427"/>
      <c r="O155" s="427"/>
      <c r="P155" s="427"/>
      <c r="Q155" s="428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</row>
    <row r="156" spans="1:29" x14ac:dyDescent="0.25">
      <c r="A156" s="426"/>
      <c r="B156" s="427"/>
      <c r="C156" s="427"/>
      <c r="D156" s="427"/>
      <c r="E156" s="428"/>
      <c r="F156" s="68"/>
      <c r="G156" s="426"/>
      <c r="H156" s="427"/>
      <c r="I156" s="427"/>
      <c r="J156" s="427"/>
      <c r="K156" s="428"/>
      <c r="L156" s="68"/>
      <c r="M156" s="426"/>
      <c r="N156" s="427"/>
      <c r="O156" s="427"/>
      <c r="P156" s="427"/>
      <c r="Q156" s="428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</row>
    <row r="157" spans="1:29" x14ac:dyDescent="0.25">
      <c r="A157" s="426"/>
      <c r="B157" s="427"/>
      <c r="C157" s="427"/>
      <c r="D157" s="427"/>
      <c r="E157" s="428"/>
      <c r="F157" s="68"/>
      <c r="G157" s="426"/>
      <c r="H157" s="427"/>
      <c r="I157" s="427"/>
      <c r="J157" s="427"/>
      <c r="K157" s="428"/>
      <c r="L157" s="68"/>
      <c r="M157" s="426"/>
      <c r="N157" s="427"/>
      <c r="O157" s="427"/>
      <c r="P157" s="427"/>
      <c r="Q157" s="428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</row>
    <row r="158" spans="1:29" x14ac:dyDescent="0.25">
      <c r="A158" s="429"/>
      <c r="B158" s="430"/>
      <c r="C158" s="430"/>
      <c r="D158" s="430"/>
      <c r="E158" s="431"/>
      <c r="F158" s="68"/>
      <c r="G158" s="429"/>
      <c r="H158" s="430"/>
      <c r="I158" s="430"/>
      <c r="J158" s="430"/>
      <c r="K158" s="431"/>
      <c r="L158" s="68"/>
      <c r="M158" s="429"/>
      <c r="N158" s="430"/>
      <c r="O158" s="430"/>
      <c r="P158" s="430"/>
      <c r="Q158" s="431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</row>
    <row r="159" spans="1:29" x14ac:dyDescent="0.25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</row>
    <row r="160" spans="1:29" x14ac:dyDescent="0.25">
      <c r="A160" s="420" t="s">
        <v>550</v>
      </c>
      <c r="B160" s="421"/>
      <c r="C160" s="421"/>
      <c r="D160" s="421"/>
      <c r="E160" s="422"/>
      <c r="F160" s="68"/>
      <c r="G160" s="420" t="s">
        <v>551</v>
      </c>
      <c r="H160" s="421"/>
      <c r="I160" s="421"/>
      <c r="J160" s="421"/>
      <c r="K160" s="422"/>
      <c r="L160" s="68"/>
      <c r="M160" s="420" t="s">
        <v>552</v>
      </c>
      <c r="N160" s="421"/>
      <c r="O160" s="421"/>
      <c r="P160" s="421"/>
      <c r="Q160" s="422"/>
      <c r="R160" s="67"/>
      <c r="S160" s="420" t="s">
        <v>553</v>
      </c>
      <c r="T160" s="421"/>
      <c r="U160" s="421"/>
      <c r="V160" s="421"/>
      <c r="W160" s="422"/>
      <c r="X160" s="67"/>
      <c r="Y160" s="67"/>
      <c r="Z160" s="67"/>
      <c r="AA160" s="67"/>
      <c r="AB160" s="67"/>
      <c r="AC160" s="67"/>
    </row>
    <row r="161" spans="1:29" ht="14.45" customHeight="1" x14ac:dyDescent="0.25">
      <c r="A161" s="423"/>
      <c r="B161" s="424"/>
      <c r="C161" s="424"/>
      <c r="D161" s="424"/>
      <c r="E161" s="425"/>
      <c r="F161" s="68"/>
      <c r="G161" s="318"/>
      <c r="H161" s="319"/>
      <c r="I161" s="319"/>
      <c r="J161" s="319"/>
      <c r="K161" s="320"/>
      <c r="L161" s="68"/>
      <c r="M161" s="423"/>
      <c r="N161" s="424"/>
      <c r="O161" s="424"/>
      <c r="P161" s="424"/>
      <c r="Q161" s="425"/>
      <c r="R161" s="67"/>
      <c r="S161" s="423"/>
      <c r="T161" s="424"/>
      <c r="U161" s="424"/>
      <c r="V161" s="424"/>
      <c r="W161" s="425"/>
      <c r="X161" s="67"/>
      <c r="Y161" s="67"/>
      <c r="Z161" s="67"/>
      <c r="AA161" s="67"/>
      <c r="AB161" s="67"/>
      <c r="AC161" s="67"/>
    </row>
    <row r="162" spans="1:29" ht="14.45" customHeight="1" x14ac:dyDescent="0.25">
      <c r="A162" s="426"/>
      <c r="B162" s="427"/>
      <c r="C162" s="427"/>
      <c r="D162" s="427"/>
      <c r="E162" s="428"/>
      <c r="F162" s="68"/>
      <c r="G162" s="321"/>
      <c r="H162" s="322"/>
      <c r="I162" s="322"/>
      <c r="J162" s="322"/>
      <c r="K162" s="323"/>
      <c r="L162" s="68"/>
      <c r="M162" s="426"/>
      <c r="N162" s="427"/>
      <c r="O162" s="427"/>
      <c r="P162" s="427"/>
      <c r="Q162" s="428"/>
      <c r="R162" s="67"/>
      <c r="S162" s="426"/>
      <c r="T162" s="427"/>
      <c r="U162" s="427"/>
      <c r="V162" s="427"/>
      <c r="W162" s="428"/>
      <c r="X162" s="67"/>
      <c r="Y162" s="67"/>
      <c r="Z162" s="67"/>
      <c r="AA162" s="67"/>
      <c r="AB162" s="67"/>
      <c r="AC162" s="67"/>
    </row>
    <row r="163" spans="1:29" ht="14.45" customHeight="1" x14ac:dyDescent="0.25">
      <c r="A163" s="426"/>
      <c r="B163" s="427"/>
      <c r="C163" s="427"/>
      <c r="D163" s="427"/>
      <c r="E163" s="428"/>
      <c r="F163" s="68"/>
      <c r="G163" s="321"/>
      <c r="H163" s="322"/>
      <c r="I163" s="322"/>
      <c r="J163" s="322"/>
      <c r="K163" s="323"/>
      <c r="L163" s="68"/>
      <c r="M163" s="426"/>
      <c r="N163" s="427"/>
      <c r="O163" s="427"/>
      <c r="P163" s="427"/>
      <c r="Q163" s="428"/>
      <c r="R163" s="67"/>
      <c r="S163" s="426"/>
      <c r="T163" s="427"/>
      <c r="U163" s="427"/>
      <c r="V163" s="427"/>
      <c r="W163" s="428"/>
      <c r="X163" s="67"/>
      <c r="Y163" s="67"/>
      <c r="Z163" s="67"/>
      <c r="AA163" s="67"/>
      <c r="AB163" s="67"/>
      <c r="AC163" s="67"/>
    </row>
    <row r="164" spans="1:29" ht="14.45" customHeight="1" x14ac:dyDescent="0.25">
      <c r="A164" s="426"/>
      <c r="B164" s="427"/>
      <c r="C164" s="427"/>
      <c r="D164" s="427"/>
      <c r="E164" s="428"/>
      <c r="F164" s="68"/>
      <c r="G164" s="321"/>
      <c r="H164" s="322"/>
      <c r="I164" s="322"/>
      <c r="J164" s="322"/>
      <c r="K164" s="323"/>
      <c r="L164" s="68"/>
      <c r="M164" s="426"/>
      <c r="N164" s="427"/>
      <c r="O164" s="427"/>
      <c r="P164" s="427"/>
      <c r="Q164" s="428"/>
      <c r="R164" s="67"/>
      <c r="S164" s="426"/>
      <c r="T164" s="427"/>
      <c r="U164" s="427"/>
      <c r="V164" s="427"/>
      <c r="W164" s="428"/>
      <c r="X164" s="67"/>
      <c r="Y164" s="67"/>
      <c r="Z164" s="67"/>
      <c r="AA164" s="67"/>
      <c r="AB164" s="67"/>
      <c r="AC164" s="67"/>
    </row>
    <row r="165" spans="1:29" ht="14.45" customHeight="1" x14ac:dyDescent="0.25">
      <c r="A165" s="426"/>
      <c r="B165" s="427"/>
      <c r="C165" s="427"/>
      <c r="D165" s="427"/>
      <c r="E165" s="428"/>
      <c r="F165" s="68"/>
      <c r="G165" s="321"/>
      <c r="H165" s="322"/>
      <c r="I165" s="322"/>
      <c r="J165" s="322"/>
      <c r="K165" s="323"/>
      <c r="L165" s="68"/>
      <c r="M165" s="426"/>
      <c r="N165" s="427"/>
      <c r="O165" s="427"/>
      <c r="P165" s="427"/>
      <c r="Q165" s="428"/>
      <c r="R165" s="67"/>
      <c r="S165" s="426"/>
      <c r="T165" s="427"/>
      <c r="U165" s="427"/>
      <c r="V165" s="427"/>
      <c r="W165" s="428"/>
      <c r="X165" s="67"/>
      <c r="Y165" s="67"/>
      <c r="Z165" s="67"/>
      <c r="AA165" s="67"/>
      <c r="AB165" s="67"/>
      <c r="AC165" s="67"/>
    </row>
    <row r="166" spans="1:29" ht="14.45" customHeight="1" x14ac:dyDescent="0.25">
      <c r="A166" s="426"/>
      <c r="B166" s="427"/>
      <c r="C166" s="427"/>
      <c r="D166" s="427"/>
      <c r="E166" s="428"/>
      <c r="F166" s="68"/>
      <c r="G166" s="321"/>
      <c r="H166" s="322"/>
      <c r="I166" s="322"/>
      <c r="J166" s="322"/>
      <c r="K166" s="323"/>
      <c r="L166" s="68"/>
      <c r="M166" s="426"/>
      <c r="N166" s="427"/>
      <c r="O166" s="427"/>
      <c r="P166" s="427"/>
      <c r="Q166" s="428"/>
      <c r="R166" s="67"/>
      <c r="S166" s="426"/>
      <c r="T166" s="427"/>
      <c r="U166" s="427"/>
      <c r="V166" s="427"/>
      <c r="W166" s="428"/>
      <c r="X166" s="67"/>
      <c r="Y166" s="67"/>
      <c r="Z166" s="67"/>
      <c r="AA166" s="67"/>
      <c r="AB166" s="67"/>
      <c r="AC166" s="67"/>
    </row>
    <row r="167" spans="1:29" ht="14.45" customHeight="1" x14ac:dyDescent="0.25">
      <c r="A167" s="426"/>
      <c r="B167" s="427"/>
      <c r="C167" s="427"/>
      <c r="D167" s="427"/>
      <c r="E167" s="428"/>
      <c r="F167" s="68"/>
      <c r="G167" s="321"/>
      <c r="H167" s="322"/>
      <c r="I167" s="322"/>
      <c r="J167" s="322"/>
      <c r="K167" s="323"/>
      <c r="L167" s="68"/>
      <c r="M167" s="426"/>
      <c r="N167" s="427"/>
      <c r="O167" s="427"/>
      <c r="P167" s="427"/>
      <c r="Q167" s="428"/>
      <c r="R167" s="67"/>
      <c r="S167" s="426"/>
      <c r="T167" s="427"/>
      <c r="U167" s="427"/>
      <c r="V167" s="427"/>
      <c r="W167" s="428"/>
      <c r="X167" s="67"/>
      <c r="Y167" s="67"/>
      <c r="Z167" s="67"/>
      <c r="AA167" s="67"/>
      <c r="AB167" s="67"/>
      <c r="AC167" s="67"/>
    </row>
    <row r="168" spans="1:29" ht="14.45" customHeight="1" x14ac:dyDescent="0.25">
      <c r="A168" s="426"/>
      <c r="B168" s="427"/>
      <c r="C168" s="427"/>
      <c r="D168" s="427"/>
      <c r="E168" s="428"/>
      <c r="F168" s="68"/>
      <c r="G168" s="321"/>
      <c r="H168" s="322"/>
      <c r="I168" s="322"/>
      <c r="J168" s="322"/>
      <c r="K168" s="323"/>
      <c r="L168" s="68"/>
      <c r="M168" s="426"/>
      <c r="N168" s="427"/>
      <c r="O168" s="427"/>
      <c r="P168" s="427"/>
      <c r="Q168" s="428"/>
      <c r="R168" s="67"/>
      <c r="S168" s="426"/>
      <c r="T168" s="427"/>
      <c r="U168" s="427"/>
      <c r="V168" s="427"/>
      <c r="W168" s="428"/>
      <c r="X168" s="67"/>
      <c r="Y168" s="67"/>
      <c r="Z168" s="67"/>
      <c r="AA168" s="67"/>
      <c r="AB168" s="67"/>
      <c r="AC168" s="67"/>
    </row>
    <row r="169" spans="1:29" ht="14.45" customHeight="1" x14ac:dyDescent="0.25">
      <c r="A169" s="426"/>
      <c r="B169" s="427"/>
      <c r="C169" s="427"/>
      <c r="D169" s="427"/>
      <c r="E169" s="428"/>
      <c r="F169" s="68"/>
      <c r="G169" s="321"/>
      <c r="H169" s="322"/>
      <c r="I169" s="322"/>
      <c r="J169" s="322"/>
      <c r="K169" s="323"/>
      <c r="L169" s="68"/>
      <c r="M169" s="426"/>
      <c r="N169" s="427"/>
      <c r="O169" s="427"/>
      <c r="P169" s="427"/>
      <c r="Q169" s="428"/>
      <c r="R169" s="67"/>
      <c r="S169" s="426"/>
      <c r="T169" s="427"/>
      <c r="U169" s="427"/>
      <c r="V169" s="427"/>
      <c r="W169" s="428"/>
      <c r="X169" s="67"/>
      <c r="Y169" s="67"/>
      <c r="Z169" s="67"/>
      <c r="AA169" s="67"/>
      <c r="AB169" s="67"/>
      <c r="AC169" s="67"/>
    </row>
    <row r="170" spans="1:29" ht="14.45" customHeight="1" x14ac:dyDescent="0.25">
      <c r="A170" s="426"/>
      <c r="B170" s="427"/>
      <c r="C170" s="427"/>
      <c r="D170" s="427"/>
      <c r="E170" s="428"/>
      <c r="F170" s="68"/>
      <c r="G170" s="321"/>
      <c r="H170" s="322"/>
      <c r="I170" s="322"/>
      <c r="J170" s="322"/>
      <c r="K170" s="323"/>
      <c r="L170" s="68"/>
      <c r="M170" s="426"/>
      <c r="N170" s="427"/>
      <c r="O170" s="427"/>
      <c r="P170" s="427"/>
      <c r="Q170" s="428"/>
      <c r="R170" s="67"/>
      <c r="S170" s="426"/>
      <c r="T170" s="427"/>
      <c r="U170" s="427"/>
      <c r="V170" s="427"/>
      <c r="W170" s="428"/>
      <c r="X170" s="67"/>
      <c r="Y170" s="67"/>
      <c r="Z170" s="67"/>
      <c r="AA170" s="67"/>
      <c r="AB170" s="67"/>
      <c r="AC170" s="67"/>
    </row>
    <row r="171" spans="1:29" ht="14.45" customHeight="1" x14ac:dyDescent="0.25">
      <c r="A171" s="426"/>
      <c r="B171" s="427"/>
      <c r="C171" s="427"/>
      <c r="D171" s="427"/>
      <c r="E171" s="428"/>
      <c r="F171" s="68"/>
      <c r="G171" s="321"/>
      <c r="H171" s="322"/>
      <c r="I171" s="322"/>
      <c r="J171" s="322"/>
      <c r="K171" s="323"/>
      <c r="L171" s="68"/>
      <c r="M171" s="426"/>
      <c r="N171" s="427"/>
      <c r="O171" s="427"/>
      <c r="P171" s="427"/>
      <c r="Q171" s="428"/>
      <c r="R171" s="67"/>
      <c r="S171" s="426"/>
      <c r="T171" s="427"/>
      <c r="U171" s="427"/>
      <c r="V171" s="427"/>
      <c r="W171" s="428"/>
      <c r="X171" s="67"/>
      <c r="Y171" s="67"/>
      <c r="Z171" s="67"/>
      <c r="AA171" s="67"/>
      <c r="AB171" s="67"/>
      <c r="AC171" s="67"/>
    </row>
    <row r="172" spans="1:29" ht="14.45" customHeight="1" x14ac:dyDescent="0.25">
      <c r="A172" s="426"/>
      <c r="B172" s="427"/>
      <c r="C172" s="427"/>
      <c r="D172" s="427"/>
      <c r="E172" s="428"/>
      <c r="F172" s="68"/>
      <c r="G172" s="321"/>
      <c r="H172" s="322"/>
      <c r="I172" s="322"/>
      <c r="J172" s="322"/>
      <c r="K172" s="323"/>
      <c r="L172" s="68"/>
      <c r="M172" s="426"/>
      <c r="N172" s="427"/>
      <c r="O172" s="427"/>
      <c r="P172" s="427"/>
      <c r="Q172" s="428"/>
      <c r="R172" s="67"/>
      <c r="S172" s="426"/>
      <c r="T172" s="427"/>
      <c r="U172" s="427"/>
      <c r="V172" s="427"/>
      <c r="W172" s="428"/>
      <c r="X172" s="67"/>
      <c r="Y172" s="67"/>
      <c r="Z172" s="67"/>
      <c r="AA172" s="67"/>
      <c r="AB172" s="67"/>
      <c r="AC172" s="67"/>
    </row>
    <row r="173" spans="1:29" ht="14.45" customHeight="1" x14ac:dyDescent="0.25">
      <c r="A173" s="426"/>
      <c r="B173" s="427"/>
      <c r="C173" s="427"/>
      <c r="D173" s="427"/>
      <c r="E173" s="428"/>
      <c r="F173" s="68"/>
      <c r="G173" s="321"/>
      <c r="H173" s="322"/>
      <c r="I173" s="322"/>
      <c r="J173" s="322"/>
      <c r="K173" s="323"/>
      <c r="L173" s="68"/>
      <c r="M173" s="426"/>
      <c r="N173" s="427"/>
      <c r="O173" s="427"/>
      <c r="P173" s="427"/>
      <c r="Q173" s="428"/>
      <c r="R173" s="67"/>
      <c r="S173" s="426"/>
      <c r="T173" s="427"/>
      <c r="U173" s="427"/>
      <c r="V173" s="427"/>
      <c r="W173" s="428"/>
      <c r="X173" s="67"/>
      <c r="Y173" s="67"/>
      <c r="Z173" s="67"/>
      <c r="AA173" s="67"/>
      <c r="AB173" s="67"/>
      <c r="AC173" s="67"/>
    </row>
    <row r="174" spans="1:29" ht="14.45" customHeight="1" x14ac:dyDescent="0.25">
      <c r="A174" s="429"/>
      <c r="B174" s="430"/>
      <c r="C174" s="430"/>
      <c r="D174" s="430"/>
      <c r="E174" s="431"/>
      <c r="F174" s="68"/>
      <c r="G174" s="324"/>
      <c r="H174" s="325"/>
      <c r="I174" s="325"/>
      <c r="J174" s="325"/>
      <c r="K174" s="326"/>
      <c r="L174" s="68"/>
      <c r="M174" s="429"/>
      <c r="N174" s="430"/>
      <c r="O174" s="430"/>
      <c r="P174" s="430"/>
      <c r="Q174" s="431"/>
      <c r="R174" s="67"/>
      <c r="S174" s="429"/>
      <c r="T174" s="430"/>
      <c r="U174" s="430"/>
      <c r="V174" s="430"/>
      <c r="W174" s="431"/>
      <c r="X174" s="67"/>
      <c r="Y174" s="67"/>
      <c r="Z174" s="67"/>
      <c r="AA174" s="67"/>
      <c r="AB174" s="67"/>
      <c r="AC174" s="67"/>
    </row>
    <row r="175" spans="1:29" ht="15.75" thickBot="1" x14ac:dyDescent="0.3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</row>
    <row r="176" spans="1:29" x14ac:dyDescent="0.25">
      <c r="A176" s="67"/>
      <c r="B176" s="67"/>
      <c r="C176" s="67"/>
      <c r="D176" s="67"/>
      <c r="E176" s="67"/>
      <c r="F176" s="67"/>
      <c r="G176" s="67"/>
      <c r="H176" s="67"/>
      <c r="I176" s="67"/>
      <c r="J176" s="432" t="s">
        <v>554</v>
      </c>
      <c r="K176" s="433"/>
      <c r="L176" s="433"/>
      <c r="M176" s="433"/>
      <c r="N176" s="434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</row>
    <row r="177" spans="1:29" ht="15.75" thickBot="1" x14ac:dyDescent="0.3">
      <c r="A177" s="67"/>
      <c r="B177" s="67"/>
      <c r="C177" s="67"/>
      <c r="D177" s="67"/>
      <c r="E177" s="67"/>
      <c r="F177" s="67"/>
      <c r="G177" s="67"/>
      <c r="H177" s="67"/>
      <c r="I177" s="67"/>
      <c r="J177" s="435"/>
      <c r="K177" s="436"/>
      <c r="L177" s="436"/>
      <c r="M177" s="436"/>
      <c r="N177" s="43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</row>
    <row r="178" spans="1:29" x14ac:dyDescent="0.25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</row>
    <row r="179" spans="1:29" x14ac:dyDescent="0.25">
      <c r="A179" s="420" t="s">
        <v>555</v>
      </c>
      <c r="B179" s="421"/>
      <c r="C179" s="421"/>
      <c r="D179" s="421"/>
      <c r="E179" s="422"/>
      <c r="F179" s="68"/>
      <c r="G179" s="420" t="s">
        <v>556</v>
      </c>
      <c r="H179" s="421"/>
      <c r="I179" s="421"/>
      <c r="J179" s="421"/>
      <c r="K179" s="422"/>
      <c r="L179" s="68"/>
      <c r="M179" s="420" t="s">
        <v>557</v>
      </c>
      <c r="N179" s="421"/>
      <c r="O179" s="421"/>
      <c r="P179" s="421"/>
      <c r="Q179" s="422"/>
      <c r="R179" s="67"/>
      <c r="S179" s="420" t="s">
        <v>558</v>
      </c>
      <c r="T179" s="421"/>
      <c r="U179" s="421"/>
      <c r="V179" s="421"/>
      <c r="W179" s="422"/>
      <c r="X179" s="67"/>
      <c r="Y179" s="420" t="s">
        <v>559</v>
      </c>
      <c r="Z179" s="421"/>
      <c r="AA179" s="421"/>
      <c r="AB179" s="421"/>
      <c r="AC179" s="422"/>
    </row>
    <row r="180" spans="1:29" x14ac:dyDescent="0.25">
      <c r="A180" s="423"/>
      <c r="B180" s="424"/>
      <c r="C180" s="424"/>
      <c r="D180" s="424"/>
      <c r="E180" s="425"/>
      <c r="F180" s="68"/>
      <c r="G180" s="423"/>
      <c r="H180" s="424"/>
      <c r="I180" s="424"/>
      <c r="J180" s="424"/>
      <c r="K180" s="425"/>
      <c r="L180" s="68"/>
      <c r="M180" s="423"/>
      <c r="N180" s="424"/>
      <c r="O180" s="424"/>
      <c r="P180" s="424"/>
      <c r="Q180" s="425"/>
      <c r="R180" s="67"/>
      <c r="S180" s="423"/>
      <c r="T180" s="424"/>
      <c r="U180" s="424"/>
      <c r="V180" s="424"/>
      <c r="W180" s="425"/>
      <c r="X180" s="67"/>
      <c r="Y180" s="423"/>
      <c r="Z180" s="424"/>
      <c r="AA180" s="424"/>
      <c r="AB180" s="424"/>
      <c r="AC180" s="425"/>
    </row>
    <row r="181" spans="1:29" x14ac:dyDescent="0.25">
      <c r="A181" s="426"/>
      <c r="B181" s="427"/>
      <c r="C181" s="427"/>
      <c r="D181" s="427"/>
      <c r="E181" s="428"/>
      <c r="F181" s="68"/>
      <c r="G181" s="426"/>
      <c r="H181" s="427"/>
      <c r="I181" s="427"/>
      <c r="J181" s="427"/>
      <c r="K181" s="428"/>
      <c r="L181" s="68"/>
      <c r="M181" s="426"/>
      <c r="N181" s="427"/>
      <c r="O181" s="427"/>
      <c r="P181" s="427"/>
      <c r="Q181" s="428"/>
      <c r="R181" s="67"/>
      <c r="S181" s="426"/>
      <c r="T181" s="427"/>
      <c r="U181" s="427"/>
      <c r="V181" s="427"/>
      <c r="W181" s="428"/>
      <c r="X181" s="67"/>
      <c r="Y181" s="426"/>
      <c r="Z181" s="427"/>
      <c r="AA181" s="427"/>
      <c r="AB181" s="427"/>
      <c r="AC181" s="428"/>
    </row>
    <row r="182" spans="1:29" x14ac:dyDescent="0.25">
      <c r="A182" s="426"/>
      <c r="B182" s="427"/>
      <c r="C182" s="427"/>
      <c r="D182" s="427"/>
      <c r="E182" s="428"/>
      <c r="F182" s="68"/>
      <c r="G182" s="426"/>
      <c r="H182" s="427"/>
      <c r="I182" s="427"/>
      <c r="J182" s="427"/>
      <c r="K182" s="428"/>
      <c r="L182" s="68"/>
      <c r="M182" s="426"/>
      <c r="N182" s="427"/>
      <c r="O182" s="427"/>
      <c r="P182" s="427"/>
      <c r="Q182" s="428"/>
      <c r="R182" s="67"/>
      <c r="S182" s="426"/>
      <c r="T182" s="427"/>
      <c r="U182" s="427"/>
      <c r="V182" s="427"/>
      <c r="W182" s="428"/>
      <c r="X182" s="67"/>
      <c r="Y182" s="426"/>
      <c r="Z182" s="427"/>
      <c r="AA182" s="427"/>
      <c r="AB182" s="427"/>
      <c r="AC182" s="428"/>
    </row>
    <row r="183" spans="1:29" x14ac:dyDescent="0.25">
      <c r="A183" s="426"/>
      <c r="B183" s="427"/>
      <c r="C183" s="427"/>
      <c r="D183" s="427"/>
      <c r="E183" s="428"/>
      <c r="F183" s="68"/>
      <c r="G183" s="426"/>
      <c r="H183" s="427"/>
      <c r="I183" s="427"/>
      <c r="J183" s="427"/>
      <c r="K183" s="428"/>
      <c r="L183" s="68"/>
      <c r="M183" s="426"/>
      <c r="N183" s="427"/>
      <c r="O183" s="427"/>
      <c r="P183" s="427"/>
      <c r="Q183" s="428"/>
      <c r="R183" s="67"/>
      <c r="S183" s="426"/>
      <c r="T183" s="427"/>
      <c r="U183" s="427"/>
      <c r="V183" s="427"/>
      <c r="W183" s="428"/>
      <c r="X183" s="67"/>
      <c r="Y183" s="426"/>
      <c r="Z183" s="427"/>
      <c r="AA183" s="427"/>
      <c r="AB183" s="427"/>
      <c r="AC183" s="428"/>
    </row>
    <row r="184" spans="1:29" x14ac:dyDescent="0.25">
      <c r="A184" s="426"/>
      <c r="B184" s="427"/>
      <c r="C184" s="427"/>
      <c r="D184" s="427"/>
      <c r="E184" s="428"/>
      <c r="F184" s="68"/>
      <c r="G184" s="426"/>
      <c r="H184" s="427"/>
      <c r="I184" s="427"/>
      <c r="J184" s="427"/>
      <c r="K184" s="428"/>
      <c r="L184" s="68"/>
      <c r="M184" s="426"/>
      <c r="N184" s="427"/>
      <c r="O184" s="427"/>
      <c r="P184" s="427"/>
      <c r="Q184" s="428"/>
      <c r="R184" s="67"/>
      <c r="S184" s="426"/>
      <c r="T184" s="427"/>
      <c r="U184" s="427"/>
      <c r="V184" s="427"/>
      <c r="W184" s="428"/>
      <c r="X184" s="67"/>
      <c r="Y184" s="426"/>
      <c r="Z184" s="427"/>
      <c r="AA184" s="427"/>
      <c r="AB184" s="427"/>
      <c r="AC184" s="428"/>
    </row>
    <row r="185" spans="1:29" x14ac:dyDescent="0.25">
      <c r="A185" s="426"/>
      <c r="B185" s="427"/>
      <c r="C185" s="427"/>
      <c r="D185" s="427"/>
      <c r="E185" s="428"/>
      <c r="F185" s="68"/>
      <c r="G185" s="426"/>
      <c r="H185" s="427"/>
      <c r="I185" s="427"/>
      <c r="J185" s="427"/>
      <c r="K185" s="428"/>
      <c r="L185" s="68"/>
      <c r="M185" s="426"/>
      <c r="N185" s="427"/>
      <c r="O185" s="427"/>
      <c r="P185" s="427"/>
      <c r="Q185" s="428"/>
      <c r="R185" s="67"/>
      <c r="S185" s="426"/>
      <c r="T185" s="427"/>
      <c r="U185" s="427"/>
      <c r="V185" s="427"/>
      <c r="W185" s="428"/>
      <c r="X185" s="67"/>
      <c r="Y185" s="426"/>
      <c r="Z185" s="427"/>
      <c r="AA185" s="427"/>
      <c r="AB185" s="427"/>
      <c r="AC185" s="428"/>
    </row>
    <row r="186" spans="1:29" x14ac:dyDescent="0.25">
      <c r="A186" s="426"/>
      <c r="B186" s="427"/>
      <c r="C186" s="427"/>
      <c r="D186" s="427"/>
      <c r="E186" s="428"/>
      <c r="F186" s="68"/>
      <c r="G186" s="426"/>
      <c r="H186" s="427"/>
      <c r="I186" s="427"/>
      <c r="J186" s="427"/>
      <c r="K186" s="428"/>
      <c r="L186" s="68"/>
      <c r="M186" s="426"/>
      <c r="N186" s="427"/>
      <c r="O186" s="427"/>
      <c r="P186" s="427"/>
      <c r="Q186" s="428"/>
      <c r="R186" s="67"/>
      <c r="S186" s="426"/>
      <c r="T186" s="427"/>
      <c r="U186" s="427"/>
      <c r="V186" s="427"/>
      <c r="W186" s="428"/>
      <c r="X186" s="67"/>
      <c r="Y186" s="426"/>
      <c r="Z186" s="427"/>
      <c r="AA186" s="427"/>
      <c r="AB186" s="427"/>
      <c r="AC186" s="428"/>
    </row>
    <row r="187" spans="1:29" x14ac:dyDescent="0.25">
      <c r="A187" s="426"/>
      <c r="B187" s="427"/>
      <c r="C187" s="427"/>
      <c r="D187" s="427"/>
      <c r="E187" s="428"/>
      <c r="F187" s="68"/>
      <c r="G187" s="426"/>
      <c r="H187" s="427"/>
      <c r="I187" s="427"/>
      <c r="J187" s="427"/>
      <c r="K187" s="428"/>
      <c r="L187" s="68"/>
      <c r="M187" s="426"/>
      <c r="N187" s="427"/>
      <c r="O187" s="427"/>
      <c r="P187" s="427"/>
      <c r="Q187" s="428"/>
      <c r="R187" s="67"/>
      <c r="S187" s="426"/>
      <c r="T187" s="427"/>
      <c r="U187" s="427"/>
      <c r="V187" s="427"/>
      <c r="W187" s="428"/>
      <c r="X187" s="67"/>
      <c r="Y187" s="426"/>
      <c r="Z187" s="427"/>
      <c r="AA187" s="427"/>
      <c r="AB187" s="427"/>
      <c r="AC187" s="428"/>
    </row>
    <row r="188" spans="1:29" x14ac:dyDescent="0.25">
      <c r="A188" s="426"/>
      <c r="B188" s="427"/>
      <c r="C188" s="427"/>
      <c r="D188" s="427"/>
      <c r="E188" s="428"/>
      <c r="F188" s="68"/>
      <c r="G188" s="426"/>
      <c r="H188" s="427"/>
      <c r="I188" s="427"/>
      <c r="J188" s="427"/>
      <c r="K188" s="428"/>
      <c r="L188" s="68"/>
      <c r="M188" s="426"/>
      <c r="N188" s="427"/>
      <c r="O188" s="427"/>
      <c r="P188" s="427"/>
      <c r="Q188" s="428"/>
      <c r="R188" s="67"/>
      <c r="S188" s="426"/>
      <c r="T188" s="427"/>
      <c r="U188" s="427"/>
      <c r="V188" s="427"/>
      <c r="W188" s="428"/>
      <c r="X188" s="67"/>
      <c r="Y188" s="426"/>
      <c r="Z188" s="427"/>
      <c r="AA188" s="427"/>
      <c r="AB188" s="427"/>
      <c r="AC188" s="428"/>
    </row>
    <row r="189" spans="1:29" x14ac:dyDescent="0.25">
      <c r="A189" s="426"/>
      <c r="B189" s="427"/>
      <c r="C189" s="427"/>
      <c r="D189" s="427"/>
      <c r="E189" s="428"/>
      <c r="F189" s="68"/>
      <c r="G189" s="426"/>
      <c r="H189" s="427"/>
      <c r="I189" s="427"/>
      <c r="J189" s="427"/>
      <c r="K189" s="428"/>
      <c r="L189" s="68"/>
      <c r="M189" s="426"/>
      <c r="N189" s="427"/>
      <c r="O189" s="427"/>
      <c r="P189" s="427"/>
      <c r="Q189" s="428"/>
      <c r="R189" s="67"/>
      <c r="S189" s="426"/>
      <c r="T189" s="427"/>
      <c r="U189" s="427"/>
      <c r="V189" s="427"/>
      <c r="W189" s="428"/>
      <c r="X189" s="67"/>
      <c r="Y189" s="426"/>
      <c r="Z189" s="427"/>
      <c r="AA189" s="427"/>
      <c r="AB189" s="427"/>
      <c r="AC189" s="428"/>
    </row>
    <row r="190" spans="1:29" x14ac:dyDescent="0.25">
      <c r="A190" s="426"/>
      <c r="B190" s="427"/>
      <c r="C190" s="427"/>
      <c r="D190" s="427"/>
      <c r="E190" s="428"/>
      <c r="F190" s="68"/>
      <c r="G190" s="426"/>
      <c r="H190" s="427"/>
      <c r="I190" s="427"/>
      <c r="J190" s="427"/>
      <c r="K190" s="428"/>
      <c r="L190" s="68"/>
      <c r="M190" s="426"/>
      <c r="N190" s="427"/>
      <c r="O190" s="427"/>
      <c r="P190" s="427"/>
      <c r="Q190" s="428"/>
      <c r="R190" s="67"/>
      <c r="S190" s="426"/>
      <c r="T190" s="427"/>
      <c r="U190" s="427"/>
      <c r="V190" s="427"/>
      <c r="W190" s="428"/>
      <c r="X190" s="67"/>
      <c r="Y190" s="426"/>
      <c r="Z190" s="427"/>
      <c r="AA190" s="427"/>
      <c r="AB190" s="427"/>
      <c r="AC190" s="428"/>
    </row>
    <row r="191" spans="1:29" x14ac:dyDescent="0.25">
      <c r="A191" s="426"/>
      <c r="B191" s="427"/>
      <c r="C191" s="427"/>
      <c r="D191" s="427"/>
      <c r="E191" s="428"/>
      <c r="F191" s="68"/>
      <c r="G191" s="426"/>
      <c r="H191" s="427"/>
      <c r="I191" s="427"/>
      <c r="J191" s="427"/>
      <c r="K191" s="428"/>
      <c r="L191" s="68"/>
      <c r="M191" s="426"/>
      <c r="N191" s="427"/>
      <c r="O191" s="427"/>
      <c r="P191" s="427"/>
      <c r="Q191" s="428"/>
      <c r="R191" s="67"/>
      <c r="S191" s="426"/>
      <c r="T191" s="427"/>
      <c r="U191" s="427"/>
      <c r="V191" s="427"/>
      <c r="W191" s="428"/>
      <c r="X191" s="67"/>
      <c r="Y191" s="426"/>
      <c r="Z191" s="427"/>
      <c r="AA191" s="427"/>
      <c r="AB191" s="427"/>
      <c r="AC191" s="428"/>
    </row>
    <row r="192" spans="1:29" x14ac:dyDescent="0.25">
      <c r="A192" s="426"/>
      <c r="B192" s="427"/>
      <c r="C192" s="427"/>
      <c r="D192" s="427"/>
      <c r="E192" s="428"/>
      <c r="F192" s="68"/>
      <c r="G192" s="426"/>
      <c r="H192" s="427"/>
      <c r="I192" s="427"/>
      <c r="J192" s="427"/>
      <c r="K192" s="428"/>
      <c r="L192" s="68"/>
      <c r="M192" s="426"/>
      <c r="N192" s="427"/>
      <c r="O192" s="427"/>
      <c r="P192" s="427"/>
      <c r="Q192" s="428"/>
      <c r="R192" s="67"/>
      <c r="S192" s="426"/>
      <c r="T192" s="427"/>
      <c r="U192" s="427"/>
      <c r="V192" s="427"/>
      <c r="W192" s="428"/>
      <c r="X192" s="67"/>
      <c r="Y192" s="426"/>
      <c r="Z192" s="427"/>
      <c r="AA192" s="427"/>
      <c r="AB192" s="427"/>
      <c r="AC192" s="428"/>
    </row>
    <row r="193" spans="1:29" x14ac:dyDescent="0.25">
      <c r="A193" s="429"/>
      <c r="B193" s="430"/>
      <c r="C193" s="430"/>
      <c r="D193" s="430"/>
      <c r="E193" s="431"/>
      <c r="F193" s="68"/>
      <c r="G193" s="429"/>
      <c r="H193" s="430"/>
      <c r="I193" s="430"/>
      <c r="J193" s="430"/>
      <c r="K193" s="431"/>
      <c r="L193" s="68"/>
      <c r="M193" s="429"/>
      <c r="N193" s="430"/>
      <c r="O193" s="430"/>
      <c r="P193" s="430"/>
      <c r="Q193" s="431"/>
      <c r="R193" s="67"/>
      <c r="S193" s="429"/>
      <c r="T193" s="430"/>
      <c r="U193" s="430"/>
      <c r="V193" s="430"/>
      <c r="W193" s="431"/>
      <c r="X193" s="67"/>
      <c r="Y193" s="429"/>
      <c r="Z193" s="430"/>
      <c r="AA193" s="430"/>
      <c r="AB193" s="430"/>
      <c r="AC193" s="431"/>
    </row>
    <row r="194" spans="1:29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7"/>
      <c r="S194" s="68"/>
      <c r="T194" s="68"/>
      <c r="U194" s="68"/>
      <c r="V194" s="68"/>
      <c r="W194" s="68"/>
      <c r="X194" s="67"/>
      <c r="Y194" s="67"/>
      <c r="Z194" s="67"/>
      <c r="AA194" s="67"/>
      <c r="AB194" s="67"/>
      <c r="AC194" s="67"/>
    </row>
    <row r="195" spans="1:29" x14ac:dyDescent="0.25">
      <c r="A195" s="420" t="s">
        <v>560</v>
      </c>
      <c r="B195" s="421"/>
      <c r="C195" s="421"/>
      <c r="D195" s="421"/>
      <c r="E195" s="422"/>
      <c r="F195" s="68"/>
      <c r="G195" s="420" t="s">
        <v>561</v>
      </c>
      <c r="H195" s="421"/>
      <c r="I195" s="421"/>
      <c r="J195" s="421"/>
      <c r="K195" s="422"/>
      <c r="L195" s="68"/>
      <c r="M195" s="420" t="s">
        <v>562</v>
      </c>
      <c r="N195" s="421"/>
      <c r="O195" s="421"/>
      <c r="P195" s="421"/>
      <c r="Q195" s="422"/>
      <c r="R195" s="67"/>
      <c r="S195" s="420" t="s">
        <v>563</v>
      </c>
      <c r="T195" s="421"/>
      <c r="U195" s="421"/>
      <c r="V195" s="421"/>
      <c r="W195" s="422"/>
      <c r="X195" s="67"/>
      <c r="Y195" s="67"/>
      <c r="Z195" s="67"/>
      <c r="AA195" s="67"/>
      <c r="AB195" s="67"/>
      <c r="AC195" s="67"/>
    </row>
    <row r="196" spans="1:29" x14ac:dyDescent="0.25">
      <c r="A196" s="423"/>
      <c r="B196" s="424"/>
      <c r="C196" s="424"/>
      <c r="D196" s="424"/>
      <c r="E196" s="425"/>
      <c r="F196" s="68"/>
      <c r="G196" s="423"/>
      <c r="H196" s="424"/>
      <c r="I196" s="424"/>
      <c r="J196" s="424"/>
      <c r="K196" s="425"/>
      <c r="L196" s="68"/>
      <c r="M196" s="423"/>
      <c r="N196" s="424"/>
      <c r="O196" s="424"/>
      <c r="P196" s="424"/>
      <c r="Q196" s="425"/>
      <c r="R196" s="67"/>
      <c r="S196" s="438"/>
      <c r="T196" s="439"/>
      <c r="U196" s="439"/>
      <c r="V196" s="439"/>
      <c r="W196" s="440"/>
      <c r="X196" s="67"/>
      <c r="Y196" s="67"/>
      <c r="Z196" s="67"/>
      <c r="AA196" s="67"/>
      <c r="AB196" s="67"/>
      <c r="AC196" s="67"/>
    </row>
    <row r="197" spans="1:29" x14ac:dyDescent="0.25">
      <c r="A197" s="426"/>
      <c r="B197" s="427"/>
      <c r="C197" s="427"/>
      <c r="D197" s="427"/>
      <c r="E197" s="428"/>
      <c r="F197" s="68"/>
      <c r="G197" s="426"/>
      <c r="H197" s="427"/>
      <c r="I197" s="427"/>
      <c r="J197" s="427"/>
      <c r="K197" s="428"/>
      <c r="L197" s="68"/>
      <c r="M197" s="426"/>
      <c r="N197" s="427"/>
      <c r="O197" s="427"/>
      <c r="P197" s="427"/>
      <c r="Q197" s="428"/>
      <c r="R197" s="67"/>
      <c r="S197" s="441"/>
      <c r="T197" s="442"/>
      <c r="U197" s="442"/>
      <c r="V197" s="442"/>
      <c r="W197" s="443"/>
      <c r="X197" s="67"/>
      <c r="Y197" s="67"/>
      <c r="Z197" s="67"/>
      <c r="AA197" s="67"/>
      <c r="AB197" s="67"/>
      <c r="AC197" s="67"/>
    </row>
    <row r="198" spans="1:29" x14ac:dyDescent="0.25">
      <c r="A198" s="426"/>
      <c r="B198" s="427"/>
      <c r="C198" s="427"/>
      <c r="D198" s="427"/>
      <c r="E198" s="428"/>
      <c r="F198" s="68"/>
      <c r="G198" s="426"/>
      <c r="H198" s="427"/>
      <c r="I198" s="427"/>
      <c r="J198" s="427"/>
      <c r="K198" s="428"/>
      <c r="L198" s="68"/>
      <c r="M198" s="426"/>
      <c r="N198" s="427"/>
      <c r="O198" s="427"/>
      <c r="P198" s="427"/>
      <c r="Q198" s="428"/>
      <c r="R198" s="67"/>
      <c r="S198" s="441"/>
      <c r="T198" s="442"/>
      <c r="U198" s="442"/>
      <c r="V198" s="442"/>
      <c r="W198" s="443"/>
      <c r="X198" s="67"/>
      <c r="Y198" s="67"/>
      <c r="Z198" s="67"/>
      <c r="AA198" s="67"/>
      <c r="AB198" s="67"/>
      <c r="AC198" s="67"/>
    </row>
    <row r="199" spans="1:29" x14ac:dyDescent="0.25">
      <c r="A199" s="426"/>
      <c r="B199" s="427"/>
      <c r="C199" s="427"/>
      <c r="D199" s="427"/>
      <c r="E199" s="428"/>
      <c r="F199" s="68"/>
      <c r="G199" s="426"/>
      <c r="H199" s="427"/>
      <c r="I199" s="427"/>
      <c r="J199" s="427"/>
      <c r="K199" s="428"/>
      <c r="L199" s="68"/>
      <c r="M199" s="426"/>
      <c r="N199" s="427"/>
      <c r="O199" s="427"/>
      <c r="P199" s="427"/>
      <c r="Q199" s="428"/>
      <c r="R199" s="67"/>
      <c r="S199" s="441"/>
      <c r="T199" s="442"/>
      <c r="U199" s="442"/>
      <c r="V199" s="442"/>
      <c r="W199" s="443"/>
      <c r="X199" s="67"/>
      <c r="Y199" s="67"/>
      <c r="Z199" s="67"/>
      <c r="AA199" s="67"/>
      <c r="AB199" s="67"/>
      <c r="AC199" s="67"/>
    </row>
    <row r="200" spans="1:29" x14ac:dyDescent="0.25">
      <c r="A200" s="426"/>
      <c r="B200" s="427"/>
      <c r="C200" s="427"/>
      <c r="D200" s="427"/>
      <c r="E200" s="428"/>
      <c r="F200" s="68"/>
      <c r="G200" s="426"/>
      <c r="H200" s="427"/>
      <c r="I200" s="427"/>
      <c r="J200" s="427"/>
      <c r="K200" s="428"/>
      <c r="L200" s="68"/>
      <c r="M200" s="426"/>
      <c r="N200" s="427"/>
      <c r="O200" s="427"/>
      <c r="P200" s="427"/>
      <c r="Q200" s="428"/>
      <c r="R200" s="67"/>
      <c r="S200" s="441"/>
      <c r="T200" s="442"/>
      <c r="U200" s="442"/>
      <c r="V200" s="442"/>
      <c r="W200" s="443"/>
      <c r="X200" s="67"/>
      <c r="Y200" s="67"/>
      <c r="Z200" s="67"/>
      <c r="AA200" s="67"/>
      <c r="AB200" s="67"/>
      <c r="AC200" s="67"/>
    </row>
    <row r="201" spans="1:29" x14ac:dyDescent="0.25">
      <c r="A201" s="426"/>
      <c r="B201" s="427"/>
      <c r="C201" s="427"/>
      <c r="D201" s="427"/>
      <c r="E201" s="428"/>
      <c r="F201" s="68"/>
      <c r="G201" s="426"/>
      <c r="H201" s="427"/>
      <c r="I201" s="427"/>
      <c r="J201" s="427"/>
      <c r="K201" s="428"/>
      <c r="L201" s="68"/>
      <c r="M201" s="426"/>
      <c r="N201" s="427"/>
      <c r="O201" s="427"/>
      <c r="P201" s="427"/>
      <c r="Q201" s="428"/>
      <c r="R201" s="67"/>
      <c r="S201" s="441"/>
      <c r="T201" s="442"/>
      <c r="U201" s="442"/>
      <c r="V201" s="442"/>
      <c r="W201" s="443"/>
      <c r="X201" s="67"/>
      <c r="Y201" s="67"/>
      <c r="Z201" s="67"/>
      <c r="AA201" s="67"/>
      <c r="AB201" s="67"/>
      <c r="AC201" s="67"/>
    </row>
    <row r="202" spans="1:29" x14ac:dyDescent="0.25">
      <c r="A202" s="426"/>
      <c r="B202" s="427"/>
      <c r="C202" s="427"/>
      <c r="D202" s="427"/>
      <c r="E202" s="428"/>
      <c r="F202" s="68"/>
      <c r="G202" s="426"/>
      <c r="H202" s="427"/>
      <c r="I202" s="427"/>
      <c r="J202" s="427"/>
      <c r="K202" s="428"/>
      <c r="L202" s="68"/>
      <c r="M202" s="426"/>
      <c r="N202" s="427"/>
      <c r="O202" s="427"/>
      <c r="P202" s="427"/>
      <c r="Q202" s="428"/>
      <c r="R202" s="67"/>
      <c r="S202" s="441"/>
      <c r="T202" s="442"/>
      <c r="U202" s="442"/>
      <c r="V202" s="442"/>
      <c r="W202" s="443"/>
      <c r="X202" s="67"/>
      <c r="Y202" s="67"/>
      <c r="Z202" s="67"/>
      <c r="AA202" s="67"/>
      <c r="AB202" s="67"/>
      <c r="AC202" s="67"/>
    </row>
    <row r="203" spans="1:29" x14ac:dyDescent="0.25">
      <c r="A203" s="426"/>
      <c r="B203" s="427"/>
      <c r="C203" s="427"/>
      <c r="D203" s="427"/>
      <c r="E203" s="428"/>
      <c r="F203" s="68"/>
      <c r="G203" s="426"/>
      <c r="H203" s="427"/>
      <c r="I203" s="427"/>
      <c r="J203" s="427"/>
      <c r="K203" s="428"/>
      <c r="L203" s="68"/>
      <c r="M203" s="426"/>
      <c r="N203" s="427"/>
      <c r="O203" s="427"/>
      <c r="P203" s="427"/>
      <c r="Q203" s="428"/>
      <c r="R203" s="67"/>
      <c r="S203" s="441"/>
      <c r="T203" s="442"/>
      <c r="U203" s="442"/>
      <c r="V203" s="442"/>
      <c r="W203" s="443"/>
      <c r="X203" s="67"/>
      <c r="Y203" s="67"/>
      <c r="Z203" s="67"/>
      <c r="AA203" s="67"/>
      <c r="AB203" s="67"/>
      <c r="AC203" s="67"/>
    </row>
    <row r="204" spans="1:29" x14ac:dyDescent="0.25">
      <c r="A204" s="426"/>
      <c r="B204" s="427"/>
      <c r="C204" s="427"/>
      <c r="D204" s="427"/>
      <c r="E204" s="428"/>
      <c r="F204" s="68"/>
      <c r="G204" s="426"/>
      <c r="H204" s="427"/>
      <c r="I204" s="427"/>
      <c r="J204" s="427"/>
      <c r="K204" s="428"/>
      <c r="L204" s="68"/>
      <c r="M204" s="426"/>
      <c r="N204" s="427"/>
      <c r="O204" s="427"/>
      <c r="P204" s="427"/>
      <c r="Q204" s="428"/>
      <c r="R204" s="67"/>
      <c r="S204" s="441"/>
      <c r="T204" s="442"/>
      <c r="U204" s="442"/>
      <c r="V204" s="442"/>
      <c r="W204" s="443"/>
      <c r="X204" s="67"/>
      <c r="Y204" s="67"/>
      <c r="Z204" s="67"/>
      <c r="AA204" s="67"/>
      <c r="AB204" s="67"/>
      <c r="AC204" s="67"/>
    </row>
    <row r="205" spans="1:29" x14ac:dyDescent="0.25">
      <c r="A205" s="426"/>
      <c r="B205" s="427"/>
      <c r="C205" s="427"/>
      <c r="D205" s="427"/>
      <c r="E205" s="428"/>
      <c r="F205" s="68"/>
      <c r="G205" s="426"/>
      <c r="H205" s="427"/>
      <c r="I205" s="427"/>
      <c r="J205" s="427"/>
      <c r="K205" s="428"/>
      <c r="L205" s="68"/>
      <c r="M205" s="426"/>
      <c r="N205" s="427"/>
      <c r="O205" s="427"/>
      <c r="P205" s="427"/>
      <c r="Q205" s="428"/>
      <c r="R205" s="67"/>
      <c r="S205" s="441"/>
      <c r="T205" s="442"/>
      <c r="U205" s="442"/>
      <c r="V205" s="442"/>
      <c r="W205" s="443"/>
      <c r="X205" s="67"/>
      <c r="Y205" s="67"/>
      <c r="Z205" s="67"/>
      <c r="AA205" s="67"/>
      <c r="AB205" s="67"/>
      <c r="AC205" s="67"/>
    </row>
    <row r="206" spans="1:29" x14ac:dyDescent="0.25">
      <c r="A206" s="426"/>
      <c r="B206" s="427"/>
      <c r="C206" s="427"/>
      <c r="D206" s="427"/>
      <c r="E206" s="428"/>
      <c r="F206" s="68"/>
      <c r="G206" s="426"/>
      <c r="H206" s="427"/>
      <c r="I206" s="427"/>
      <c r="J206" s="427"/>
      <c r="K206" s="428"/>
      <c r="L206" s="68"/>
      <c r="M206" s="426"/>
      <c r="N206" s="427"/>
      <c r="O206" s="427"/>
      <c r="P206" s="427"/>
      <c r="Q206" s="428"/>
      <c r="R206" s="67"/>
      <c r="S206" s="441"/>
      <c r="T206" s="442"/>
      <c r="U206" s="442"/>
      <c r="V206" s="442"/>
      <c r="W206" s="443"/>
      <c r="X206" s="67"/>
      <c r="Y206" s="67"/>
      <c r="Z206" s="67"/>
      <c r="AA206" s="67"/>
      <c r="AB206" s="67"/>
      <c r="AC206" s="67"/>
    </row>
    <row r="207" spans="1:29" x14ac:dyDescent="0.25">
      <c r="A207" s="426"/>
      <c r="B207" s="427"/>
      <c r="C207" s="427"/>
      <c r="D207" s="427"/>
      <c r="E207" s="428"/>
      <c r="F207" s="68"/>
      <c r="G207" s="426"/>
      <c r="H207" s="427"/>
      <c r="I207" s="427"/>
      <c r="J207" s="427"/>
      <c r="K207" s="428"/>
      <c r="L207" s="68"/>
      <c r="M207" s="426"/>
      <c r="N207" s="427"/>
      <c r="O207" s="427"/>
      <c r="P207" s="427"/>
      <c r="Q207" s="428"/>
      <c r="R207" s="67"/>
      <c r="S207" s="441"/>
      <c r="T207" s="442"/>
      <c r="U207" s="442"/>
      <c r="V207" s="442"/>
      <c r="W207" s="443"/>
      <c r="X207" s="67"/>
      <c r="Y207" s="67"/>
      <c r="Z207" s="67"/>
      <c r="AA207" s="67"/>
      <c r="AB207" s="67"/>
      <c r="AC207" s="67"/>
    </row>
    <row r="208" spans="1:29" x14ac:dyDescent="0.25">
      <c r="A208" s="426"/>
      <c r="B208" s="427"/>
      <c r="C208" s="427"/>
      <c r="D208" s="427"/>
      <c r="E208" s="428"/>
      <c r="F208" s="68"/>
      <c r="G208" s="426"/>
      <c r="H208" s="427"/>
      <c r="I208" s="427"/>
      <c r="J208" s="427"/>
      <c r="K208" s="428"/>
      <c r="L208" s="68"/>
      <c r="M208" s="426"/>
      <c r="N208" s="427"/>
      <c r="O208" s="427"/>
      <c r="P208" s="427"/>
      <c r="Q208" s="428"/>
      <c r="R208" s="67"/>
      <c r="S208" s="441"/>
      <c r="T208" s="442"/>
      <c r="U208" s="442"/>
      <c r="V208" s="442"/>
      <c r="W208" s="443"/>
      <c r="X208" s="67"/>
      <c r="Y208" s="67"/>
      <c r="Z208" s="67"/>
      <c r="AA208" s="67"/>
      <c r="AB208" s="67"/>
      <c r="AC208" s="67"/>
    </row>
    <row r="209" spans="1:29" x14ac:dyDescent="0.25">
      <c r="A209" s="429"/>
      <c r="B209" s="430"/>
      <c r="C209" s="430"/>
      <c r="D209" s="430"/>
      <c r="E209" s="431"/>
      <c r="F209" s="68"/>
      <c r="G209" s="429"/>
      <c r="H209" s="430"/>
      <c r="I209" s="430"/>
      <c r="J209" s="430"/>
      <c r="K209" s="431"/>
      <c r="L209" s="68"/>
      <c r="M209" s="429"/>
      <c r="N209" s="430"/>
      <c r="O209" s="430"/>
      <c r="P209" s="430"/>
      <c r="Q209" s="431"/>
      <c r="R209" s="67"/>
      <c r="S209" s="444"/>
      <c r="T209" s="445"/>
      <c r="U209" s="445"/>
      <c r="V209" s="445"/>
      <c r="W209" s="446"/>
      <c r="X209" s="67"/>
      <c r="Y209" s="67"/>
      <c r="Z209" s="67"/>
      <c r="AA209" s="67"/>
      <c r="AB209" s="67"/>
      <c r="AC209" s="67"/>
    </row>
    <row r="210" spans="1:29" x14ac:dyDescent="0.25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</row>
    <row r="211" spans="1:29" x14ac:dyDescent="0.25">
      <c r="A211" s="420" t="s">
        <v>564</v>
      </c>
      <c r="B211" s="421"/>
      <c r="C211" s="421"/>
      <c r="D211" s="421"/>
      <c r="E211" s="422"/>
      <c r="F211" s="68"/>
      <c r="G211" s="420" t="s">
        <v>565</v>
      </c>
      <c r="H211" s="421"/>
      <c r="I211" s="421"/>
      <c r="J211" s="421"/>
      <c r="K211" s="422"/>
      <c r="L211" s="68"/>
      <c r="M211" s="420" t="s">
        <v>566</v>
      </c>
      <c r="N211" s="421"/>
      <c r="O211" s="421"/>
      <c r="P211" s="421"/>
      <c r="Q211" s="422"/>
      <c r="R211" s="67"/>
      <c r="S211" s="420" t="s">
        <v>567</v>
      </c>
      <c r="T211" s="421"/>
      <c r="U211" s="421"/>
      <c r="V211" s="421"/>
      <c r="W211" s="422"/>
      <c r="X211" s="67"/>
      <c r="Y211" s="67"/>
      <c r="Z211" s="67"/>
      <c r="AA211" s="67"/>
      <c r="AB211" s="67"/>
      <c r="AC211" s="67"/>
    </row>
    <row r="212" spans="1:29" x14ac:dyDescent="0.25">
      <c r="A212" s="423"/>
      <c r="B212" s="424"/>
      <c r="C212" s="424"/>
      <c r="D212" s="424"/>
      <c r="E212" s="425"/>
      <c r="F212" s="68"/>
      <c r="G212" s="423"/>
      <c r="H212" s="424"/>
      <c r="I212" s="424"/>
      <c r="J212" s="424"/>
      <c r="K212" s="425"/>
      <c r="L212" s="68"/>
      <c r="M212" s="423"/>
      <c r="N212" s="424"/>
      <c r="O212" s="424"/>
      <c r="P212" s="424"/>
      <c r="Q212" s="425"/>
      <c r="R212" s="67"/>
      <c r="S212" s="423"/>
      <c r="T212" s="424"/>
      <c r="U212" s="424"/>
      <c r="V212" s="424"/>
      <c r="W212" s="425"/>
      <c r="X212" s="67"/>
      <c r="Y212" s="67"/>
      <c r="Z212" s="67"/>
      <c r="AA212" s="67"/>
      <c r="AB212" s="67"/>
      <c r="AC212" s="67"/>
    </row>
    <row r="213" spans="1:29" x14ac:dyDescent="0.25">
      <c r="A213" s="426"/>
      <c r="B213" s="427"/>
      <c r="C213" s="427"/>
      <c r="D213" s="427"/>
      <c r="E213" s="428"/>
      <c r="F213" s="68"/>
      <c r="G213" s="426"/>
      <c r="H213" s="427"/>
      <c r="I213" s="427"/>
      <c r="J213" s="427"/>
      <c r="K213" s="428"/>
      <c r="L213" s="68"/>
      <c r="M213" s="426"/>
      <c r="N213" s="427"/>
      <c r="O213" s="427"/>
      <c r="P213" s="427"/>
      <c r="Q213" s="428"/>
      <c r="R213" s="67"/>
      <c r="S213" s="426"/>
      <c r="T213" s="427"/>
      <c r="U213" s="427"/>
      <c r="V213" s="427"/>
      <c r="W213" s="428"/>
      <c r="X213" s="67"/>
      <c r="Y213" s="67"/>
      <c r="Z213" s="67"/>
      <c r="AA213" s="67"/>
      <c r="AB213" s="67"/>
      <c r="AC213" s="67"/>
    </row>
    <row r="214" spans="1:29" x14ac:dyDescent="0.25">
      <c r="A214" s="426"/>
      <c r="B214" s="427"/>
      <c r="C214" s="427"/>
      <c r="D214" s="427"/>
      <c r="E214" s="428"/>
      <c r="F214" s="68"/>
      <c r="G214" s="426"/>
      <c r="H214" s="427"/>
      <c r="I214" s="427"/>
      <c r="J214" s="427"/>
      <c r="K214" s="428"/>
      <c r="L214" s="68"/>
      <c r="M214" s="426"/>
      <c r="N214" s="427"/>
      <c r="O214" s="427"/>
      <c r="P214" s="427"/>
      <c r="Q214" s="428"/>
      <c r="R214" s="67"/>
      <c r="S214" s="426"/>
      <c r="T214" s="427"/>
      <c r="U214" s="427"/>
      <c r="V214" s="427"/>
      <c r="W214" s="428"/>
      <c r="X214" s="67"/>
      <c r="Y214" s="67"/>
      <c r="Z214" s="67"/>
      <c r="AA214" s="67"/>
      <c r="AB214" s="67"/>
      <c r="AC214" s="67"/>
    </row>
    <row r="215" spans="1:29" x14ac:dyDescent="0.25">
      <c r="A215" s="426"/>
      <c r="B215" s="427"/>
      <c r="C215" s="427"/>
      <c r="D215" s="427"/>
      <c r="E215" s="428"/>
      <c r="F215" s="68"/>
      <c r="G215" s="426"/>
      <c r="H215" s="427"/>
      <c r="I215" s="427"/>
      <c r="J215" s="427"/>
      <c r="K215" s="428"/>
      <c r="L215" s="68"/>
      <c r="M215" s="426"/>
      <c r="N215" s="427"/>
      <c r="O215" s="427"/>
      <c r="P215" s="427"/>
      <c r="Q215" s="428"/>
      <c r="R215" s="67"/>
      <c r="S215" s="426"/>
      <c r="T215" s="427"/>
      <c r="U215" s="427"/>
      <c r="V215" s="427"/>
      <c r="W215" s="428"/>
      <c r="X215" s="67"/>
      <c r="Y215" s="67"/>
      <c r="Z215" s="67"/>
      <c r="AA215" s="67"/>
      <c r="AB215" s="67"/>
      <c r="AC215" s="67"/>
    </row>
    <row r="216" spans="1:29" x14ac:dyDescent="0.25">
      <c r="A216" s="426"/>
      <c r="B216" s="427"/>
      <c r="C216" s="427"/>
      <c r="D216" s="427"/>
      <c r="E216" s="428"/>
      <c r="F216" s="68"/>
      <c r="G216" s="426"/>
      <c r="H216" s="427"/>
      <c r="I216" s="427"/>
      <c r="J216" s="427"/>
      <c r="K216" s="428"/>
      <c r="L216" s="68"/>
      <c r="M216" s="426"/>
      <c r="N216" s="427"/>
      <c r="O216" s="427"/>
      <c r="P216" s="427"/>
      <c r="Q216" s="428"/>
      <c r="R216" s="67"/>
      <c r="S216" s="426"/>
      <c r="T216" s="427"/>
      <c r="U216" s="427"/>
      <c r="V216" s="427"/>
      <c r="W216" s="428"/>
      <c r="X216" s="67"/>
      <c r="Y216" s="67"/>
      <c r="Z216" s="67"/>
      <c r="AA216" s="67"/>
      <c r="AB216" s="67"/>
      <c r="AC216" s="67"/>
    </row>
    <row r="217" spans="1:29" x14ac:dyDescent="0.25">
      <c r="A217" s="426"/>
      <c r="B217" s="427"/>
      <c r="C217" s="427"/>
      <c r="D217" s="427"/>
      <c r="E217" s="428"/>
      <c r="F217" s="68"/>
      <c r="G217" s="426"/>
      <c r="H217" s="427"/>
      <c r="I217" s="427"/>
      <c r="J217" s="427"/>
      <c r="K217" s="428"/>
      <c r="L217" s="68"/>
      <c r="M217" s="426"/>
      <c r="N217" s="427"/>
      <c r="O217" s="427"/>
      <c r="P217" s="427"/>
      <c r="Q217" s="428"/>
      <c r="R217" s="67"/>
      <c r="S217" s="426"/>
      <c r="T217" s="427"/>
      <c r="U217" s="427"/>
      <c r="V217" s="427"/>
      <c r="W217" s="428"/>
      <c r="X217" s="67"/>
      <c r="Y217" s="67"/>
      <c r="Z217" s="67"/>
      <c r="AA217" s="67"/>
      <c r="AB217" s="67"/>
      <c r="AC217" s="67"/>
    </row>
    <row r="218" spans="1:29" x14ac:dyDescent="0.25">
      <c r="A218" s="426"/>
      <c r="B218" s="427"/>
      <c r="C218" s="427"/>
      <c r="D218" s="427"/>
      <c r="E218" s="428"/>
      <c r="F218" s="68"/>
      <c r="G218" s="426"/>
      <c r="H218" s="427"/>
      <c r="I218" s="427"/>
      <c r="J218" s="427"/>
      <c r="K218" s="428"/>
      <c r="L218" s="68"/>
      <c r="M218" s="426"/>
      <c r="N218" s="427"/>
      <c r="O218" s="427"/>
      <c r="P218" s="427"/>
      <c r="Q218" s="428"/>
      <c r="R218" s="67"/>
      <c r="S218" s="426"/>
      <c r="T218" s="427"/>
      <c r="U218" s="427"/>
      <c r="V218" s="427"/>
      <c r="W218" s="428"/>
      <c r="X218" s="67"/>
      <c r="Y218" s="67"/>
      <c r="Z218" s="67"/>
      <c r="AA218" s="67"/>
      <c r="AB218" s="67"/>
      <c r="AC218" s="67"/>
    </row>
    <row r="219" spans="1:29" x14ac:dyDescent="0.25">
      <c r="A219" s="426"/>
      <c r="B219" s="427"/>
      <c r="C219" s="427"/>
      <c r="D219" s="427"/>
      <c r="E219" s="428"/>
      <c r="F219" s="68"/>
      <c r="G219" s="426"/>
      <c r="H219" s="427"/>
      <c r="I219" s="427"/>
      <c r="J219" s="427"/>
      <c r="K219" s="428"/>
      <c r="L219" s="68"/>
      <c r="M219" s="426"/>
      <c r="N219" s="427"/>
      <c r="O219" s="427"/>
      <c r="P219" s="427"/>
      <c r="Q219" s="428"/>
      <c r="R219" s="67"/>
      <c r="S219" s="426"/>
      <c r="T219" s="427"/>
      <c r="U219" s="427"/>
      <c r="V219" s="427"/>
      <c r="W219" s="428"/>
      <c r="X219" s="67"/>
      <c r="Y219" s="67"/>
      <c r="Z219" s="67"/>
      <c r="AA219" s="67"/>
      <c r="AB219" s="67"/>
      <c r="AC219" s="67"/>
    </row>
    <row r="220" spans="1:29" x14ac:dyDescent="0.25">
      <c r="A220" s="426"/>
      <c r="B220" s="427"/>
      <c r="C220" s="427"/>
      <c r="D220" s="427"/>
      <c r="E220" s="428"/>
      <c r="F220" s="68"/>
      <c r="G220" s="426"/>
      <c r="H220" s="427"/>
      <c r="I220" s="427"/>
      <c r="J220" s="427"/>
      <c r="K220" s="428"/>
      <c r="L220" s="68"/>
      <c r="M220" s="426"/>
      <c r="N220" s="427"/>
      <c r="O220" s="427"/>
      <c r="P220" s="427"/>
      <c r="Q220" s="428"/>
      <c r="R220" s="67"/>
      <c r="S220" s="426"/>
      <c r="T220" s="427"/>
      <c r="U220" s="427"/>
      <c r="V220" s="427"/>
      <c r="W220" s="428"/>
      <c r="X220" s="67"/>
      <c r="Y220" s="67"/>
      <c r="Z220" s="67"/>
      <c r="AA220" s="67"/>
      <c r="AB220" s="67"/>
      <c r="AC220" s="67"/>
    </row>
    <row r="221" spans="1:29" x14ac:dyDescent="0.25">
      <c r="A221" s="426"/>
      <c r="B221" s="427"/>
      <c r="C221" s="427"/>
      <c r="D221" s="427"/>
      <c r="E221" s="428"/>
      <c r="F221" s="68"/>
      <c r="G221" s="426"/>
      <c r="H221" s="427"/>
      <c r="I221" s="427"/>
      <c r="J221" s="427"/>
      <c r="K221" s="428"/>
      <c r="L221" s="68"/>
      <c r="M221" s="426"/>
      <c r="N221" s="427"/>
      <c r="O221" s="427"/>
      <c r="P221" s="427"/>
      <c r="Q221" s="428"/>
      <c r="R221" s="67"/>
      <c r="S221" s="426"/>
      <c r="T221" s="427"/>
      <c r="U221" s="427"/>
      <c r="V221" s="427"/>
      <c r="W221" s="428"/>
      <c r="X221" s="67"/>
      <c r="Y221" s="67"/>
      <c r="Z221" s="67"/>
      <c r="AA221" s="67"/>
      <c r="AB221" s="67"/>
      <c r="AC221" s="67"/>
    </row>
    <row r="222" spans="1:29" x14ac:dyDescent="0.25">
      <c r="A222" s="426"/>
      <c r="B222" s="427"/>
      <c r="C222" s="427"/>
      <c r="D222" s="427"/>
      <c r="E222" s="428"/>
      <c r="F222" s="68"/>
      <c r="G222" s="426"/>
      <c r="H222" s="427"/>
      <c r="I222" s="427"/>
      <c r="J222" s="427"/>
      <c r="K222" s="428"/>
      <c r="L222" s="68"/>
      <c r="M222" s="426"/>
      <c r="N222" s="427"/>
      <c r="O222" s="427"/>
      <c r="P222" s="427"/>
      <c r="Q222" s="428"/>
      <c r="R222" s="67"/>
      <c r="S222" s="426"/>
      <c r="T222" s="427"/>
      <c r="U222" s="427"/>
      <c r="V222" s="427"/>
      <c r="W222" s="428"/>
      <c r="X222" s="67"/>
      <c r="Y222" s="67"/>
      <c r="Z222" s="67"/>
      <c r="AA222" s="67"/>
      <c r="AB222" s="67"/>
      <c r="AC222" s="67"/>
    </row>
    <row r="223" spans="1:29" x14ac:dyDescent="0.25">
      <c r="A223" s="426"/>
      <c r="B223" s="427"/>
      <c r="C223" s="427"/>
      <c r="D223" s="427"/>
      <c r="E223" s="428"/>
      <c r="F223" s="68"/>
      <c r="G223" s="426"/>
      <c r="H223" s="427"/>
      <c r="I223" s="427"/>
      <c r="J223" s="427"/>
      <c r="K223" s="428"/>
      <c r="L223" s="68"/>
      <c r="M223" s="426"/>
      <c r="N223" s="427"/>
      <c r="O223" s="427"/>
      <c r="P223" s="427"/>
      <c r="Q223" s="428"/>
      <c r="R223" s="67"/>
      <c r="S223" s="426"/>
      <c r="T223" s="427"/>
      <c r="U223" s="427"/>
      <c r="V223" s="427"/>
      <c r="W223" s="428"/>
      <c r="X223" s="67"/>
      <c r="Y223" s="67"/>
      <c r="Z223" s="67"/>
      <c r="AA223" s="67"/>
      <c r="AB223" s="67"/>
      <c r="AC223" s="67"/>
    </row>
    <row r="224" spans="1:29" x14ac:dyDescent="0.25">
      <c r="A224" s="426"/>
      <c r="B224" s="427"/>
      <c r="C224" s="427"/>
      <c r="D224" s="427"/>
      <c r="E224" s="428"/>
      <c r="F224" s="68"/>
      <c r="G224" s="426"/>
      <c r="H224" s="427"/>
      <c r="I224" s="427"/>
      <c r="J224" s="427"/>
      <c r="K224" s="428"/>
      <c r="L224" s="68"/>
      <c r="M224" s="426"/>
      <c r="N224" s="427"/>
      <c r="O224" s="427"/>
      <c r="P224" s="427"/>
      <c r="Q224" s="428"/>
      <c r="R224" s="67"/>
      <c r="S224" s="426"/>
      <c r="T224" s="427"/>
      <c r="U224" s="427"/>
      <c r="V224" s="427"/>
      <c r="W224" s="428"/>
      <c r="X224" s="67"/>
      <c r="Y224" s="67"/>
      <c r="Z224" s="67"/>
      <c r="AA224" s="67"/>
      <c r="AB224" s="67"/>
      <c r="AC224" s="67"/>
    </row>
    <row r="225" spans="1:35" x14ac:dyDescent="0.25">
      <c r="A225" s="429"/>
      <c r="B225" s="430"/>
      <c r="C225" s="430"/>
      <c r="D225" s="430"/>
      <c r="E225" s="431"/>
      <c r="F225" s="68"/>
      <c r="G225" s="429"/>
      <c r="H225" s="430"/>
      <c r="I225" s="430"/>
      <c r="J225" s="430"/>
      <c r="K225" s="431"/>
      <c r="L225" s="68"/>
      <c r="M225" s="429"/>
      <c r="N225" s="430"/>
      <c r="O225" s="430"/>
      <c r="P225" s="430"/>
      <c r="Q225" s="431"/>
      <c r="R225" s="67"/>
      <c r="S225" s="429"/>
      <c r="T225" s="430"/>
      <c r="U225" s="430"/>
      <c r="V225" s="430"/>
      <c r="W225" s="431"/>
      <c r="X225" s="67"/>
      <c r="Y225" s="67"/>
      <c r="Z225" s="67"/>
      <c r="AA225" s="67"/>
      <c r="AB225" s="67"/>
      <c r="AC225" s="67"/>
    </row>
    <row r="226" spans="1:35" ht="15.75" thickBot="1" x14ac:dyDescent="0.3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</row>
    <row r="227" spans="1:35" x14ac:dyDescent="0.25">
      <c r="A227" s="67"/>
      <c r="B227" s="67"/>
      <c r="C227" s="67"/>
      <c r="D227" s="67"/>
      <c r="E227" s="67"/>
      <c r="F227" s="67"/>
      <c r="G227" s="67"/>
      <c r="H227" s="67"/>
      <c r="I227" s="67"/>
      <c r="J227" s="432" t="s">
        <v>568</v>
      </c>
      <c r="K227" s="433"/>
      <c r="L227" s="433"/>
      <c r="M227" s="433"/>
      <c r="N227" s="434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</row>
    <row r="228" spans="1:35" ht="15.75" thickBot="1" x14ac:dyDescent="0.3">
      <c r="A228" s="67"/>
      <c r="B228" s="67"/>
      <c r="C228" s="67"/>
      <c r="D228" s="67"/>
      <c r="E228" s="67"/>
      <c r="F228" s="67"/>
      <c r="G228" s="67"/>
      <c r="H228" s="67"/>
      <c r="I228" s="67"/>
      <c r="J228" s="435"/>
      <c r="K228" s="436"/>
      <c r="L228" s="436"/>
      <c r="M228" s="436"/>
      <c r="N228" s="43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</row>
    <row r="229" spans="1:35" x14ac:dyDescent="0.25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</row>
    <row r="230" spans="1:35" x14ac:dyDescent="0.25">
      <c r="A230" s="420" t="s">
        <v>569</v>
      </c>
      <c r="B230" s="421"/>
      <c r="C230" s="421"/>
      <c r="D230" s="421"/>
      <c r="E230" s="422"/>
      <c r="F230" s="68"/>
      <c r="G230" s="420" t="s">
        <v>570</v>
      </c>
      <c r="H230" s="421"/>
      <c r="I230" s="421"/>
      <c r="J230" s="421"/>
      <c r="K230" s="422"/>
      <c r="L230" s="68"/>
      <c r="M230" s="420" t="s">
        <v>571</v>
      </c>
      <c r="N230" s="421"/>
      <c r="O230" s="421"/>
      <c r="P230" s="421"/>
      <c r="Q230" s="422"/>
      <c r="R230" s="67"/>
      <c r="S230" s="420" t="s">
        <v>572</v>
      </c>
      <c r="T230" s="421"/>
      <c r="U230" s="421"/>
      <c r="V230" s="421"/>
      <c r="W230" s="422"/>
      <c r="X230" s="67"/>
      <c r="Y230" s="420" t="s">
        <v>1138</v>
      </c>
      <c r="Z230" s="421"/>
      <c r="AA230" s="421"/>
      <c r="AB230" s="421"/>
      <c r="AC230" s="422"/>
      <c r="AE230" s="420" t="s">
        <v>1139</v>
      </c>
      <c r="AF230" s="421"/>
      <c r="AG230" s="421"/>
      <c r="AH230" s="421"/>
      <c r="AI230" s="422"/>
    </row>
    <row r="231" spans="1:35" x14ac:dyDescent="0.25">
      <c r="A231" s="423" t="s">
        <v>662</v>
      </c>
      <c r="B231" s="424"/>
      <c r="C231" s="424"/>
      <c r="D231" s="424"/>
      <c r="E231" s="425"/>
      <c r="F231" s="68"/>
      <c r="G231" s="423" t="s">
        <v>662</v>
      </c>
      <c r="H231" s="424"/>
      <c r="I231" s="424"/>
      <c r="J231" s="424"/>
      <c r="K231" s="425"/>
      <c r="L231" s="68"/>
      <c r="M231" s="423"/>
      <c r="N231" s="424"/>
      <c r="O231" s="424"/>
      <c r="P231" s="424"/>
      <c r="Q231" s="425"/>
      <c r="R231" s="67"/>
      <c r="S231" s="423" t="s">
        <v>662</v>
      </c>
      <c r="T231" s="424"/>
      <c r="U231" s="424"/>
      <c r="V231" s="424"/>
      <c r="W231" s="425"/>
      <c r="X231" s="67"/>
      <c r="Y231" s="423"/>
      <c r="Z231" s="424"/>
      <c r="AA231" s="424"/>
      <c r="AB231" s="424"/>
      <c r="AC231" s="425"/>
      <c r="AE231" s="423"/>
      <c r="AF231" s="424"/>
      <c r="AG231" s="424"/>
      <c r="AH231" s="424"/>
      <c r="AI231" s="425"/>
    </row>
    <row r="232" spans="1:35" x14ac:dyDescent="0.25">
      <c r="A232" s="426"/>
      <c r="B232" s="427"/>
      <c r="C232" s="427"/>
      <c r="D232" s="427"/>
      <c r="E232" s="428"/>
      <c r="F232" s="68"/>
      <c r="G232" s="426"/>
      <c r="H232" s="427"/>
      <c r="I232" s="427"/>
      <c r="J232" s="427"/>
      <c r="K232" s="428"/>
      <c r="L232" s="68"/>
      <c r="M232" s="426"/>
      <c r="N232" s="427"/>
      <c r="O232" s="427"/>
      <c r="P232" s="427"/>
      <c r="Q232" s="428"/>
      <c r="R232" s="67"/>
      <c r="S232" s="426"/>
      <c r="T232" s="427"/>
      <c r="U232" s="427"/>
      <c r="V232" s="427"/>
      <c r="W232" s="428"/>
      <c r="X232" s="67"/>
      <c r="Y232" s="426"/>
      <c r="Z232" s="427"/>
      <c r="AA232" s="427"/>
      <c r="AB232" s="427"/>
      <c r="AC232" s="428"/>
      <c r="AE232" s="426"/>
      <c r="AF232" s="427"/>
      <c r="AG232" s="427"/>
      <c r="AH232" s="427"/>
      <c r="AI232" s="428"/>
    </row>
    <row r="233" spans="1:35" x14ac:dyDescent="0.25">
      <c r="A233" s="426"/>
      <c r="B233" s="427"/>
      <c r="C233" s="427"/>
      <c r="D233" s="427"/>
      <c r="E233" s="428"/>
      <c r="F233" s="68"/>
      <c r="G233" s="426"/>
      <c r="H233" s="427"/>
      <c r="I233" s="427"/>
      <c r="J233" s="427"/>
      <c r="K233" s="428"/>
      <c r="L233" s="68"/>
      <c r="M233" s="426"/>
      <c r="N233" s="427"/>
      <c r="O233" s="427"/>
      <c r="P233" s="427"/>
      <c r="Q233" s="428"/>
      <c r="R233" s="67"/>
      <c r="S233" s="426"/>
      <c r="T233" s="427"/>
      <c r="U233" s="427"/>
      <c r="V233" s="427"/>
      <c r="W233" s="428"/>
      <c r="X233" s="67"/>
      <c r="Y233" s="426"/>
      <c r="Z233" s="427"/>
      <c r="AA233" s="427"/>
      <c r="AB233" s="427"/>
      <c r="AC233" s="428"/>
      <c r="AE233" s="426"/>
      <c r="AF233" s="427"/>
      <c r="AG233" s="427"/>
      <c r="AH233" s="427"/>
      <c r="AI233" s="428"/>
    </row>
    <row r="234" spans="1:35" x14ac:dyDescent="0.25">
      <c r="A234" s="426"/>
      <c r="B234" s="427"/>
      <c r="C234" s="427"/>
      <c r="D234" s="427"/>
      <c r="E234" s="428"/>
      <c r="F234" s="68"/>
      <c r="G234" s="426"/>
      <c r="H234" s="427"/>
      <c r="I234" s="427"/>
      <c r="J234" s="427"/>
      <c r="K234" s="428"/>
      <c r="L234" s="68"/>
      <c r="M234" s="426"/>
      <c r="N234" s="427"/>
      <c r="O234" s="427"/>
      <c r="P234" s="427"/>
      <c r="Q234" s="428"/>
      <c r="R234" s="67"/>
      <c r="S234" s="426"/>
      <c r="T234" s="427"/>
      <c r="U234" s="427"/>
      <c r="V234" s="427"/>
      <c r="W234" s="428"/>
      <c r="X234" s="67"/>
      <c r="Y234" s="426"/>
      <c r="Z234" s="427"/>
      <c r="AA234" s="427"/>
      <c r="AB234" s="427"/>
      <c r="AC234" s="428"/>
      <c r="AE234" s="426"/>
      <c r="AF234" s="427"/>
      <c r="AG234" s="427"/>
      <c r="AH234" s="427"/>
      <c r="AI234" s="428"/>
    </row>
    <row r="235" spans="1:35" x14ac:dyDescent="0.25">
      <c r="A235" s="426"/>
      <c r="B235" s="427"/>
      <c r="C235" s="427"/>
      <c r="D235" s="427"/>
      <c r="E235" s="428"/>
      <c r="F235" s="68"/>
      <c r="G235" s="426"/>
      <c r="H235" s="427"/>
      <c r="I235" s="427"/>
      <c r="J235" s="427"/>
      <c r="K235" s="428"/>
      <c r="L235" s="68"/>
      <c r="M235" s="426"/>
      <c r="N235" s="427"/>
      <c r="O235" s="427"/>
      <c r="P235" s="427"/>
      <c r="Q235" s="428"/>
      <c r="R235" s="67"/>
      <c r="S235" s="426"/>
      <c r="T235" s="427"/>
      <c r="U235" s="427"/>
      <c r="V235" s="427"/>
      <c r="W235" s="428"/>
      <c r="X235" s="67"/>
      <c r="Y235" s="426"/>
      <c r="Z235" s="427"/>
      <c r="AA235" s="427"/>
      <c r="AB235" s="427"/>
      <c r="AC235" s="428"/>
      <c r="AE235" s="426"/>
      <c r="AF235" s="427"/>
      <c r="AG235" s="427"/>
      <c r="AH235" s="427"/>
      <c r="AI235" s="428"/>
    </row>
    <row r="236" spans="1:35" x14ac:dyDescent="0.25">
      <c r="A236" s="426"/>
      <c r="B236" s="427"/>
      <c r="C236" s="427"/>
      <c r="D236" s="427"/>
      <c r="E236" s="428"/>
      <c r="F236" s="68"/>
      <c r="G236" s="426"/>
      <c r="H236" s="427"/>
      <c r="I236" s="427"/>
      <c r="J236" s="427"/>
      <c r="K236" s="428"/>
      <c r="L236" s="68"/>
      <c r="M236" s="426"/>
      <c r="N236" s="427"/>
      <c r="O236" s="427"/>
      <c r="P236" s="427"/>
      <c r="Q236" s="428"/>
      <c r="R236" s="67"/>
      <c r="S236" s="426"/>
      <c r="T236" s="427"/>
      <c r="U236" s="427"/>
      <c r="V236" s="427"/>
      <c r="W236" s="428"/>
      <c r="X236" s="67"/>
      <c r="Y236" s="426"/>
      <c r="Z236" s="427"/>
      <c r="AA236" s="427"/>
      <c r="AB236" s="427"/>
      <c r="AC236" s="428"/>
      <c r="AE236" s="426"/>
      <c r="AF236" s="427"/>
      <c r="AG236" s="427"/>
      <c r="AH236" s="427"/>
      <c r="AI236" s="428"/>
    </row>
    <row r="237" spans="1:35" x14ac:dyDescent="0.25">
      <c r="A237" s="426"/>
      <c r="B237" s="427"/>
      <c r="C237" s="427"/>
      <c r="D237" s="427"/>
      <c r="E237" s="428"/>
      <c r="F237" s="68"/>
      <c r="G237" s="426"/>
      <c r="H237" s="427"/>
      <c r="I237" s="427"/>
      <c r="J237" s="427"/>
      <c r="K237" s="428"/>
      <c r="L237" s="68"/>
      <c r="M237" s="426"/>
      <c r="N237" s="427"/>
      <c r="O237" s="427"/>
      <c r="P237" s="427"/>
      <c r="Q237" s="428"/>
      <c r="R237" s="67"/>
      <c r="S237" s="426"/>
      <c r="T237" s="427"/>
      <c r="U237" s="427"/>
      <c r="V237" s="427"/>
      <c r="W237" s="428"/>
      <c r="X237" s="67"/>
      <c r="Y237" s="426"/>
      <c r="Z237" s="427"/>
      <c r="AA237" s="427"/>
      <c r="AB237" s="427"/>
      <c r="AC237" s="428"/>
      <c r="AE237" s="426"/>
      <c r="AF237" s="427"/>
      <c r="AG237" s="427"/>
      <c r="AH237" s="427"/>
      <c r="AI237" s="428"/>
    </row>
    <row r="238" spans="1:35" x14ac:dyDescent="0.25">
      <c r="A238" s="426"/>
      <c r="B238" s="427"/>
      <c r="C238" s="427"/>
      <c r="D238" s="427"/>
      <c r="E238" s="428"/>
      <c r="F238" s="68"/>
      <c r="G238" s="426"/>
      <c r="H238" s="427"/>
      <c r="I238" s="427"/>
      <c r="J238" s="427"/>
      <c r="K238" s="428"/>
      <c r="L238" s="68"/>
      <c r="M238" s="426"/>
      <c r="N238" s="427"/>
      <c r="O238" s="427"/>
      <c r="P238" s="427"/>
      <c r="Q238" s="428"/>
      <c r="R238" s="67"/>
      <c r="S238" s="426"/>
      <c r="T238" s="427"/>
      <c r="U238" s="427"/>
      <c r="V238" s="427"/>
      <c r="W238" s="428"/>
      <c r="X238" s="67"/>
      <c r="Y238" s="426"/>
      <c r="Z238" s="427"/>
      <c r="AA238" s="427"/>
      <c r="AB238" s="427"/>
      <c r="AC238" s="428"/>
      <c r="AE238" s="426"/>
      <c r="AF238" s="427"/>
      <c r="AG238" s="427"/>
      <c r="AH238" s="427"/>
      <c r="AI238" s="428"/>
    </row>
    <row r="239" spans="1:35" x14ac:dyDescent="0.25">
      <c r="A239" s="426"/>
      <c r="B239" s="427"/>
      <c r="C239" s="427"/>
      <c r="D239" s="427"/>
      <c r="E239" s="428"/>
      <c r="F239" s="68"/>
      <c r="G239" s="426"/>
      <c r="H239" s="427"/>
      <c r="I239" s="427"/>
      <c r="J239" s="427"/>
      <c r="K239" s="428"/>
      <c r="L239" s="68"/>
      <c r="M239" s="426"/>
      <c r="N239" s="427"/>
      <c r="O239" s="427"/>
      <c r="P239" s="427"/>
      <c r="Q239" s="428"/>
      <c r="R239" s="67"/>
      <c r="S239" s="426"/>
      <c r="T239" s="427"/>
      <c r="U239" s="427"/>
      <c r="V239" s="427"/>
      <c r="W239" s="428"/>
      <c r="X239" s="67"/>
      <c r="Y239" s="426"/>
      <c r="Z239" s="427"/>
      <c r="AA239" s="427"/>
      <c r="AB239" s="427"/>
      <c r="AC239" s="428"/>
      <c r="AE239" s="426"/>
      <c r="AF239" s="427"/>
      <c r="AG239" s="427"/>
      <c r="AH239" s="427"/>
      <c r="AI239" s="428"/>
    </row>
    <row r="240" spans="1:35" x14ac:dyDescent="0.25">
      <c r="A240" s="426"/>
      <c r="B240" s="427"/>
      <c r="C240" s="427"/>
      <c r="D240" s="427"/>
      <c r="E240" s="428"/>
      <c r="F240" s="68"/>
      <c r="G240" s="426"/>
      <c r="H240" s="427"/>
      <c r="I240" s="427"/>
      <c r="J240" s="427"/>
      <c r="K240" s="428"/>
      <c r="L240" s="68"/>
      <c r="M240" s="426"/>
      <c r="N240" s="427"/>
      <c r="O240" s="427"/>
      <c r="P240" s="427"/>
      <c r="Q240" s="428"/>
      <c r="R240" s="67"/>
      <c r="S240" s="426"/>
      <c r="T240" s="427"/>
      <c r="U240" s="427"/>
      <c r="V240" s="427"/>
      <c r="W240" s="428"/>
      <c r="X240" s="67"/>
      <c r="Y240" s="426"/>
      <c r="Z240" s="427"/>
      <c r="AA240" s="427"/>
      <c r="AB240" s="427"/>
      <c r="AC240" s="428"/>
      <c r="AE240" s="426"/>
      <c r="AF240" s="427"/>
      <c r="AG240" s="427"/>
      <c r="AH240" s="427"/>
      <c r="AI240" s="428"/>
    </row>
    <row r="241" spans="1:35" x14ac:dyDescent="0.25">
      <c r="A241" s="426"/>
      <c r="B241" s="427"/>
      <c r="C241" s="427"/>
      <c r="D241" s="427"/>
      <c r="E241" s="428"/>
      <c r="F241" s="68"/>
      <c r="G241" s="426"/>
      <c r="H241" s="427"/>
      <c r="I241" s="427"/>
      <c r="J241" s="427"/>
      <c r="K241" s="428"/>
      <c r="L241" s="68"/>
      <c r="M241" s="426"/>
      <c r="N241" s="427"/>
      <c r="O241" s="427"/>
      <c r="P241" s="427"/>
      <c r="Q241" s="428"/>
      <c r="R241" s="67"/>
      <c r="S241" s="426"/>
      <c r="T241" s="427"/>
      <c r="U241" s="427"/>
      <c r="V241" s="427"/>
      <c r="W241" s="428"/>
      <c r="X241" s="67"/>
      <c r="Y241" s="426"/>
      <c r="Z241" s="427"/>
      <c r="AA241" s="427"/>
      <c r="AB241" s="427"/>
      <c r="AC241" s="428"/>
      <c r="AE241" s="426"/>
      <c r="AF241" s="427"/>
      <c r="AG241" s="427"/>
      <c r="AH241" s="427"/>
      <c r="AI241" s="428"/>
    </row>
    <row r="242" spans="1:35" x14ac:dyDescent="0.25">
      <c r="A242" s="426"/>
      <c r="B242" s="427"/>
      <c r="C242" s="427"/>
      <c r="D242" s="427"/>
      <c r="E242" s="428"/>
      <c r="F242" s="68"/>
      <c r="G242" s="426"/>
      <c r="H242" s="427"/>
      <c r="I242" s="427"/>
      <c r="J242" s="427"/>
      <c r="K242" s="428"/>
      <c r="L242" s="68"/>
      <c r="M242" s="426"/>
      <c r="N242" s="427"/>
      <c r="O242" s="427"/>
      <c r="P242" s="427"/>
      <c r="Q242" s="428"/>
      <c r="R242" s="67"/>
      <c r="S242" s="426"/>
      <c r="T242" s="427"/>
      <c r="U242" s="427"/>
      <c r="V242" s="427"/>
      <c r="W242" s="428"/>
      <c r="X242" s="67"/>
      <c r="Y242" s="426"/>
      <c r="Z242" s="427"/>
      <c r="AA242" s="427"/>
      <c r="AB242" s="427"/>
      <c r="AC242" s="428"/>
      <c r="AE242" s="426"/>
      <c r="AF242" s="427"/>
      <c r="AG242" s="427"/>
      <c r="AH242" s="427"/>
      <c r="AI242" s="428"/>
    </row>
    <row r="243" spans="1:35" x14ac:dyDescent="0.25">
      <c r="A243" s="426"/>
      <c r="B243" s="427"/>
      <c r="C243" s="427"/>
      <c r="D243" s="427"/>
      <c r="E243" s="428"/>
      <c r="F243" s="68"/>
      <c r="G243" s="426"/>
      <c r="H243" s="427"/>
      <c r="I243" s="427"/>
      <c r="J243" s="427"/>
      <c r="K243" s="428"/>
      <c r="L243" s="68"/>
      <c r="M243" s="426"/>
      <c r="N243" s="427"/>
      <c r="O243" s="427"/>
      <c r="P243" s="427"/>
      <c r="Q243" s="428"/>
      <c r="R243" s="67"/>
      <c r="S243" s="426"/>
      <c r="T243" s="427"/>
      <c r="U243" s="427"/>
      <c r="V243" s="427"/>
      <c r="W243" s="428"/>
      <c r="X243" s="67"/>
      <c r="Y243" s="426"/>
      <c r="Z243" s="427"/>
      <c r="AA243" s="427"/>
      <c r="AB243" s="427"/>
      <c r="AC243" s="428"/>
      <c r="AE243" s="426"/>
      <c r="AF243" s="427"/>
      <c r="AG243" s="427"/>
      <c r="AH243" s="427"/>
      <c r="AI243" s="428"/>
    </row>
    <row r="244" spans="1:35" x14ac:dyDescent="0.25">
      <c r="A244" s="429"/>
      <c r="B244" s="430"/>
      <c r="C244" s="430"/>
      <c r="D244" s="430"/>
      <c r="E244" s="431"/>
      <c r="F244" s="68"/>
      <c r="G244" s="429"/>
      <c r="H244" s="430"/>
      <c r="I244" s="430"/>
      <c r="J244" s="430"/>
      <c r="K244" s="431"/>
      <c r="L244" s="68"/>
      <c r="M244" s="429"/>
      <c r="N244" s="430"/>
      <c r="O244" s="430"/>
      <c r="P244" s="430"/>
      <c r="Q244" s="431"/>
      <c r="R244" s="67"/>
      <c r="S244" s="429"/>
      <c r="T244" s="430"/>
      <c r="U244" s="430"/>
      <c r="V244" s="430"/>
      <c r="W244" s="431"/>
      <c r="X244" s="67"/>
      <c r="Y244" s="429"/>
      <c r="Z244" s="430"/>
      <c r="AA244" s="430"/>
      <c r="AB244" s="430"/>
      <c r="AC244" s="431"/>
      <c r="AE244" s="429"/>
      <c r="AF244" s="430"/>
      <c r="AG244" s="430"/>
      <c r="AH244" s="430"/>
      <c r="AI244" s="431"/>
    </row>
    <row r="245" spans="1:35" x14ac:dyDescent="0.2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</row>
    <row r="246" spans="1:35" x14ac:dyDescent="0.25">
      <c r="A246" s="420" t="s">
        <v>573</v>
      </c>
      <c r="B246" s="421"/>
      <c r="C246" s="421"/>
      <c r="D246" s="421"/>
      <c r="E246" s="422"/>
      <c r="F246" s="68"/>
      <c r="G246" s="420" t="s">
        <v>574</v>
      </c>
      <c r="H246" s="421"/>
      <c r="I246" s="421"/>
      <c r="J246" s="421"/>
      <c r="K246" s="422"/>
      <c r="L246" s="68"/>
      <c r="M246" s="420" t="s">
        <v>574</v>
      </c>
      <c r="N246" s="421"/>
      <c r="O246" s="421"/>
      <c r="P246" s="421"/>
      <c r="Q246" s="422"/>
      <c r="R246" s="67"/>
      <c r="S246" s="420" t="s">
        <v>574</v>
      </c>
      <c r="T246" s="421"/>
      <c r="U246" s="421"/>
      <c r="V246" s="421"/>
      <c r="W246" s="422"/>
      <c r="X246" s="67"/>
      <c r="Y246" s="420" t="s">
        <v>1140</v>
      </c>
      <c r="Z246" s="421"/>
      <c r="AA246" s="421"/>
      <c r="AB246" s="421"/>
      <c r="AC246" s="422"/>
      <c r="AE246" s="420" t="s">
        <v>1141</v>
      </c>
      <c r="AF246" s="421"/>
      <c r="AG246" s="421"/>
      <c r="AH246" s="421"/>
      <c r="AI246" s="422"/>
    </row>
    <row r="247" spans="1:35" x14ac:dyDescent="0.25">
      <c r="A247" s="423" t="s">
        <v>1113</v>
      </c>
      <c r="B247" s="424"/>
      <c r="C247" s="424"/>
      <c r="D247" s="424"/>
      <c r="E247" s="425"/>
      <c r="F247" s="68"/>
      <c r="G247" s="423"/>
      <c r="H247" s="424"/>
      <c r="I247" s="424"/>
      <c r="J247" s="424"/>
      <c r="K247" s="425"/>
      <c r="L247" s="68"/>
      <c r="M247" s="423"/>
      <c r="N247" s="424"/>
      <c r="O247" s="424"/>
      <c r="P247" s="424"/>
      <c r="Q247" s="425"/>
      <c r="R247" s="67"/>
      <c r="S247" s="423"/>
      <c r="T247" s="424"/>
      <c r="U247" s="424"/>
      <c r="V247" s="424"/>
      <c r="W247" s="425"/>
      <c r="X247" s="67"/>
      <c r="Y247" s="423"/>
      <c r="Z247" s="424"/>
      <c r="AA247" s="424"/>
      <c r="AB247" s="424"/>
      <c r="AC247" s="425"/>
      <c r="AE247" s="423"/>
      <c r="AF247" s="424"/>
      <c r="AG247" s="424"/>
      <c r="AH247" s="424"/>
      <c r="AI247" s="425"/>
    </row>
    <row r="248" spans="1:35" x14ac:dyDescent="0.25">
      <c r="A248" s="426"/>
      <c r="B248" s="427"/>
      <c r="C248" s="427"/>
      <c r="D248" s="427"/>
      <c r="E248" s="428"/>
      <c r="F248" s="68"/>
      <c r="G248" s="426"/>
      <c r="H248" s="427"/>
      <c r="I248" s="427"/>
      <c r="J248" s="427"/>
      <c r="K248" s="428"/>
      <c r="L248" s="68"/>
      <c r="M248" s="426"/>
      <c r="N248" s="427"/>
      <c r="O248" s="427"/>
      <c r="P248" s="427"/>
      <c r="Q248" s="428"/>
      <c r="R248" s="67"/>
      <c r="S248" s="426"/>
      <c r="T248" s="427"/>
      <c r="U248" s="427"/>
      <c r="V248" s="427"/>
      <c r="W248" s="428"/>
      <c r="X248" s="67"/>
      <c r="Y248" s="426"/>
      <c r="Z248" s="427"/>
      <c r="AA248" s="427"/>
      <c r="AB248" s="427"/>
      <c r="AC248" s="428"/>
      <c r="AE248" s="426"/>
      <c r="AF248" s="427"/>
      <c r="AG248" s="427"/>
      <c r="AH248" s="427"/>
      <c r="AI248" s="428"/>
    </row>
    <row r="249" spans="1:35" x14ac:dyDescent="0.25">
      <c r="A249" s="426"/>
      <c r="B249" s="427"/>
      <c r="C249" s="427"/>
      <c r="D249" s="427"/>
      <c r="E249" s="428"/>
      <c r="F249" s="68"/>
      <c r="G249" s="426"/>
      <c r="H249" s="427"/>
      <c r="I249" s="427"/>
      <c r="J249" s="427"/>
      <c r="K249" s="428"/>
      <c r="L249" s="68"/>
      <c r="M249" s="426"/>
      <c r="N249" s="427"/>
      <c r="O249" s="427"/>
      <c r="P249" s="427"/>
      <c r="Q249" s="428"/>
      <c r="R249" s="67"/>
      <c r="S249" s="426"/>
      <c r="T249" s="427"/>
      <c r="U249" s="427"/>
      <c r="V249" s="427"/>
      <c r="W249" s="428"/>
      <c r="X249" s="67"/>
      <c r="Y249" s="426"/>
      <c r="Z249" s="427"/>
      <c r="AA249" s="427"/>
      <c r="AB249" s="427"/>
      <c r="AC249" s="428"/>
      <c r="AE249" s="426"/>
      <c r="AF249" s="427"/>
      <c r="AG249" s="427"/>
      <c r="AH249" s="427"/>
      <c r="AI249" s="428"/>
    </row>
    <row r="250" spans="1:35" x14ac:dyDescent="0.25">
      <c r="A250" s="426"/>
      <c r="B250" s="427"/>
      <c r="C250" s="427"/>
      <c r="D250" s="427"/>
      <c r="E250" s="428"/>
      <c r="F250" s="68"/>
      <c r="G250" s="426"/>
      <c r="H250" s="427"/>
      <c r="I250" s="427"/>
      <c r="J250" s="427"/>
      <c r="K250" s="428"/>
      <c r="L250" s="68"/>
      <c r="M250" s="426"/>
      <c r="N250" s="427"/>
      <c r="O250" s="427"/>
      <c r="P250" s="427"/>
      <c r="Q250" s="428"/>
      <c r="R250" s="67"/>
      <c r="S250" s="426"/>
      <c r="T250" s="427"/>
      <c r="U250" s="427"/>
      <c r="V250" s="427"/>
      <c r="W250" s="428"/>
      <c r="X250" s="67"/>
      <c r="Y250" s="426"/>
      <c r="Z250" s="427"/>
      <c r="AA250" s="427"/>
      <c r="AB250" s="427"/>
      <c r="AC250" s="428"/>
      <c r="AE250" s="426"/>
      <c r="AF250" s="427"/>
      <c r="AG250" s="427"/>
      <c r="AH250" s="427"/>
      <c r="AI250" s="428"/>
    </row>
    <row r="251" spans="1:35" x14ac:dyDescent="0.25">
      <c r="A251" s="426"/>
      <c r="B251" s="427"/>
      <c r="C251" s="427"/>
      <c r="D251" s="427"/>
      <c r="E251" s="428"/>
      <c r="F251" s="68"/>
      <c r="G251" s="426"/>
      <c r="H251" s="427"/>
      <c r="I251" s="427"/>
      <c r="J251" s="427"/>
      <c r="K251" s="428"/>
      <c r="L251" s="68"/>
      <c r="M251" s="426"/>
      <c r="N251" s="427"/>
      <c r="O251" s="427"/>
      <c r="P251" s="427"/>
      <c r="Q251" s="428"/>
      <c r="R251" s="67"/>
      <c r="S251" s="426"/>
      <c r="T251" s="427"/>
      <c r="U251" s="427"/>
      <c r="V251" s="427"/>
      <c r="W251" s="428"/>
      <c r="X251" s="67"/>
      <c r="Y251" s="426"/>
      <c r="Z251" s="427"/>
      <c r="AA251" s="427"/>
      <c r="AB251" s="427"/>
      <c r="AC251" s="428"/>
      <c r="AE251" s="426"/>
      <c r="AF251" s="427"/>
      <c r="AG251" s="427"/>
      <c r="AH251" s="427"/>
      <c r="AI251" s="428"/>
    </row>
    <row r="252" spans="1:35" x14ac:dyDescent="0.25">
      <c r="A252" s="426"/>
      <c r="B252" s="427"/>
      <c r="C252" s="427"/>
      <c r="D252" s="427"/>
      <c r="E252" s="428"/>
      <c r="F252" s="68"/>
      <c r="G252" s="426"/>
      <c r="H252" s="427"/>
      <c r="I252" s="427"/>
      <c r="J252" s="427"/>
      <c r="K252" s="428"/>
      <c r="L252" s="68"/>
      <c r="M252" s="426"/>
      <c r="N252" s="427"/>
      <c r="O252" s="427"/>
      <c r="P252" s="427"/>
      <c r="Q252" s="428"/>
      <c r="R252" s="67"/>
      <c r="S252" s="426"/>
      <c r="T252" s="427"/>
      <c r="U252" s="427"/>
      <c r="V252" s="427"/>
      <c r="W252" s="428"/>
      <c r="X252" s="67"/>
      <c r="Y252" s="426"/>
      <c r="Z252" s="427"/>
      <c r="AA252" s="427"/>
      <c r="AB252" s="427"/>
      <c r="AC252" s="428"/>
      <c r="AE252" s="426"/>
      <c r="AF252" s="427"/>
      <c r="AG252" s="427"/>
      <c r="AH252" s="427"/>
      <c r="AI252" s="428"/>
    </row>
    <row r="253" spans="1:35" x14ac:dyDescent="0.25">
      <c r="A253" s="426"/>
      <c r="B253" s="427"/>
      <c r="C253" s="427"/>
      <c r="D253" s="427"/>
      <c r="E253" s="428"/>
      <c r="F253" s="68"/>
      <c r="G253" s="426"/>
      <c r="H253" s="427"/>
      <c r="I253" s="427"/>
      <c r="J253" s="427"/>
      <c r="K253" s="428"/>
      <c r="L253" s="68"/>
      <c r="M253" s="426"/>
      <c r="N253" s="427"/>
      <c r="O253" s="427"/>
      <c r="P253" s="427"/>
      <c r="Q253" s="428"/>
      <c r="R253" s="67"/>
      <c r="S253" s="426"/>
      <c r="T253" s="427"/>
      <c r="U253" s="427"/>
      <c r="V253" s="427"/>
      <c r="W253" s="428"/>
      <c r="X253" s="67"/>
      <c r="Y253" s="426"/>
      <c r="Z253" s="427"/>
      <c r="AA253" s="427"/>
      <c r="AB253" s="427"/>
      <c r="AC253" s="428"/>
      <c r="AE253" s="426"/>
      <c r="AF253" s="427"/>
      <c r="AG253" s="427"/>
      <c r="AH253" s="427"/>
      <c r="AI253" s="428"/>
    </row>
    <row r="254" spans="1:35" x14ac:dyDescent="0.25">
      <c r="A254" s="426"/>
      <c r="B254" s="427"/>
      <c r="C254" s="427"/>
      <c r="D254" s="427"/>
      <c r="E254" s="428"/>
      <c r="F254" s="68"/>
      <c r="G254" s="426"/>
      <c r="H254" s="427"/>
      <c r="I254" s="427"/>
      <c r="J254" s="427"/>
      <c r="K254" s="428"/>
      <c r="L254" s="68"/>
      <c r="M254" s="426"/>
      <c r="N254" s="427"/>
      <c r="O254" s="427"/>
      <c r="P254" s="427"/>
      <c r="Q254" s="428"/>
      <c r="R254" s="67"/>
      <c r="S254" s="426"/>
      <c r="T254" s="427"/>
      <c r="U254" s="427"/>
      <c r="V254" s="427"/>
      <c r="W254" s="428"/>
      <c r="X254" s="67"/>
      <c r="Y254" s="426"/>
      <c r="Z254" s="427"/>
      <c r="AA254" s="427"/>
      <c r="AB254" s="427"/>
      <c r="AC254" s="428"/>
      <c r="AE254" s="426"/>
      <c r="AF254" s="427"/>
      <c r="AG254" s="427"/>
      <c r="AH254" s="427"/>
      <c r="AI254" s="428"/>
    </row>
    <row r="255" spans="1:35" x14ac:dyDescent="0.25">
      <c r="A255" s="426"/>
      <c r="B255" s="427"/>
      <c r="C255" s="427"/>
      <c r="D255" s="427"/>
      <c r="E255" s="428"/>
      <c r="F255" s="68"/>
      <c r="G255" s="426"/>
      <c r="H255" s="427"/>
      <c r="I255" s="427"/>
      <c r="J255" s="427"/>
      <c r="K255" s="428"/>
      <c r="L255" s="68"/>
      <c r="M255" s="426"/>
      <c r="N255" s="427"/>
      <c r="O255" s="427"/>
      <c r="P255" s="427"/>
      <c r="Q255" s="428"/>
      <c r="R255" s="67"/>
      <c r="S255" s="426"/>
      <c r="T255" s="427"/>
      <c r="U255" s="427"/>
      <c r="V255" s="427"/>
      <c r="W255" s="428"/>
      <c r="X255" s="67"/>
      <c r="Y255" s="426"/>
      <c r="Z255" s="427"/>
      <c r="AA255" s="427"/>
      <c r="AB255" s="427"/>
      <c r="AC255" s="428"/>
      <c r="AE255" s="426"/>
      <c r="AF255" s="427"/>
      <c r="AG255" s="427"/>
      <c r="AH255" s="427"/>
      <c r="AI255" s="428"/>
    </row>
    <row r="256" spans="1:35" x14ac:dyDescent="0.25">
      <c r="A256" s="426"/>
      <c r="B256" s="427"/>
      <c r="C256" s="427"/>
      <c r="D256" s="427"/>
      <c r="E256" s="428"/>
      <c r="F256" s="68"/>
      <c r="G256" s="426"/>
      <c r="H256" s="427"/>
      <c r="I256" s="427"/>
      <c r="J256" s="427"/>
      <c r="K256" s="428"/>
      <c r="L256" s="68"/>
      <c r="M256" s="426"/>
      <c r="N256" s="427"/>
      <c r="O256" s="427"/>
      <c r="P256" s="427"/>
      <c r="Q256" s="428"/>
      <c r="R256" s="67"/>
      <c r="S256" s="426"/>
      <c r="T256" s="427"/>
      <c r="U256" s="427"/>
      <c r="V256" s="427"/>
      <c r="W256" s="428"/>
      <c r="X256" s="67"/>
      <c r="Y256" s="426"/>
      <c r="Z256" s="427"/>
      <c r="AA256" s="427"/>
      <c r="AB256" s="427"/>
      <c r="AC256" s="428"/>
      <c r="AE256" s="426"/>
      <c r="AF256" s="427"/>
      <c r="AG256" s="427"/>
      <c r="AH256" s="427"/>
      <c r="AI256" s="428"/>
    </row>
    <row r="257" spans="1:37" x14ac:dyDescent="0.25">
      <c r="A257" s="426"/>
      <c r="B257" s="427"/>
      <c r="C257" s="427"/>
      <c r="D257" s="427"/>
      <c r="E257" s="428"/>
      <c r="F257" s="68"/>
      <c r="G257" s="426"/>
      <c r="H257" s="427"/>
      <c r="I257" s="427"/>
      <c r="J257" s="427"/>
      <c r="K257" s="428"/>
      <c r="L257" s="68"/>
      <c r="M257" s="426"/>
      <c r="N257" s="427"/>
      <c r="O257" s="427"/>
      <c r="P257" s="427"/>
      <c r="Q257" s="428"/>
      <c r="R257" s="67"/>
      <c r="S257" s="426"/>
      <c r="T257" s="427"/>
      <c r="U257" s="427"/>
      <c r="V257" s="427"/>
      <c r="W257" s="428"/>
      <c r="X257" s="67"/>
      <c r="Y257" s="426"/>
      <c r="Z257" s="427"/>
      <c r="AA257" s="427"/>
      <c r="AB257" s="427"/>
      <c r="AC257" s="428"/>
      <c r="AE257" s="426"/>
      <c r="AF257" s="427"/>
      <c r="AG257" s="427"/>
      <c r="AH257" s="427"/>
      <c r="AI257" s="428"/>
    </row>
    <row r="258" spans="1:37" x14ac:dyDescent="0.25">
      <c r="A258" s="426"/>
      <c r="B258" s="427"/>
      <c r="C258" s="427"/>
      <c r="D258" s="427"/>
      <c r="E258" s="428"/>
      <c r="F258" s="68"/>
      <c r="G258" s="426"/>
      <c r="H258" s="427"/>
      <c r="I258" s="427"/>
      <c r="J258" s="427"/>
      <c r="K258" s="428"/>
      <c r="L258" s="68"/>
      <c r="M258" s="426"/>
      <c r="N258" s="427"/>
      <c r="O258" s="427"/>
      <c r="P258" s="427"/>
      <c r="Q258" s="428"/>
      <c r="R258" s="67"/>
      <c r="S258" s="426"/>
      <c r="T258" s="427"/>
      <c r="U258" s="427"/>
      <c r="V258" s="427"/>
      <c r="W258" s="428"/>
      <c r="X258" s="67"/>
      <c r="Y258" s="426"/>
      <c r="Z258" s="427"/>
      <c r="AA258" s="427"/>
      <c r="AB258" s="427"/>
      <c r="AC258" s="428"/>
      <c r="AE258" s="426"/>
      <c r="AF258" s="427"/>
      <c r="AG258" s="427"/>
      <c r="AH258" s="427"/>
      <c r="AI258" s="428"/>
    </row>
    <row r="259" spans="1:37" x14ac:dyDescent="0.25">
      <c r="A259" s="426"/>
      <c r="B259" s="427"/>
      <c r="C259" s="427"/>
      <c r="D259" s="427"/>
      <c r="E259" s="428"/>
      <c r="F259" s="68"/>
      <c r="G259" s="426"/>
      <c r="H259" s="427"/>
      <c r="I259" s="427"/>
      <c r="J259" s="427"/>
      <c r="K259" s="428"/>
      <c r="L259" s="68"/>
      <c r="M259" s="426"/>
      <c r="N259" s="427"/>
      <c r="O259" s="427"/>
      <c r="P259" s="427"/>
      <c r="Q259" s="428"/>
      <c r="R259" s="67"/>
      <c r="S259" s="426"/>
      <c r="T259" s="427"/>
      <c r="U259" s="427"/>
      <c r="V259" s="427"/>
      <c r="W259" s="428"/>
      <c r="X259" s="67"/>
      <c r="Y259" s="426"/>
      <c r="Z259" s="427"/>
      <c r="AA259" s="427"/>
      <c r="AB259" s="427"/>
      <c r="AC259" s="428"/>
      <c r="AE259" s="426"/>
      <c r="AF259" s="427"/>
      <c r="AG259" s="427"/>
      <c r="AH259" s="427"/>
      <c r="AI259" s="428"/>
    </row>
    <row r="260" spans="1:37" x14ac:dyDescent="0.25">
      <c r="A260" s="429"/>
      <c r="B260" s="430"/>
      <c r="C260" s="430"/>
      <c r="D260" s="430"/>
      <c r="E260" s="431"/>
      <c r="F260" s="68"/>
      <c r="G260" s="429"/>
      <c r="H260" s="430"/>
      <c r="I260" s="430"/>
      <c r="J260" s="430"/>
      <c r="K260" s="431"/>
      <c r="L260" s="68"/>
      <c r="M260" s="429"/>
      <c r="N260" s="430"/>
      <c r="O260" s="430"/>
      <c r="P260" s="430"/>
      <c r="Q260" s="431"/>
      <c r="R260" s="67"/>
      <c r="S260" s="429"/>
      <c r="T260" s="430"/>
      <c r="U260" s="430"/>
      <c r="V260" s="430"/>
      <c r="W260" s="431"/>
      <c r="X260" s="67"/>
      <c r="Y260" s="429"/>
      <c r="Z260" s="430"/>
      <c r="AA260" s="430"/>
      <c r="AB260" s="430"/>
      <c r="AC260" s="431"/>
      <c r="AE260" s="429"/>
      <c r="AF260" s="430"/>
      <c r="AG260" s="430"/>
      <c r="AH260" s="430"/>
      <c r="AI260" s="431"/>
    </row>
    <row r="261" spans="1:37" ht="15.75" thickBot="1" x14ac:dyDescent="0.3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</row>
    <row r="262" spans="1:37" x14ac:dyDescent="0.25">
      <c r="A262" s="67"/>
      <c r="B262" s="67"/>
      <c r="C262" s="67"/>
      <c r="D262" s="67"/>
      <c r="E262" s="67"/>
      <c r="F262" s="67"/>
      <c r="G262" s="67"/>
      <c r="H262" s="67"/>
      <c r="I262" s="67"/>
      <c r="J262" s="432" t="s">
        <v>575</v>
      </c>
      <c r="K262" s="433"/>
      <c r="L262" s="433"/>
      <c r="M262" s="433"/>
      <c r="N262" s="434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</row>
    <row r="263" spans="1:37" ht="15.75" thickBot="1" x14ac:dyDescent="0.3">
      <c r="A263" s="67"/>
      <c r="B263" s="67"/>
      <c r="C263" s="67"/>
      <c r="D263" s="67"/>
      <c r="E263" s="67"/>
      <c r="F263" s="67"/>
      <c r="G263" s="67"/>
      <c r="H263" s="67"/>
      <c r="I263" s="67"/>
      <c r="J263" s="435"/>
      <c r="K263" s="436"/>
      <c r="L263" s="436"/>
      <c r="M263" s="436"/>
      <c r="N263" s="43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</row>
    <row r="264" spans="1:37" x14ac:dyDescent="0.25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</row>
    <row r="265" spans="1:37" x14ac:dyDescent="0.25">
      <c r="A265" s="420" t="s">
        <v>576</v>
      </c>
      <c r="B265" s="421"/>
      <c r="C265" s="421"/>
      <c r="D265" s="421"/>
      <c r="E265" s="422"/>
      <c r="F265" s="68"/>
      <c r="G265" s="420" t="s">
        <v>577</v>
      </c>
      <c r="H265" s="421"/>
      <c r="I265" s="421"/>
      <c r="J265" s="421"/>
      <c r="K265" s="422"/>
      <c r="L265" s="68"/>
      <c r="M265" s="420" t="s">
        <v>578</v>
      </c>
      <c r="N265" s="421"/>
      <c r="O265" s="421"/>
      <c r="P265" s="421"/>
      <c r="Q265" s="422"/>
      <c r="R265" s="67"/>
      <c r="S265" s="420" t="s">
        <v>579</v>
      </c>
      <c r="T265" s="421"/>
      <c r="U265" s="421"/>
      <c r="V265" s="421"/>
      <c r="W265" s="422"/>
      <c r="X265" s="67"/>
      <c r="Y265" s="420" t="s">
        <v>1142</v>
      </c>
      <c r="Z265" s="421"/>
      <c r="AA265" s="421"/>
      <c r="AB265" s="421"/>
      <c r="AC265" s="422"/>
      <c r="AE265" s="420" t="s">
        <v>1143</v>
      </c>
      <c r="AF265" s="421"/>
      <c r="AG265" s="421"/>
      <c r="AH265" s="421"/>
      <c r="AI265" s="422"/>
      <c r="AK265" s="332" t="s">
        <v>1144</v>
      </c>
    </row>
    <row r="266" spans="1:37" ht="15" customHeight="1" x14ac:dyDescent="0.25">
      <c r="A266" s="423"/>
      <c r="B266" s="424"/>
      <c r="C266" s="424"/>
      <c r="D266" s="424"/>
      <c r="E266" s="425"/>
      <c r="F266" s="68"/>
      <c r="G266" s="423"/>
      <c r="H266" s="424"/>
      <c r="I266" s="424"/>
      <c r="J266" s="424"/>
      <c r="K266" s="425"/>
      <c r="L266" s="68"/>
      <c r="M266" s="423"/>
      <c r="N266" s="424"/>
      <c r="O266" s="424"/>
      <c r="P266" s="424"/>
      <c r="Q266" s="425"/>
      <c r="R266" s="67"/>
      <c r="S266" s="423"/>
      <c r="T266" s="424"/>
      <c r="U266" s="424"/>
      <c r="V266" s="424"/>
      <c r="W266" s="425"/>
      <c r="X266" s="67"/>
      <c r="Y266" s="423"/>
      <c r="Z266" s="424"/>
      <c r="AA266" s="424"/>
      <c r="AB266" s="424"/>
      <c r="AC266" s="425"/>
      <c r="AE266" s="423"/>
      <c r="AF266" s="424"/>
      <c r="AG266" s="424"/>
      <c r="AH266" s="424"/>
      <c r="AI266" s="425"/>
      <c r="AK266" s="423"/>
    </row>
    <row r="267" spans="1:37" ht="15" customHeight="1" x14ac:dyDescent="0.25">
      <c r="A267" s="426"/>
      <c r="B267" s="427"/>
      <c r="C267" s="427"/>
      <c r="D267" s="427"/>
      <c r="E267" s="428"/>
      <c r="F267" s="68"/>
      <c r="G267" s="426"/>
      <c r="H267" s="427"/>
      <c r="I267" s="427"/>
      <c r="J267" s="427"/>
      <c r="K267" s="428"/>
      <c r="L267" s="68"/>
      <c r="M267" s="426"/>
      <c r="N267" s="427"/>
      <c r="O267" s="427"/>
      <c r="P267" s="427"/>
      <c r="Q267" s="428"/>
      <c r="R267" s="67"/>
      <c r="S267" s="426"/>
      <c r="T267" s="427"/>
      <c r="U267" s="427"/>
      <c r="V267" s="427"/>
      <c r="W267" s="428"/>
      <c r="X267" s="67"/>
      <c r="Y267" s="426"/>
      <c r="Z267" s="427"/>
      <c r="AA267" s="427"/>
      <c r="AB267" s="427"/>
      <c r="AC267" s="428"/>
      <c r="AE267" s="426"/>
      <c r="AF267" s="427"/>
      <c r="AG267" s="427"/>
      <c r="AH267" s="427"/>
      <c r="AI267" s="428"/>
      <c r="AK267" s="426"/>
    </row>
    <row r="268" spans="1:37" ht="15" customHeight="1" x14ac:dyDescent="0.25">
      <c r="A268" s="426"/>
      <c r="B268" s="427"/>
      <c r="C268" s="427"/>
      <c r="D268" s="427"/>
      <c r="E268" s="428"/>
      <c r="F268" s="68"/>
      <c r="G268" s="426"/>
      <c r="H268" s="427"/>
      <c r="I268" s="427"/>
      <c r="J268" s="427"/>
      <c r="K268" s="428"/>
      <c r="L268" s="68"/>
      <c r="M268" s="426"/>
      <c r="N268" s="427"/>
      <c r="O268" s="427"/>
      <c r="P268" s="427"/>
      <c r="Q268" s="428"/>
      <c r="R268" s="67"/>
      <c r="S268" s="426"/>
      <c r="T268" s="427"/>
      <c r="U268" s="427"/>
      <c r="V268" s="427"/>
      <c r="W268" s="428"/>
      <c r="X268" s="67"/>
      <c r="Y268" s="426"/>
      <c r="Z268" s="427"/>
      <c r="AA268" s="427"/>
      <c r="AB268" s="427"/>
      <c r="AC268" s="428"/>
      <c r="AE268" s="426"/>
      <c r="AF268" s="427"/>
      <c r="AG268" s="427"/>
      <c r="AH268" s="427"/>
      <c r="AI268" s="428"/>
      <c r="AK268" s="426"/>
    </row>
    <row r="269" spans="1:37" ht="15" customHeight="1" x14ac:dyDescent="0.25">
      <c r="A269" s="426"/>
      <c r="B269" s="427"/>
      <c r="C269" s="427"/>
      <c r="D269" s="427"/>
      <c r="E269" s="428"/>
      <c r="F269" s="68"/>
      <c r="G269" s="426"/>
      <c r="H269" s="427"/>
      <c r="I269" s="427"/>
      <c r="J269" s="427"/>
      <c r="K269" s="428"/>
      <c r="L269" s="68"/>
      <c r="M269" s="426"/>
      <c r="N269" s="427"/>
      <c r="O269" s="427"/>
      <c r="P269" s="427"/>
      <c r="Q269" s="428"/>
      <c r="R269" s="67"/>
      <c r="S269" s="426"/>
      <c r="T269" s="427"/>
      <c r="U269" s="427"/>
      <c r="V269" s="427"/>
      <c r="W269" s="428"/>
      <c r="X269" s="67"/>
      <c r="Y269" s="426"/>
      <c r="Z269" s="427"/>
      <c r="AA269" s="427"/>
      <c r="AB269" s="427"/>
      <c r="AC269" s="428"/>
      <c r="AE269" s="426"/>
      <c r="AF269" s="427"/>
      <c r="AG269" s="427"/>
      <c r="AH269" s="427"/>
      <c r="AI269" s="428"/>
      <c r="AK269" s="426"/>
    </row>
    <row r="270" spans="1:37" ht="15" customHeight="1" x14ac:dyDescent="0.25">
      <c r="A270" s="426"/>
      <c r="B270" s="427"/>
      <c r="C270" s="427"/>
      <c r="D270" s="427"/>
      <c r="E270" s="428"/>
      <c r="F270" s="68"/>
      <c r="G270" s="426"/>
      <c r="H270" s="427"/>
      <c r="I270" s="427"/>
      <c r="J270" s="427"/>
      <c r="K270" s="428"/>
      <c r="L270" s="68"/>
      <c r="M270" s="426"/>
      <c r="N270" s="427"/>
      <c r="O270" s="427"/>
      <c r="P270" s="427"/>
      <c r="Q270" s="428"/>
      <c r="R270" s="67"/>
      <c r="S270" s="426"/>
      <c r="T270" s="427"/>
      <c r="U270" s="427"/>
      <c r="V270" s="427"/>
      <c r="W270" s="428"/>
      <c r="X270" s="67"/>
      <c r="Y270" s="426"/>
      <c r="Z270" s="427"/>
      <c r="AA270" s="427"/>
      <c r="AB270" s="427"/>
      <c r="AC270" s="428"/>
      <c r="AE270" s="426"/>
      <c r="AF270" s="427"/>
      <c r="AG270" s="427"/>
      <c r="AH270" s="427"/>
      <c r="AI270" s="428"/>
      <c r="AK270" s="426"/>
    </row>
    <row r="271" spans="1:37" ht="15" customHeight="1" x14ac:dyDescent="0.25">
      <c r="A271" s="426"/>
      <c r="B271" s="427"/>
      <c r="C271" s="427"/>
      <c r="D271" s="427"/>
      <c r="E271" s="428"/>
      <c r="F271" s="68"/>
      <c r="G271" s="426"/>
      <c r="H271" s="427"/>
      <c r="I271" s="427"/>
      <c r="J271" s="427"/>
      <c r="K271" s="428"/>
      <c r="L271" s="68"/>
      <c r="M271" s="426"/>
      <c r="N271" s="427"/>
      <c r="O271" s="427"/>
      <c r="P271" s="427"/>
      <c r="Q271" s="428"/>
      <c r="R271" s="67"/>
      <c r="S271" s="426"/>
      <c r="T271" s="427"/>
      <c r="U271" s="427"/>
      <c r="V271" s="427"/>
      <c r="W271" s="428"/>
      <c r="X271" s="67"/>
      <c r="Y271" s="426"/>
      <c r="Z271" s="427"/>
      <c r="AA271" s="427"/>
      <c r="AB271" s="427"/>
      <c r="AC271" s="428"/>
      <c r="AE271" s="426"/>
      <c r="AF271" s="427"/>
      <c r="AG271" s="427"/>
      <c r="AH271" s="427"/>
      <c r="AI271" s="428"/>
      <c r="AK271" s="426"/>
    </row>
    <row r="272" spans="1:37" ht="15" customHeight="1" x14ac:dyDescent="0.25">
      <c r="A272" s="426"/>
      <c r="B272" s="427"/>
      <c r="C272" s="427"/>
      <c r="D272" s="427"/>
      <c r="E272" s="428"/>
      <c r="F272" s="68"/>
      <c r="G272" s="426"/>
      <c r="H272" s="427"/>
      <c r="I272" s="427"/>
      <c r="J272" s="427"/>
      <c r="K272" s="428"/>
      <c r="L272" s="68"/>
      <c r="M272" s="426"/>
      <c r="N272" s="427"/>
      <c r="O272" s="427"/>
      <c r="P272" s="427"/>
      <c r="Q272" s="428"/>
      <c r="R272" s="67"/>
      <c r="S272" s="426"/>
      <c r="T272" s="427"/>
      <c r="U272" s="427"/>
      <c r="V272" s="427"/>
      <c r="W272" s="428"/>
      <c r="X272" s="67"/>
      <c r="Y272" s="426"/>
      <c r="Z272" s="427"/>
      <c r="AA272" s="427"/>
      <c r="AB272" s="427"/>
      <c r="AC272" s="428"/>
      <c r="AE272" s="426"/>
      <c r="AF272" s="427"/>
      <c r="AG272" s="427"/>
      <c r="AH272" s="427"/>
      <c r="AI272" s="428"/>
      <c r="AK272" s="426"/>
    </row>
    <row r="273" spans="1:37" ht="15" customHeight="1" x14ac:dyDescent="0.25">
      <c r="A273" s="426"/>
      <c r="B273" s="427"/>
      <c r="C273" s="427"/>
      <c r="D273" s="427"/>
      <c r="E273" s="428"/>
      <c r="F273" s="68"/>
      <c r="G273" s="426"/>
      <c r="H273" s="427"/>
      <c r="I273" s="427"/>
      <c r="J273" s="427"/>
      <c r="K273" s="428"/>
      <c r="L273" s="68"/>
      <c r="M273" s="426"/>
      <c r="N273" s="427"/>
      <c r="O273" s="427"/>
      <c r="P273" s="427"/>
      <c r="Q273" s="428"/>
      <c r="R273" s="67"/>
      <c r="S273" s="426"/>
      <c r="T273" s="427"/>
      <c r="U273" s="427"/>
      <c r="V273" s="427"/>
      <c r="W273" s="428"/>
      <c r="X273" s="67"/>
      <c r="Y273" s="426"/>
      <c r="Z273" s="427"/>
      <c r="AA273" s="427"/>
      <c r="AB273" s="427"/>
      <c r="AC273" s="428"/>
      <c r="AE273" s="426"/>
      <c r="AF273" s="427"/>
      <c r="AG273" s="427"/>
      <c r="AH273" s="427"/>
      <c r="AI273" s="428"/>
      <c r="AK273" s="426"/>
    </row>
    <row r="274" spans="1:37" ht="15" customHeight="1" x14ac:dyDescent="0.25">
      <c r="A274" s="426"/>
      <c r="B274" s="427"/>
      <c r="C274" s="427"/>
      <c r="D274" s="427"/>
      <c r="E274" s="428"/>
      <c r="F274" s="68"/>
      <c r="G274" s="426"/>
      <c r="H274" s="427"/>
      <c r="I274" s="427"/>
      <c r="J274" s="427"/>
      <c r="K274" s="428"/>
      <c r="L274" s="68"/>
      <c r="M274" s="426"/>
      <c r="N274" s="427"/>
      <c r="O274" s="427"/>
      <c r="P274" s="427"/>
      <c r="Q274" s="428"/>
      <c r="R274" s="67"/>
      <c r="S274" s="426"/>
      <c r="T274" s="427"/>
      <c r="U274" s="427"/>
      <c r="V274" s="427"/>
      <c r="W274" s="428"/>
      <c r="X274" s="67"/>
      <c r="Y274" s="426"/>
      <c r="Z274" s="427"/>
      <c r="AA274" s="427"/>
      <c r="AB274" s="427"/>
      <c r="AC274" s="428"/>
      <c r="AE274" s="426"/>
      <c r="AF274" s="427"/>
      <c r="AG274" s="427"/>
      <c r="AH274" s="427"/>
      <c r="AI274" s="428"/>
      <c r="AK274" s="426"/>
    </row>
    <row r="275" spans="1:37" ht="15" customHeight="1" x14ac:dyDescent="0.25">
      <c r="A275" s="426"/>
      <c r="B275" s="427"/>
      <c r="C275" s="427"/>
      <c r="D275" s="427"/>
      <c r="E275" s="428"/>
      <c r="F275" s="68"/>
      <c r="G275" s="426"/>
      <c r="H275" s="427"/>
      <c r="I275" s="427"/>
      <c r="J275" s="427"/>
      <c r="K275" s="428"/>
      <c r="L275" s="68"/>
      <c r="M275" s="426"/>
      <c r="N275" s="427"/>
      <c r="O275" s="427"/>
      <c r="P275" s="427"/>
      <c r="Q275" s="428"/>
      <c r="R275" s="67"/>
      <c r="S275" s="426"/>
      <c r="T275" s="427"/>
      <c r="U275" s="427"/>
      <c r="V275" s="427"/>
      <c r="W275" s="428"/>
      <c r="X275" s="67"/>
      <c r="Y275" s="426"/>
      <c r="Z275" s="427"/>
      <c r="AA275" s="427"/>
      <c r="AB275" s="427"/>
      <c r="AC275" s="428"/>
      <c r="AE275" s="426"/>
      <c r="AF275" s="427"/>
      <c r="AG275" s="427"/>
      <c r="AH275" s="427"/>
      <c r="AI275" s="428"/>
      <c r="AK275" s="426"/>
    </row>
    <row r="276" spans="1:37" ht="15" customHeight="1" x14ac:dyDescent="0.25">
      <c r="A276" s="426"/>
      <c r="B276" s="427"/>
      <c r="C276" s="427"/>
      <c r="D276" s="427"/>
      <c r="E276" s="428"/>
      <c r="F276" s="68"/>
      <c r="G276" s="426"/>
      <c r="H276" s="427"/>
      <c r="I276" s="427"/>
      <c r="J276" s="427"/>
      <c r="K276" s="428"/>
      <c r="L276" s="68"/>
      <c r="M276" s="426"/>
      <c r="N276" s="427"/>
      <c r="O276" s="427"/>
      <c r="P276" s="427"/>
      <c r="Q276" s="428"/>
      <c r="R276" s="67"/>
      <c r="S276" s="426"/>
      <c r="T276" s="427"/>
      <c r="U276" s="427"/>
      <c r="V276" s="427"/>
      <c r="W276" s="428"/>
      <c r="X276" s="67"/>
      <c r="Y276" s="426"/>
      <c r="Z276" s="427"/>
      <c r="AA276" s="427"/>
      <c r="AB276" s="427"/>
      <c r="AC276" s="428"/>
      <c r="AE276" s="426"/>
      <c r="AF276" s="427"/>
      <c r="AG276" s="427"/>
      <c r="AH276" s="427"/>
      <c r="AI276" s="428"/>
      <c r="AK276" s="426"/>
    </row>
    <row r="277" spans="1:37" ht="15" customHeight="1" x14ac:dyDescent="0.25">
      <c r="A277" s="426"/>
      <c r="B277" s="427"/>
      <c r="C277" s="427"/>
      <c r="D277" s="427"/>
      <c r="E277" s="428"/>
      <c r="F277" s="68"/>
      <c r="G277" s="426"/>
      <c r="H277" s="427"/>
      <c r="I277" s="427"/>
      <c r="J277" s="427"/>
      <c r="K277" s="428"/>
      <c r="L277" s="68"/>
      <c r="M277" s="426"/>
      <c r="N277" s="427"/>
      <c r="O277" s="427"/>
      <c r="P277" s="427"/>
      <c r="Q277" s="428"/>
      <c r="R277" s="67"/>
      <c r="S277" s="426"/>
      <c r="T277" s="427"/>
      <c r="U277" s="427"/>
      <c r="V277" s="427"/>
      <c r="W277" s="428"/>
      <c r="X277" s="67"/>
      <c r="Y277" s="426"/>
      <c r="Z277" s="427"/>
      <c r="AA277" s="427"/>
      <c r="AB277" s="427"/>
      <c r="AC277" s="428"/>
      <c r="AE277" s="426"/>
      <c r="AF277" s="427"/>
      <c r="AG277" s="427"/>
      <c r="AH277" s="427"/>
      <c r="AI277" s="428"/>
      <c r="AK277" s="426"/>
    </row>
    <row r="278" spans="1:37" ht="15" customHeight="1" x14ac:dyDescent="0.25">
      <c r="A278" s="426"/>
      <c r="B278" s="427"/>
      <c r="C278" s="427"/>
      <c r="D278" s="427"/>
      <c r="E278" s="428"/>
      <c r="F278" s="68"/>
      <c r="G278" s="426"/>
      <c r="H278" s="427"/>
      <c r="I278" s="427"/>
      <c r="J278" s="427"/>
      <c r="K278" s="428"/>
      <c r="L278" s="68"/>
      <c r="M278" s="426"/>
      <c r="N278" s="427"/>
      <c r="O278" s="427"/>
      <c r="P278" s="427"/>
      <c r="Q278" s="428"/>
      <c r="R278" s="67"/>
      <c r="S278" s="426"/>
      <c r="T278" s="427"/>
      <c r="U278" s="427"/>
      <c r="V278" s="427"/>
      <c r="W278" s="428"/>
      <c r="X278" s="67"/>
      <c r="Y278" s="426"/>
      <c r="Z278" s="427"/>
      <c r="AA278" s="427"/>
      <c r="AB278" s="427"/>
      <c r="AC278" s="428"/>
      <c r="AE278" s="426"/>
      <c r="AF278" s="427"/>
      <c r="AG278" s="427"/>
      <c r="AH278" s="427"/>
      <c r="AI278" s="428"/>
      <c r="AK278" s="426"/>
    </row>
    <row r="279" spans="1:37" ht="15" customHeight="1" x14ac:dyDescent="0.25">
      <c r="A279" s="429"/>
      <c r="B279" s="430"/>
      <c r="C279" s="430"/>
      <c r="D279" s="430"/>
      <c r="E279" s="431"/>
      <c r="F279" s="68"/>
      <c r="G279" s="429"/>
      <c r="H279" s="430"/>
      <c r="I279" s="430"/>
      <c r="J279" s="430"/>
      <c r="K279" s="431"/>
      <c r="L279" s="68"/>
      <c r="M279" s="429"/>
      <c r="N279" s="430"/>
      <c r="O279" s="430"/>
      <c r="P279" s="430"/>
      <c r="Q279" s="431"/>
      <c r="R279" s="67"/>
      <c r="S279" s="429"/>
      <c r="T279" s="430"/>
      <c r="U279" s="430"/>
      <c r="V279" s="430"/>
      <c r="W279" s="431"/>
      <c r="X279" s="67"/>
      <c r="Y279" s="429"/>
      <c r="Z279" s="430"/>
      <c r="AA279" s="430"/>
      <c r="AB279" s="430"/>
      <c r="AC279" s="431"/>
      <c r="AE279" s="429"/>
      <c r="AF279" s="430"/>
      <c r="AG279" s="430"/>
      <c r="AH279" s="430"/>
      <c r="AI279" s="431"/>
      <c r="AK279" s="429"/>
    </row>
    <row r="280" spans="1:37" x14ac:dyDescent="0.25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7"/>
      <c r="S280" s="68"/>
      <c r="T280" s="68"/>
      <c r="U280" s="68"/>
      <c r="V280" s="68"/>
      <c r="W280" s="68"/>
      <c r="X280" s="67"/>
      <c r="Y280" s="67"/>
      <c r="Z280" s="67"/>
      <c r="AA280" s="67"/>
      <c r="AB280" s="67"/>
      <c r="AC280" s="67"/>
    </row>
    <row r="281" spans="1:37" ht="15" customHeight="1" x14ac:dyDescent="0.25">
      <c r="A281" s="420" t="s">
        <v>580</v>
      </c>
      <c r="B281" s="421"/>
      <c r="C281" s="421"/>
      <c r="D281" s="421"/>
      <c r="E281" s="422"/>
      <c r="F281" s="68"/>
      <c r="G281" s="420" t="s">
        <v>581</v>
      </c>
      <c r="H281" s="421"/>
      <c r="I281" s="421"/>
      <c r="J281" s="421"/>
      <c r="K281" s="422"/>
      <c r="L281" s="68"/>
      <c r="M281" s="420" t="s">
        <v>582</v>
      </c>
      <c r="N281" s="421"/>
      <c r="O281" s="421"/>
      <c r="P281" s="421"/>
      <c r="Q281" s="422"/>
      <c r="R281" s="67"/>
      <c r="S281" s="420" t="s">
        <v>1145</v>
      </c>
      <c r="T281" s="421"/>
      <c r="U281" s="421"/>
      <c r="V281" s="421"/>
      <c r="W281" s="422"/>
      <c r="X281" s="67"/>
      <c r="Y281" s="420" t="s">
        <v>1145</v>
      </c>
      <c r="Z281" s="421"/>
      <c r="AA281" s="421"/>
      <c r="AB281" s="421"/>
      <c r="AC281" s="422"/>
      <c r="AE281" s="420" t="s">
        <v>1145</v>
      </c>
      <c r="AF281" s="421"/>
      <c r="AG281" s="421"/>
      <c r="AH281" s="421"/>
      <c r="AI281" s="422"/>
      <c r="AK281" s="332" t="s">
        <v>1145</v>
      </c>
    </row>
    <row r="282" spans="1:37" ht="15" customHeight="1" x14ac:dyDescent="0.25">
      <c r="A282" s="423"/>
      <c r="B282" s="424"/>
      <c r="C282" s="424"/>
      <c r="D282" s="424"/>
      <c r="E282" s="425"/>
      <c r="F282" s="68"/>
      <c r="G282" s="423"/>
      <c r="H282" s="424"/>
      <c r="I282" s="424"/>
      <c r="J282" s="424"/>
      <c r="K282" s="425"/>
      <c r="L282" s="68"/>
      <c r="M282" s="423"/>
      <c r="N282" s="424"/>
      <c r="O282" s="424"/>
      <c r="P282" s="424"/>
      <c r="Q282" s="425"/>
      <c r="R282" s="67"/>
      <c r="S282" s="423"/>
      <c r="T282" s="424"/>
      <c r="U282" s="424"/>
      <c r="V282" s="424"/>
      <c r="W282" s="425"/>
      <c r="X282" s="67"/>
      <c r="Y282" s="423"/>
      <c r="Z282" s="424"/>
      <c r="AA282" s="424"/>
      <c r="AB282" s="424"/>
      <c r="AC282" s="425"/>
      <c r="AE282" s="423"/>
      <c r="AF282" s="424"/>
      <c r="AG282" s="424"/>
      <c r="AH282" s="424"/>
      <c r="AI282" s="425"/>
      <c r="AK282" s="423"/>
    </row>
    <row r="283" spans="1:37" ht="15" customHeight="1" x14ac:dyDescent="0.25">
      <c r="A283" s="426"/>
      <c r="B283" s="427"/>
      <c r="C283" s="427"/>
      <c r="D283" s="427"/>
      <c r="E283" s="428"/>
      <c r="F283" s="68"/>
      <c r="G283" s="426"/>
      <c r="H283" s="427"/>
      <c r="I283" s="427"/>
      <c r="J283" s="427"/>
      <c r="K283" s="428"/>
      <c r="L283" s="68"/>
      <c r="M283" s="426"/>
      <c r="N283" s="427"/>
      <c r="O283" s="427"/>
      <c r="P283" s="427"/>
      <c r="Q283" s="428"/>
      <c r="R283" s="67"/>
      <c r="S283" s="426"/>
      <c r="T283" s="427"/>
      <c r="U283" s="427"/>
      <c r="V283" s="427"/>
      <c r="W283" s="428"/>
      <c r="X283" s="67"/>
      <c r="Y283" s="426"/>
      <c r="Z283" s="427"/>
      <c r="AA283" s="427"/>
      <c r="AB283" s="427"/>
      <c r="AC283" s="428"/>
      <c r="AE283" s="426"/>
      <c r="AF283" s="427"/>
      <c r="AG283" s="427"/>
      <c r="AH283" s="427"/>
      <c r="AI283" s="428"/>
      <c r="AK283" s="426"/>
    </row>
    <row r="284" spans="1:37" ht="15" customHeight="1" x14ac:dyDescent="0.25">
      <c r="A284" s="426"/>
      <c r="B284" s="427"/>
      <c r="C284" s="427"/>
      <c r="D284" s="427"/>
      <c r="E284" s="428"/>
      <c r="F284" s="68"/>
      <c r="G284" s="426"/>
      <c r="H284" s="427"/>
      <c r="I284" s="427"/>
      <c r="J284" s="427"/>
      <c r="K284" s="428"/>
      <c r="L284" s="68"/>
      <c r="M284" s="426"/>
      <c r="N284" s="427"/>
      <c r="O284" s="427"/>
      <c r="P284" s="427"/>
      <c r="Q284" s="428"/>
      <c r="R284" s="67"/>
      <c r="S284" s="426"/>
      <c r="T284" s="427"/>
      <c r="U284" s="427"/>
      <c r="V284" s="427"/>
      <c r="W284" s="428"/>
      <c r="X284" s="67"/>
      <c r="Y284" s="426"/>
      <c r="Z284" s="427"/>
      <c r="AA284" s="427"/>
      <c r="AB284" s="427"/>
      <c r="AC284" s="428"/>
      <c r="AE284" s="426"/>
      <c r="AF284" s="427"/>
      <c r="AG284" s="427"/>
      <c r="AH284" s="427"/>
      <c r="AI284" s="428"/>
      <c r="AK284" s="426"/>
    </row>
    <row r="285" spans="1:37" ht="15" customHeight="1" x14ac:dyDescent="0.25">
      <c r="A285" s="426"/>
      <c r="B285" s="427"/>
      <c r="C285" s="427"/>
      <c r="D285" s="427"/>
      <c r="E285" s="428"/>
      <c r="F285" s="68"/>
      <c r="G285" s="426"/>
      <c r="H285" s="427"/>
      <c r="I285" s="427"/>
      <c r="J285" s="427"/>
      <c r="K285" s="428"/>
      <c r="L285" s="68"/>
      <c r="M285" s="426"/>
      <c r="N285" s="427"/>
      <c r="O285" s="427"/>
      <c r="P285" s="427"/>
      <c r="Q285" s="428"/>
      <c r="R285" s="67"/>
      <c r="S285" s="426"/>
      <c r="T285" s="427"/>
      <c r="U285" s="427"/>
      <c r="V285" s="427"/>
      <c r="W285" s="428"/>
      <c r="X285" s="67"/>
      <c r="Y285" s="426"/>
      <c r="Z285" s="427"/>
      <c r="AA285" s="427"/>
      <c r="AB285" s="427"/>
      <c r="AC285" s="428"/>
      <c r="AE285" s="426"/>
      <c r="AF285" s="427"/>
      <c r="AG285" s="427"/>
      <c r="AH285" s="427"/>
      <c r="AI285" s="428"/>
      <c r="AK285" s="426"/>
    </row>
    <row r="286" spans="1:37" ht="15" customHeight="1" x14ac:dyDescent="0.25">
      <c r="A286" s="426"/>
      <c r="B286" s="427"/>
      <c r="C286" s="427"/>
      <c r="D286" s="427"/>
      <c r="E286" s="428"/>
      <c r="F286" s="68"/>
      <c r="G286" s="426"/>
      <c r="H286" s="427"/>
      <c r="I286" s="427"/>
      <c r="J286" s="427"/>
      <c r="K286" s="428"/>
      <c r="L286" s="68"/>
      <c r="M286" s="426"/>
      <c r="N286" s="427"/>
      <c r="O286" s="427"/>
      <c r="P286" s="427"/>
      <c r="Q286" s="428"/>
      <c r="R286" s="67"/>
      <c r="S286" s="426"/>
      <c r="T286" s="427"/>
      <c r="U286" s="427"/>
      <c r="V286" s="427"/>
      <c r="W286" s="428"/>
      <c r="X286" s="67"/>
      <c r="Y286" s="426"/>
      <c r="Z286" s="427"/>
      <c r="AA286" s="427"/>
      <c r="AB286" s="427"/>
      <c r="AC286" s="428"/>
      <c r="AE286" s="426"/>
      <c r="AF286" s="427"/>
      <c r="AG286" s="427"/>
      <c r="AH286" s="427"/>
      <c r="AI286" s="428"/>
      <c r="AK286" s="426"/>
    </row>
    <row r="287" spans="1:37" ht="15" customHeight="1" x14ac:dyDescent="0.25">
      <c r="A287" s="426"/>
      <c r="B287" s="427"/>
      <c r="C287" s="427"/>
      <c r="D287" s="427"/>
      <c r="E287" s="428"/>
      <c r="F287" s="68"/>
      <c r="G287" s="426"/>
      <c r="H287" s="427"/>
      <c r="I287" s="427"/>
      <c r="J287" s="427"/>
      <c r="K287" s="428"/>
      <c r="L287" s="68"/>
      <c r="M287" s="426"/>
      <c r="N287" s="427"/>
      <c r="O287" s="427"/>
      <c r="P287" s="427"/>
      <c r="Q287" s="428"/>
      <c r="R287" s="67"/>
      <c r="S287" s="426"/>
      <c r="T287" s="427"/>
      <c r="U287" s="427"/>
      <c r="V287" s="427"/>
      <c r="W287" s="428"/>
      <c r="X287" s="67"/>
      <c r="Y287" s="426"/>
      <c r="Z287" s="427"/>
      <c r="AA287" s="427"/>
      <c r="AB287" s="427"/>
      <c r="AC287" s="428"/>
      <c r="AE287" s="426"/>
      <c r="AF287" s="427"/>
      <c r="AG287" s="427"/>
      <c r="AH287" s="427"/>
      <c r="AI287" s="428"/>
      <c r="AK287" s="426"/>
    </row>
    <row r="288" spans="1:37" ht="15" customHeight="1" x14ac:dyDescent="0.25">
      <c r="A288" s="426"/>
      <c r="B288" s="427"/>
      <c r="C288" s="427"/>
      <c r="D288" s="427"/>
      <c r="E288" s="428"/>
      <c r="F288" s="68"/>
      <c r="G288" s="426"/>
      <c r="H288" s="427"/>
      <c r="I288" s="427"/>
      <c r="J288" s="427"/>
      <c r="K288" s="428"/>
      <c r="L288" s="68"/>
      <c r="M288" s="426"/>
      <c r="N288" s="427"/>
      <c r="O288" s="427"/>
      <c r="P288" s="427"/>
      <c r="Q288" s="428"/>
      <c r="R288" s="67"/>
      <c r="S288" s="426"/>
      <c r="T288" s="427"/>
      <c r="U288" s="427"/>
      <c r="V288" s="427"/>
      <c r="W288" s="428"/>
      <c r="X288" s="67"/>
      <c r="Y288" s="426"/>
      <c r="Z288" s="427"/>
      <c r="AA288" s="427"/>
      <c r="AB288" s="427"/>
      <c r="AC288" s="428"/>
      <c r="AE288" s="426"/>
      <c r="AF288" s="427"/>
      <c r="AG288" s="427"/>
      <c r="AH288" s="427"/>
      <c r="AI288" s="428"/>
      <c r="AK288" s="426"/>
    </row>
    <row r="289" spans="1:37" ht="15" customHeight="1" x14ac:dyDescent="0.25">
      <c r="A289" s="426"/>
      <c r="B289" s="427"/>
      <c r="C289" s="427"/>
      <c r="D289" s="427"/>
      <c r="E289" s="428"/>
      <c r="F289" s="68"/>
      <c r="G289" s="426"/>
      <c r="H289" s="427"/>
      <c r="I289" s="427"/>
      <c r="J289" s="427"/>
      <c r="K289" s="428"/>
      <c r="L289" s="68"/>
      <c r="M289" s="426"/>
      <c r="N289" s="427"/>
      <c r="O289" s="427"/>
      <c r="P289" s="427"/>
      <c r="Q289" s="428"/>
      <c r="R289" s="67"/>
      <c r="S289" s="426"/>
      <c r="T289" s="427"/>
      <c r="U289" s="427"/>
      <c r="V289" s="427"/>
      <c r="W289" s="428"/>
      <c r="X289" s="67"/>
      <c r="Y289" s="426"/>
      <c r="Z289" s="427"/>
      <c r="AA289" s="427"/>
      <c r="AB289" s="427"/>
      <c r="AC289" s="428"/>
      <c r="AE289" s="426"/>
      <c r="AF289" s="427"/>
      <c r="AG289" s="427"/>
      <c r="AH289" s="427"/>
      <c r="AI289" s="428"/>
      <c r="AK289" s="426"/>
    </row>
    <row r="290" spans="1:37" ht="15" customHeight="1" x14ac:dyDescent="0.25">
      <c r="A290" s="426"/>
      <c r="B290" s="427"/>
      <c r="C290" s="427"/>
      <c r="D290" s="427"/>
      <c r="E290" s="428"/>
      <c r="F290" s="68"/>
      <c r="G290" s="426"/>
      <c r="H290" s="427"/>
      <c r="I290" s="427"/>
      <c r="J290" s="427"/>
      <c r="K290" s="428"/>
      <c r="L290" s="68"/>
      <c r="M290" s="426"/>
      <c r="N290" s="427"/>
      <c r="O290" s="427"/>
      <c r="P290" s="427"/>
      <c r="Q290" s="428"/>
      <c r="R290" s="67"/>
      <c r="S290" s="426"/>
      <c r="T290" s="427"/>
      <c r="U290" s="427"/>
      <c r="V290" s="427"/>
      <c r="W290" s="428"/>
      <c r="X290" s="67"/>
      <c r="Y290" s="426"/>
      <c r="Z290" s="427"/>
      <c r="AA290" s="427"/>
      <c r="AB290" s="427"/>
      <c r="AC290" s="428"/>
      <c r="AE290" s="426"/>
      <c r="AF290" s="427"/>
      <c r="AG290" s="427"/>
      <c r="AH290" s="427"/>
      <c r="AI290" s="428"/>
      <c r="AK290" s="426"/>
    </row>
    <row r="291" spans="1:37" ht="15" customHeight="1" x14ac:dyDescent="0.25">
      <c r="A291" s="426"/>
      <c r="B291" s="427"/>
      <c r="C291" s="427"/>
      <c r="D291" s="427"/>
      <c r="E291" s="428"/>
      <c r="F291" s="68"/>
      <c r="G291" s="426"/>
      <c r="H291" s="427"/>
      <c r="I291" s="427"/>
      <c r="J291" s="427"/>
      <c r="K291" s="428"/>
      <c r="L291" s="68"/>
      <c r="M291" s="426"/>
      <c r="N291" s="427"/>
      <c r="O291" s="427"/>
      <c r="P291" s="427"/>
      <c r="Q291" s="428"/>
      <c r="R291" s="67"/>
      <c r="S291" s="426"/>
      <c r="T291" s="427"/>
      <c r="U291" s="427"/>
      <c r="V291" s="427"/>
      <c r="W291" s="428"/>
      <c r="X291" s="67"/>
      <c r="Y291" s="426"/>
      <c r="Z291" s="427"/>
      <c r="AA291" s="427"/>
      <c r="AB291" s="427"/>
      <c r="AC291" s="428"/>
      <c r="AE291" s="426"/>
      <c r="AF291" s="427"/>
      <c r="AG291" s="427"/>
      <c r="AH291" s="427"/>
      <c r="AI291" s="428"/>
      <c r="AK291" s="426"/>
    </row>
    <row r="292" spans="1:37" ht="15" customHeight="1" x14ac:dyDescent="0.25">
      <c r="A292" s="426"/>
      <c r="B292" s="427"/>
      <c r="C292" s="427"/>
      <c r="D292" s="427"/>
      <c r="E292" s="428"/>
      <c r="F292" s="68"/>
      <c r="G292" s="426"/>
      <c r="H292" s="427"/>
      <c r="I292" s="427"/>
      <c r="J292" s="427"/>
      <c r="K292" s="428"/>
      <c r="L292" s="68"/>
      <c r="M292" s="426"/>
      <c r="N292" s="427"/>
      <c r="O292" s="427"/>
      <c r="P292" s="427"/>
      <c r="Q292" s="428"/>
      <c r="R292" s="67"/>
      <c r="S292" s="426"/>
      <c r="T292" s="427"/>
      <c r="U292" s="427"/>
      <c r="V292" s="427"/>
      <c r="W292" s="428"/>
      <c r="X292" s="67"/>
      <c r="Y292" s="426"/>
      <c r="Z292" s="427"/>
      <c r="AA292" s="427"/>
      <c r="AB292" s="427"/>
      <c r="AC292" s="428"/>
      <c r="AE292" s="426"/>
      <c r="AF292" s="427"/>
      <c r="AG292" s="427"/>
      <c r="AH292" s="427"/>
      <c r="AI292" s="428"/>
      <c r="AK292" s="426"/>
    </row>
    <row r="293" spans="1:37" ht="15" customHeight="1" x14ac:dyDescent="0.25">
      <c r="A293" s="426"/>
      <c r="B293" s="427"/>
      <c r="C293" s="427"/>
      <c r="D293" s="427"/>
      <c r="E293" s="428"/>
      <c r="F293" s="68"/>
      <c r="G293" s="426"/>
      <c r="H293" s="427"/>
      <c r="I293" s="427"/>
      <c r="J293" s="427"/>
      <c r="K293" s="428"/>
      <c r="L293" s="68"/>
      <c r="M293" s="426"/>
      <c r="N293" s="427"/>
      <c r="O293" s="427"/>
      <c r="P293" s="427"/>
      <c r="Q293" s="428"/>
      <c r="R293" s="67"/>
      <c r="S293" s="426"/>
      <c r="T293" s="427"/>
      <c r="U293" s="427"/>
      <c r="V293" s="427"/>
      <c r="W293" s="428"/>
      <c r="X293" s="67"/>
      <c r="Y293" s="426"/>
      <c r="Z293" s="427"/>
      <c r="AA293" s="427"/>
      <c r="AB293" s="427"/>
      <c r="AC293" s="428"/>
      <c r="AE293" s="426"/>
      <c r="AF293" s="427"/>
      <c r="AG293" s="427"/>
      <c r="AH293" s="427"/>
      <c r="AI293" s="428"/>
      <c r="AK293" s="426"/>
    </row>
    <row r="294" spans="1:37" ht="15" customHeight="1" x14ac:dyDescent="0.25">
      <c r="A294" s="426"/>
      <c r="B294" s="427"/>
      <c r="C294" s="427"/>
      <c r="D294" s="427"/>
      <c r="E294" s="428"/>
      <c r="F294" s="68"/>
      <c r="G294" s="426"/>
      <c r="H294" s="427"/>
      <c r="I294" s="427"/>
      <c r="J294" s="427"/>
      <c r="K294" s="428"/>
      <c r="L294" s="68"/>
      <c r="M294" s="426"/>
      <c r="N294" s="427"/>
      <c r="O294" s="427"/>
      <c r="P294" s="427"/>
      <c r="Q294" s="428"/>
      <c r="R294" s="67"/>
      <c r="S294" s="426"/>
      <c r="T294" s="427"/>
      <c r="U294" s="427"/>
      <c r="V294" s="427"/>
      <c r="W294" s="428"/>
      <c r="X294" s="67"/>
      <c r="Y294" s="426"/>
      <c r="Z294" s="427"/>
      <c r="AA294" s="427"/>
      <c r="AB294" s="427"/>
      <c r="AC294" s="428"/>
      <c r="AE294" s="426"/>
      <c r="AF294" s="427"/>
      <c r="AG294" s="427"/>
      <c r="AH294" s="427"/>
      <c r="AI294" s="428"/>
      <c r="AK294" s="426"/>
    </row>
    <row r="295" spans="1:37" ht="15" customHeight="1" x14ac:dyDescent="0.25">
      <c r="A295" s="429"/>
      <c r="B295" s="430"/>
      <c r="C295" s="430"/>
      <c r="D295" s="430"/>
      <c r="E295" s="431"/>
      <c r="F295" s="68"/>
      <c r="G295" s="429"/>
      <c r="H295" s="430"/>
      <c r="I295" s="430"/>
      <c r="J295" s="430"/>
      <c r="K295" s="431"/>
      <c r="L295" s="68"/>
      <c r="M295" s="429"/>
      <c r="N295" s="430"/>
      <c r="O295" s="430"/>
      <c r="P295" s="430"/>
      <c r="Q295" s="431"/>
      <c r="R295" s="67"/>
      <c r="S295" s="429"/>
      <c r="T295" s="430"/>
      <c r="U295" s="430"/>
      <c r="V295" s="430"/>
      <c r="W295" s="431"/>
      <c r="X295" s="67"/>
      <c r="Y295" s="429"/>
      <c r="Z295" s="430"/>
      <c r="AA295" s="430"/>
      <c r="AB295" s="430"/>
      <c r="AC295" s="431"/>
      <c r="AE295" s="429"/>
      <c r="AF295" s="430"/>
      <c r="AG295" s="430"/>
      <c r="AH295" s="430"/>
      <c r="AI295" s="431"/>
      <c r="AK295" s="429"/>
    </row>
    <row r="296" spans="1:37" ht="15.75" thickBot="1" x14ac:dyDescent="0.3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</row>
    <row r="297" spans="1:37" x14ac:dyDescent="0.25">
      <c r="A297" s="67"/>
      <c r="B297" s="67"/>
      <c r="C297" s="67"/>
      <c r="D297" s="67"/>
      <c r="E297" s="67"/>
      <c r="F297" s="67"/>
      <c r="G297" s="67"/>
      <c r="H297" s="67"/>
      <c r="I297" s="67"/>
      <c r="J297" s="432" t="s">
        <v>26</v>
      </c>
      <c r="K297" s="433"/>
      <c r="L297" s="433"/>
      <c r="M297" s="433"/>
      <c r="N297" s="434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</row>
    <row r="298" spans="1:37" ht="15.75" thickBot="1" x14ac:dyDescent="0.3">
      <c r="A298" s="67"/>
      <c r="B298" s="67"/>
      <c r="C298" s="67"/>
      <c r="D298" s="67"/>
      <c r="E298" s="67"/>
      <c r="F298" s="67"/>
      <c r="G298" s="67"/>
      <c r="H298" s="67"/>
      <c r="I298" s="67"/>
      <c r="J298" s="435"/>
      <c r="K298" s="436"/>
      <c r="L298" s="436"/>
      <c r="M298" s="436"/>
      <c r="N298" s="43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</row>
    <row r="299" spans="1:37" x14ac:dyDescent="0.25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</row>
    <row r="300" spans="1:37" x14ac:dyDescent="0.25">
      <c r="A300" s="420" t="s">
        <v>583</v>
      </c>
      <c r="B300" s="421"/>
      <c r="C300" s="421"/>
      <c r="D300" s="421"/>
      <c r="E300" s="422"/>
      <c r="F300" s="68"/>
      <c r="G300" s="420" t="s">
        <v>584</v>
      </c>
      <c r="H300" s="421"/>
      <c r="I300" s="421"/>
      <c r="J300" s="421"/>
      <c r="K300" s="422"/>
      <c r="L300" s="68"/>
      <c r="M300" s="420" t="s">
        <v>585</v>
      </c>
      <c r="N300" s="421"/>
      <c r="O300" s="421"/>
      <c r="P300" s="421"/>
      <c r="Q300" s="422"/>
      <c r="R300" s="67"/>
      <c r="S300" s="420" t="s">
        <v>586</v>
      </c>
      <c r="T300" s="421"/>
      <c r="U300" s="421"/>
      <c r="V300" s="421"/>
      <c r="W300" s="422"/>
      <c r="X300" s="67"/>
      <c r="Y300" s="420" t="s">
        <v>587</v>
      </c>
      <c r="Z300" s="421"/>
      <c r="AA300" s="421"/>
      <c r="AB300" s="421"/>
      <c r="AC300" s="422"/>
    </row>
    <row r="301" spans="1:37" ht="15" customHeight="1" x14ac:dyDescent="0.25">
      <c r="A301" s="423"/>
      <c r="B301" s="424"/>
      <c r="C301" s="424"/>
      <c r="D301" s="424"/>
      <c r="E301" s="425"/>
      <c r="F301" s="68"/>
      <c r="G301" s="423"/>
      <c r="H301" s="424"/>
      <c r="I301" s="424"/>
      <c r="J301" s="424"/>
      <c r="K301" s="425"/>
      <c r="L301" s="68"/>
      <c r="M301" s="423"/>
      <c r="N301" s="424"/>
      <c r="O301" s="424"/>
      <c r="P301" s="424"/>
      <c r="Q301" s="425"/>
      <c r="R301" s="67"/>
      <c r="S301" s="423"/>
      <c r="T301" s="424"/>
      <c r="U301" s="424"/>
      <c r="V301" s="424"/>
      <c r="W301" s="425"/>
      <c r="X301" s="67"/>
      <c r="Y301" s="423"/>
      <c r="Z301" s="424"/>
      <c r="AA301" s="424"/>
      <c r="AB301" s="424"/>
      <c r="AC301" s="425"/>
    </row>
    <row r="302" spans="1:37" ht="15" customHeight="1" x14ac:dyDescent="0.25">
      <c r="A302" s="426"/>
      <c r="B302" s="427"/>
      <c r="C302" s="427"/>
      <c r="D302" s="427"/>
      <c r="E302" s="428"/>
      <c r="F302" s="68"/>
      <c r="G302" s="426"/>
      <c r="H302" s="427"/>
      <c r="I302" s="427"/>
      <c r="J302" s="427"/>
      <c r="K302" s="428"/>
      <c r="L302" s="68"/>
      <c r="M302" s="426"/>
      <c r="N302" s="427"/>
      <c r="O302" s="427"/>
      <c r="P302" s="427"/>
      <c r="Q302" s="428"/>
      <c r="R302" s="67"/>
      <c r="S302" s="426"/>
      <c r="T302" s="427"/>
      <c r="U302" s="427"/>
      <c r="V302" s="427"/>
      <c r="W302" s="428"/>
      <c r="X302" s="67"/>
      <c r="Y302" s="426"/>
      <c r="Z302" s="427"/>
      <c r="AA302" s="427"/>
      <c r="AB302" s="427"/>
      <c r="AC302" s="428"/>
    </row>
    <row r="303" spans="1:37" ht="15" customHeight="1" x14ac:dyDescent="0.25">
      <c r="A303" s="426"/>
      <c r="B303" s="427"/>
      <c r="C303" s="427"/>
      <c r="D303" s="427"/>
      <c r="E303" s="428"/>
      <c r="F303" s="68"/>
      <c r="G303" s="426"/>
      <c r="H303" s="427"/>
      <c r="I303" s="427"/>
      <c r="J303" s="427"/>
      <c r="K303" s="428"/>
      <c r="L303" s="68"/>
      <c r="M303" s="426"/>
      <c r="N303" s="427"/>
      <c r="O303" s="427"/>
      <c r="P303" s="427"/>
      <c r="Q303" s="428"/>
      <c r="R303" s="67"/>
      <c r="S303" s="426"/>
      <c r="T303" s="427"/>
      <c r="U303" s="427"/>
      <c r="V303" s="427"/>
      <c r="W303" s="428"/>
      <c r="X303" s="67"/>
      <c r="Y303" s="426"/>
      <c r="Z303" s="427"/>
      <c r="AA303" s="427"/>
      <c r="AB303" s="427"/>
      <c r="AC303" s="428"/>
    </row>
    <row r="304" spans="1:37" ht="15" customHeight="1" x14ac:dyDescent="0.25">
      <c r="A304" s="426"/>
      <c r="B304" s="427"/>
      <c r="C304" s="427"/>
      <c r="D304" s="427"/>
      <c r="E304" s="428"/>
      <c r="F304" s="68"/>
      <c r="G304" s="426"/>
      <c r="H304" s="427"/>
      <c r="I304" s="427"/>
      <c r="J304" s="427"/>
      <c r="K304" s="428"/>
      <c r="L304" s="68"/>
      <c r="M304" s="426"/>
      <c r="N304" s="427"/>
      <c r="O304" s="427"/>
      <c r="P304" s="427"/>
      <c r="Q304" s="428"/>
      <c r="R304" s="67"/>
      <c r="S304" s="426"/>
      <c r="T304" s="427"/>
      <c r="U304" s="427"/>
      <c r="V304" s="427"/>
      <c r="W304" s="428"/>
      <c r="X304" s="67"/>
      <c r="Y304" s="426"/>
      <c r="Z304" s="427"/>
      <c r="AA304" s="427"/>
      <c r="AB304" s="427"/>
      <c r="AC304" s="428"/>
    </row>
    <row r="305" spans="1:29" ht="15" customHeight="1" x14ac:dyDescent="0.25">
      <c r="A305" s="426"/>
      <c r="B305" s="427"/>
      <c r="C305" s="427"/>
      <c r="D305" s="427"/>
      <c r="E305" s="428"/>
      <c r="F305" s="68"/>
      <c r="G305" s="426"/>
      <c r="H305" s="427"/>
      <c r="I305" s="427"/>
      <c r="J305" s="427"/>
      <c r="K305" s="428"/>
      <c r="L305" s="68"/>
      <c r="M305" s="426"/>
      <c r="N305" s="427"/>
      <c r="O305" s="427"/>
      <c r="P305" s="427"/>
      <c r="Q305" s="428"/>
      <c r="R305" s="67"/>
      <c r="S305" s="426"/>
      <c r="T305" s="427"/>
      <c r="U305" s="427"/>
      <c r="V305" s="427"/>
      <c r="W305" s="428"/>
      <c r="X305" s="67"/>
      <c r="Y305" s="426"/>
      <c r="Z305" s="427"/>
      <c r="AA305" s="427"/>
      <c r="AB305" s="427"/>
      <c r="AC305" s="428"/>
    </row>
    <row r="306" spans="1:29" ht="15" customHeight="1" x14ac:dyDescent="0.25">
      <c r="A306" s="426"/>
      <c r="B306" s="427"/>
      <c r="C306" s="427"/>
      <c r="D306" s="427"/>
      <c r="E306" s="428"/>
      <c r="F306" s="68"/>
      <c r="G306" s="426"/>
      <c r="H306" s="427"/>
      <c r="I306" s="427"/>
      <c r="J306" s="427"/>
      <c r="K306" s="428"/>
      <c r="L306" s="68"/>
      <c r="M306" s="426"/>
      <c r="N306" s="427"/>
      <c r="O306" s="427"/>
      <c r="P306" s="427"/>
      <c r="Q306" s="428"/>
      <c r="R306" s="67"/>
      <c r="S306" s="426"/>
      <c r="T306" s="427"/>
      <c r="U306" s="427"/>
      <c r="V306" s="427"/>
      <c r="W306" s="428"/>
      <c r="X306" s="67"/>
      <c r="Y306" s="426"/>
      <c r="Z306" s="427"/>
      <c r="AA306" s="427"/>
      <c r="AB306" s="427"/>
      <c r="AC306" s="428"/>
    </row>
    <row r="307" spans="1:29" ht="15" customHeight="1" x14ac:dyDescent="0.25">
      <c r="A307" s="426"/>
      <c r="B307" s="427"/>
      <c r="C307" s="427"/>
      <c r="D307" s="427"/>
      <c r="E307" s="428"/>
      <c r="F307" s="68"/>
      <c r="G307" s="426"/>
      <c r="H307" s="427"/>
      <c r="I307" s="427"/>
      <c r="J307" s="427"/>
      <c r="K307" s="428"/>
      <c r="L307" s="68"/>
      <c r="M307" s="426"/>
      <c r="N307" s="427"/>
      <c r="O307" s="427"/>
      <c r="P307" s="427"/>
      <c r="Q307" s="428"/>
      <c r="R307" s="67"/>
      <c r="S307" s="426"/>
      <c r="T307" s="427"/>
      <c r="U307" s="427"/>
      <c r="V307" s="427"/>
      <c r="W307" s="428"/>
      <c r="X307" s="67"/>
      <c r="Y307" s="426"/>
      <c r="Z307" s="427"/>
      <c r="AA307" s="427"/>
      <c r="AB307" s="427"/>
      <c r="AC307" s="428"/>
    </row>
    <row r="308" spans="1:29" ht="15" customHeight="1" x14ac:dyDescent="0.25">
      <c r="A308" s="426"/>
      <c r="B308" s="427"/>
      <c r="C308" s="427"/>
      <c r="D308" s="427"/>
      <c r="E308" s="428"/>
      <c r="F308" s="68"/>
      <c r="G308" s="426"/>
      <c r="H308" s="427"/>
      <c r="I308" s="427"/>
      <c r="J308" s="427"/>
      <c r="K308" s="428"/>
      <c r="L308" s="68"/>
      <c r="M308" s="426"/>
      <c r="N308" s="427"/>
      <c r="O308" s="427"/>
      <c r="P308" s="427"/>
      <c r="Q308" s="428"/>
      <c r="R308" s="67"/>
      <c r="S308" s="426"/>
      <c r="T308" s="427"/>
      <c r="U308" s="427"/>
      <c r="V308" s="427"/>
      <c r="W308" s="428"/>
      <c r="X308" s="67"/>
      <c r="Y308" s="426"/>
      <c r="Z308" s="427"/>
      <c r="AA308" s="427"/>
      <c r="AB308" s="427"/>
      <c r="AC308" s="428"/>
    </row>
    <row r="309" spans="1:29" ht="15" customHeight="1" x14ac:dyDescent="0.25">
      <c r="A309" s="426"/>
      <c r="B309" s="427"/>
      <c r="C309" s="427"/>
      <c r="D309" s="427"/>
      <c r="E309" s="428"/>
      <c r="F309" s="68"/>
      <c r="G309" s="426"/>
      <c r="H309" s="427"/>
      <c r="I309" s="427"/>
      <c r="J309" s="427"/>
      <c r="K309" s="428"/>
      <c r="L309" s="68"/>
      <c r="M309" s="426"/>
      <c r="N309" s="427"/>
      <c r="O309" s="427"/>
      <c r="P309" s="427"/>
      <c r="Q309" s="428"/>
      <c r="R309" s="67"/>
      <c r="S309" s="426"/>
      <c r="T309" s="427"/>
      <c r="U309" s="427"/>
      <c r="V309" s="427"/>
      <c r="W309" s="428"/>
      <c r="X309" s="67"/>
      <c r="Y309" s="426"/>
      <c r="Z309" s="427"/>
      <c r="AA309" s="427"/>
      <c r="AB309" s="427"/>
      <c r="AC309" s="428"/>
    </row>
    <row r="310" spans="1:29" ht="15" customHeight="1" x14ac:dyDescent="0.25">
      <c r="A310" s="426"/>
      <c r="B310" s="427"/>
      <c r="C310" s="427"/>
      <c r="D310" s="427"/>
      <c r="E310" s="428"/>
      <c r="F310" s="68"/>
      <c r="G310" s="426"/>
      <c r="H310" s="427"/>
      <c r="I310" s="427"/>
      <c r="J310" s="427"/>
      <c r="K310" s="428"/>
      <c r="L310" s="68"/>
      <c r="M310" s="426"/>
      <c r="N310" s="427"/>
      <c r="O310" s="427"/>
      <c r="P310" s="427"/>
      <c r="Q310" s="428"/>
      <c r="R310" s="67"/>
      <c r="S310" s="426"/>
      <c r="T310" s="427"/>
      <c r="U310" s="427"/>
      <c r="V310" s="427"/>
      <c r="W310" s="428"/>
      <c r="X310" s="67"/>
      <c r="Y310" s="426"/>
      <c r="Z310" s="427"/>
      <c r="AA310" s="427"/>
      <c r="AB310" s="427"/>
      <c r="AC310" s="428"/>
    </row>
    <row r="311" spans="1:29" ht="15" customHeight="1" x14ac:dyDescent="0.25">
      <c r="A311" s="426"/>
      <c r="B311" s="427"/>
      <c r="C311" s="427"/>
      <c r="D311" s="427"/>
      <c r="E311" s="428"/>
      <c r="F311" s="68"/>
      <c r="G311" s="426"/>
      <c r="H311" s="427"/>
      <c r="I311" s="427"/>
      <c r="J311" s="427"/>
      <c r="K311" s="428"/>
      <c r="L311" s="68"/>
      <c r="M311" s="426"/>
      <c r="N311" s="427"/>
      <c r="O311" s="427"/>
      <c r="P311" s="427"/>
      <c r="Q311" s="428"/>
      <c r="R311" s="67"/>
      <c r="S311" s="426"/>
      <c r="T311" s="427"/>
      <c r="U311" s="427"/>
      <c r="V311" s="427"/>
      <c r="W311" s="428"/>
      <c r="X311" s="67"/>
      <c r="Y311" s="426"/>
      <c r="Z311" s="427"/>
      <c r="AA311" s="427"/>
      <c r="AB311" s="427"/>
      <c r="AC311" s="428"/>
    </row>
    <row r="312" spans="1:29" ht="15" customHeight="1" x14ac:dyDescent="0.25">
      <c r="A312" s="426"/>
      <c r="B312" s="427"/>
      <c r="C312" s="427"/>
      <c r="D312" s="427"/>
      <c r="E312" s="428"/>
      <c r="F312" s="68"/>
      <c r="G312" s="426"/>
      <c r="H312" s="427"/>
      <c r="I312" s="427"/>
      <c r="J312" s="427"/>
      <c r="K312" s="428"/>
      <c r="L312" s="68"/>
      <c r="M312" s="426"/>
      <c r="N312" s="427"/>
      <c r="O312" s="427"/>
      <c r="P312" s="427"/>
      <c r="Q312" s="428"/>
      <c r="R312" s="67"/>
      <c r="S312" s="426"/>
      <c r="T312" s="427"/>
      <c r="U312" s="427"/>
      <c r="V312" s="427"/>
      <c r="W312" s="428"/>
      <c r="X312" s="67"/>
      <c r="Y312" s="426"/>
      <c r="Z312" s="427"/>
      <c r="AA312" s="427"/>
      <c r="AB312" s="427"/>
      <c r="AC312" s="428"/>
    </row>
    <row r="313" spans="1:29" ht="15" customHeight="1" x14ac:dyDescent="0.25">
      <c r="A313" s="426"/>
      <c r="B313" s="427"/>
      <c r="C313" s="427"/>
      <c r="D313" s="427"/>
      <c r="E313" s="428"/>
      <c r="F313" s="68"/>
      <c r="G313" s="426"/>
      <c r="H313" s="427"/>
      <c r="I313" s="427"/>
      <c r="J313" s="427"/>
      <c r="K313" s="428"/>
      <c r="L313" s="68"/>
      <c r="M313" s="426"/>
      <c r="N313" s="427"/>
      <c r="O313" s="427"/>
      <c r="P313" s="427"/>
      <c r="Q313" s="428"/>
      <c r="R313" s="67"/>
      <c r="S313" s="426"/>
      <c r="T313" s="427"/>
      <c r="U313" s="427"/>
      <c r="V313" s="427"/>
      <c r="W313" s="428"/>
      <c r="X313" s="67"/>
      <c r="Y313" s="426"/>
      <c r="Z313" s="427"/>
      <c r="AA313" s="427"/>
      <c r="AB313" s="427"/>
      <c r="AC313" s="428"/>
    </row>
    <row r="314" spans="1:29" ht="15" customHeight="1" x14ac:dyDescent="0.25">
      <c r="A314" s="429"/>
      <c r="B314" s="430"/>
      <c r="C314" s="430"/>
      <c r="D314" s="430"/>
      <c r="E314" s="431"/>
      <c r="F314" s="68"/>
      <c r="G314" s="429"/>
      <c r="H314" s="430"/>
      <c r="I314" s="430"/>
      <c r="J314" s="430"/>
      <c r="K314" s="431"/>
      <c r="L314" s="68"/>
      <c r="M314" s="429"/>
      <c r="N314" s="430"/>
      <c r="O314" s="430"/>
      <c r="P314" s="430"/>
      <c r="Q314" s="431"/>
      <c r="R314" s="67"/>
      <c r="S314" s="429"/>
      <c r="T314" s="430"/>
      <c r="U314" s="430"/>
      <c r="V314" s="430"/>
      <c r="W314" s="431"/>
      <c r="X314" s="67"/>
      <c r="Y314" s="429"/>
      <c r="Z314" s="430"/>
      <c r="AA314" s="430"/>
      <c r="AB314" s="430"/>
      <c r="AC314" s="431"/>
    </row>
    <row r="315" spans="1:29" x14ac:dyDescent="0.2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7"/>
      <c r="S315" s="68"/>
      <c r="T315" s="68"/>
      <c r="U315" s="68"/>
      <c r="V315" s="68"/>
      <c r="W315" s="68"/>
      <c r="X315" s="67"/>
      <c r="Y315" s="67"/>
      <c r="Z315" s="67"/>
      <c r="AA315" s="67"/>
      <c r="AB315" s="67"/>
      <c r="AC315" s="67"/>
    </row>
    <row r="316" spans="1:29" x14ac:dyDescent="0.25">
      <c r="A316" s="420" t="s">
        <v>588</v>
      </c>
      <c r="B316" s="421"/>
      <c r="C316" s="421"/>
      <c r="D316" s="421"/>
      <c r="E316" s="422"/>
      <c r="F316" s="68"/>
      <c r="G316" s="420" t="s">
        <v>589</v>
      </c>
      <c r="H316" s="421"/>
      <c r="I316" s="421"/>
      <c r="J316" s="421"/>
      <c r="K316" s="422"/>
      <c r="L316" s="68"/>
      <c r="M316" s="420" t="s">
        <v>590</v>
      </c>
      <c r="N316" s="421"/>
      <c r="O316" s="421"/>
      <c r="P316" s="421"/>
      <c r="Q316" s="422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</row>
    <row r="317" spans="1:29" ht="14.45" customHeight="1" x14ac:dyDescent="0.25">
      <c r="A317" s="423"/>
      <c r="B317" s="424"/>
      <c r="C317" s="424"/>
      <c r="D317" s="424"/>
      <c r="E317" s="425"/>
      <c r="F317" s="68"/>
      <c r="G317" s="423"/>
      <c r="H317" s="424"/>
      <c r="I317" s="424"/>
      <c r="J317" s="424"/>
      <c r="K317" s="425"/>
      <c r="L317" s="68"/>
      <c r="M317" s="423"/>
      <c r="N317" s="424"/>
      <c r="O317" s="424"/>
      <c r="P317" s="424"/>
      <c r="Q317" s="425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</row>
    <row r="318" spans="1:29" ht="14.45" customHeight="1" x14ac:dyDescent="0.25">
      <c r="A318" s="426"/>
      <c r="B318" s="427"/>
      <c r="C318" s="427"/>
      <c r="D318" s="427"/>
      <c r="E318" s="428"/>
      <c r="F318" s="68"/>
      <c r="G318" s="426"/>
      <c r="H318" s="427"/>
      <c r="I318" s="427"/>
      <c r="J318" s="427"/>
      <c r="K318" s="428"/>
      <c r="L318" s="68"/>
      <c r="M318" s="426"/>
      <c r="N318" s="427"/>
      <c r="O318" s="427"/>
      <c r="P318" s="427"/>
      <c r="Q318" s="428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</row>
    <row r="319" spans="1:29" ht="14.45" customHeight="1" x14ac:dyDescent="0.25">
      <c r="A319" s="426"/>
      <c r="B319" s="427"/>
      <c r="C319" s="427"/>
      <c r="D319" s="427"/>
      <c r="E319" s="428"/>
      <c r="F319" s="68"/>
      <c r="G319" s="426"/>
      <c r="H319" s="427"/>
      <c r="I319" s="427"/>
      <c r="J319" s="427"/>
      <c r="K319" s="428"/>
      <c r="L319" s="68"/>
      <c r="M319" s="426"/>
      <c r="N319" s="427"/>
      <c r="O319" s="427"/>
      <c r="P319" s="427"/>
      <c r="Q319" s="428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</row>
    <row r="320" spans="1:29" ht="14.45" customHeight="1" x14ac:dyDescent="0.25">
      <c r="A320" s="426"/>
      <c r="B320" s="427"/>
      <c r="C320" s="427"/>
      <c r="D320" s="427"/>
      <c r="E320" s="428"/>
      <c r="F320" s="68"/>
      <c r="G320" s="426"/>
      <c r="H320" s="427"/>
      <c r="I320" s="427"/>
      <c r="J320" s="427"/>
      <c r="K320" s="428"/>
      <c r="L320" s="68"/>
      <c r="M320" s="426"/>
      <c r="N320" s="427"/>
      <c r="O320" s="427"/>
      <c r="P320" s="427"/>
      <c r="Q320" s="428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</row>
    <row r="321" spans="1:41" ht="14.45" customHeight="1" x14ac:dyDescent="0.25">
      <c r="A321" s="426"/>
      <c r="B321" s="427"/>
      <c r="C321" s="427"/>
      <c r="D321" s="427"/>
      <c r="E321" s="428"/>
      <c r="F321" s="68"/>
      <c r="G321" s="426"/>
      <c r="H321" s="427"/>
      <c r="I321" s="427"/>
      <c r="J321" s="427"/>
      <c r="K321" s="428"/>
      <c r="L321" s="68"/>
      <c r="M321" s="426"/>
      <c r="N321" s="427"/>
      <c r="O321" s="427"/>
      <c r="P321" s="427"/>
      <c r="Q321" s="428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</row>
    <row r="322" spans="1:41" ht="14.45" customHeight="1" x14ac:dyDescent="0.25">
      <c r="A322" s="426"/>
      <c r="B322" s="427"/>
      <c r="C322" s="427"/>
      <c r="D322" s="427"/>
      <c r="E322" s="428"/>
      <c r="F322" s="68"/>
      <c r="G322" s="426"/>
      <c r="H322" s="427"/>
      <c r="I322" s="427"/>
      <c r="J322" s="427"/>
      <c r="K322" s="428"/>
      <c r="L322" s="68"/>
      <c r="M322" s="426"/>
      <c r="N322" s="427"/>
      <c r="O322" s="427"/>
      <c r="P322" s="427"/>
      <c r="Q322" s="428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</row>
    <row r="323" spans="1:41" ht="14.45" customHeight="1" x14ac:dyDescent="0.25">
      <c r="A323" s="426"/>
      <c r="B323" s="427"/>
      <c r="C323" s="427"/>
      <c r="D323" s="427"/>
      <c r="E323" s="428"/>
      <c r="F323" s="68"/>
      <c r="G323" s="426"/>
      <c r="H323" s="427"/>
      <c r="I323" s="427"/>
      <c r="J323" s="427"/>
      <c r="K323" s="428"/>
      <c r="L323" s="68"/>
      <c r="M323" s="426"/>
      <c r="N323" s="427"/>
      <c r="O323" s="427"/>
      <c r="P323" s="427"/>
      <c r="Q323" s="428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</row>
    <row r="324" spans="1:41" ht="14.45" customHeight="1" x14ac:dyDescent="0.25">
      <c r="A324" s="426"/>
      <c r="B324" s="427"/>
      <c r="C324" s="427"/>
      <c r="D324" s="427"/>
      <c r="E324" s="428"/>
      <c r="F324" s="68"/>
      <c r="G324" s="426"/>
      <c r="H324" s="427"/>
      <c r="I324" s="427"/>
      <c r="J324" s="427"/>
      <c r="K324" s="428"/>
      <c r="L324" s="68"/>
      <c r="M324" s="426"/>
      <c r="N324" s="427"/>
      <c r="O324" s="427"/>
      <c r="P324" s="427"/>
      <c r="Q324" s="428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</row>
    <row r="325" spans="1:41" ht="14.45" customHeight="1" x14ac:dyDescent="0.25">
      <c r="A325" s="426"/>
      <c r="B325" s="427"/>
      <c r="C325" s="427"/>
      <c r="D325" s="427"/>
      <c r="E325" s="428"/>
      <c r="F325" s="68"/>
      <c r="G325" s="426"/>
      <c r="H325" s="427"/>
      <c r="I325" s="427"/>
      <c r="J325" s="427"/>
      <c r="K325" s="428"/>
      <c r="L325" s="68"/>
      <c r="M325" s="426"/>
      <c r="N325" s="427"/>
      <c r="O325" s="427"/>
      <c r="P325" s="427"/>
      <c r="Q325" s="428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</row>
    <row r="326" spans="1:41" ht="14.45" customHeight="1" x14ac:dyDescent="0.25">
      <c r="A326" s="426"/>
      <c r="B326" s="427"/>
      <c r="C326" s="427"/>
      <c r="D326" s="427"/>
      <c r="E326" s="428"/>
      <c r="F326" s="68"/>
      <c r="G326" s="426"/>
      <c r="H326" s="427"/>
      <c r="I326" s="427"/>
      <c r="J326" s="427"/>
      <c r="K326" s="428"/>
      <c r="L326" s="68"/>
      <c r="M326" s="426"/>
      <c r="N326" s="427"/>
      <c r="O326" s="427"/>
      <c r="P326" s="427"/>
      <c r="Q326" s="428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</row>
    <row r="327" spans="1:41" ht="14.45" customHeight="1" x14ac:dyDescent="0.25">
      <c r="A327" s="426"/>
      <c r="B327" s="427"/>
      <c r="C327" s="427"/>
      <c r="D327" s="427"/>
      <c r="E327" s="428"/>
      <c r="F327" s="68"/>
      <c r="G327" s="426"/>
      <c r="H327" s="427"/>
      <c r="I327" s="427"/>
      <c r="J327" s="427"/>
      <c r="K327" s="428"/>
      <c r="L327" s="68"/>
      <c r="M327" s="426"/>
      <c r="N327" s="427"/>
      <c r="O327" s="427"/>
      <c r="P327" s="427"/>
      <c r="Q327" s="428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</row>
    <row r="328" spans="1:41" ht="14.45" customHeight="1" x14ac:dyDescent="0.25">
      <c r="A328" s="426"/>
      <c r="B328" s="427"/>
      <c r="C328" s="427"/>
      <c r="D328" s="427"/>
      <c r="E328" s="428"/>
      <c r="F328" s="68"/>
      <c r="G328" s="426"/>
      <c r="H328" s="427"/>
      <c r="I328" s="427"/>
      <c r="J328" s="427"/>
      <c r="K328" s="428"/>
      <c r="L328" s="68"/>
      <c r="M328" s="426"/>
      <c r="N328" s="427"/>
      <c r="O328" s="427"/>
      <c r="P328" s="427"/>
      <c r="Q328" s="428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</row>
    <row r="329" spans="1:41" ht="14.45" customHeight="1" x14ac:dyDescent="0.25">
      <c r="A329" s="426"/>
      <c r="B329" s="427"/>
      <c r="C329" s="427"/>
      <c r="D329" s="427"/>
      <c r="E329" s="428"/>
      <c r="F329" s="68"/>
      <c r="G329" s="426"/>
      <c r="H329" s="427"/>
      <c r="I329" s="427"/>
      <c r="J329" s="427"/>
      <c r="K329" s="428"/>
      <c r="L329" s="68"/>
      <c r="M329" s="426"/>
      <c r="N329" s="427"/>
      <c r="O329" s="427"/>
      <c r="P329" s="427"/>
      <c r="Q329" s="428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</row>
    <row r="330" spans="1:41" ht="14.45" customHeight="1" x14ac:dyDescent="0.25">
      <c r="A330" s="429"/>
      <c r="B330" s="430"/>
      <c r="C330" s="430"/>
      <c r="D330" s="430"/>
      <c r="E330" s="431"/>
      <c r="F330" s="68"/>
      <c r="G330" s="429"/>
      <c r="H330" s="430"/>
      <c r="I330" s="430"/>
      <c r="J330" s="430"/>
      <c r="K330" s="431"/>
      <c r="L330" s="68"/>
      <c r="M330" s="429"/>
      <c r="N330" s="430"/>
      <c r="O330" s="430"/>
      <c r="P330" s="430"/>
      <c r="Q330" s="431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</row>
    <row r="331" spans="1:41" ht="15.75" thickBot="1" x14ac:dyDescent="0.3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</row>
    <row r="332" spans="1:41" x14ac:dyDescent="0.25">
      <c r="A332" s="67"/>
      <c r="B332" s="67"/>
      <c r="C332" s="67"/>
      <c r="D332" s="67"/>
      <c r="E332" s="67"/>
      <c r="F332" s="67"/>
      <c r="G332" s="67"/>
      <c r="H332" s="67"/>
      <c r="I332" s="67"/>
      <c r="J332" s="432" t="s">
        <v>591</v>
      </c>
      <c r="K332" s="433"/>
      <c r="L332" s="433"/>
      <c r="M332" s="433"/>
      <c r="N332" s="434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</row>
    <row r="333" spans="1:41" ht="15.75" thickBot="1" x14ac:dyDescent="0.3">
      <c r="A333" s="67"/>
      <c r="B333" s="67"/>
      <c r="C333" s="67"/>
      <c r="D333" s="67"/>
      <c r="E333" s="67"/>
      <c r="F333" s="67"/>
      <c r="G333" s="67"/>
      <c r="H333" s="67"/>
      <c r="I333" s="67"/>
      <c r="J333" s="435"/>
      <c r="K333" s="436"/>
      <c r="L333" s="436"/>
      <c r="M333" s="436"/>
      <c r="N333" s="43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</row>
    <row r="334" spans="1:41" x14ac:dyDescent="0.25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</row>
    <row r="335" spans="1:41" x14ac:dyDescent="0.25">
      <c r="A335" s="420" t="s">
        <v>592</v>
      </c>
      <c r="B335" s="421"/>
      <c r="C335" s="421"/>
      <c r="D335" s="421"/>
      <c r="E335" s="422"/>
      <c r="F335" s="68"/>
      <c r="G335" s="420" t="s">
        <v>593</v>
      </c>
      <c r="H335" s="421"/>
      <c r="I335" s="421"/>
      <c r="J335" s="421"/>
      <c r="K335" s="422"/>
      <c r="L335" s="68"/>
      <c r="M335" s="420" t="s">
        <v>594</v>
      </c>
      <c r="N335" s="421"/>
      <c r="O335" s="421"/>
      <c r="P335" s="421"/>
      <c r="Q335" s="422"/>
      <c r="R335" s="67"/>
      <c r="S335" s="420" t="s">
        <v>595</v>
      </c>
      <c r="T335" s="421"/>
      <c r="U335" s="421"/>
      <c r="V335" s="421"/>
      <c r="W335" s="422"/>
      <c r="X335" s="67"/>
      <c r="Y335" s="420" t="s">
        <v>1146</v>
      </c>
      <c r="Z335" s="421"/>
      <c r="AA335" s="421"/>
      <c r="AB335" s="421"/>
      <c r="AC335" s="422"/>
      <c r="AE335" s="420" t="s">
        <v>1146</v>
      </c>
      <c r="AF335" s="421"/>
      <c r="AG335" s="421"/>
      <c r="AH335" s="421"/>
      <c r="AI335" s="422"/>
      <c r="AK335" s="420" t="s">
        <v>1146</v>
      </c>
      <c r="AL335" s="421"/>
      <c r="AM335" s="421"/>
      <c r="AN335" s="421"/>
      <c r="AO335" s="422"/>
    </row>
    <row r="336" spans="1:41" x14ac:dyDescent="0.25">
      <c r="A336" s="423"/>
      <c r="B336" s="424"/>
      <c r="C336" s="424"/>
      <c r="D336" s="424"/>
      <c r="E336" s="425"/>
      <c r="F336" s="68"/>
      <c r="G336" s="423"/>
      <c r="H336" s="424"/>
      <c r="I336" s="424"/>
      <c r="J336" s="424"/>
      <c r="K336" s="425"/>
      <c r="L336" s="68"/>
      <c r="M336" s="423"/>
      <c r="N336" s="424"/>
      <c r="O336" s="424"/>
      <c r="P336" s="424"/>
      <c r="Q336" s="425"/>
      <c r="R336" s="67"/>
      <c r="S336" s="423"/>
      <c r="T336" s="424"/>
      <c r="U336" s="424"/>
      <c r="V336" s="424"/>
      <c r="W336" s="425"/>
      <c r="X336" s="67"/>
      <c r="Y336" s="423"/>
      <c r="Z336" s="424"/>
      <c r="AA336" s="424"/>
      <c r="AB336" s="424"/>
      <c r="AC336" s="425"/>
      <c r="AE336" s="423"/>
      <c r="AF336" s="424"/>
      <c r="AG336" s="424"/>
      <c r="AH336" s="424"/>
      <c r="AI336" s="425"/>
      <c r="AK336" s="423"/>
      <c r="AL336" s="424"/>
      <c r="AM336" s="424"/>
      <c r="AN336" s="424"/>
      <c r="AO336" s="425"/>
    </row>
    <row r="337" spans="1:41" x14ac:dyDescent="0.25">
      <c r="A337" s="426"/>
      <c r="B337" s="427"/>
      <c r="C337" s="427"/>
      <c r="D337" s="427"/>
      <c r="E337" s="428"/>
      <c r="F337" s="68"/>
      <c r="G337" s="426"/>
      <c r="H337" s="427"/>
      <c r="I337" s="427"/>
      <c r="J337" s="427"/>
      <c r="K337" s="428"/>
      <c r="L337" s="68"/>
      <c r="M337" s="426"/>
      <c r="N337" s="427"/>
      <c r="O337" s="427"/>
      <c r="P337" s="427"/>
      <c r="Q337" s="428"/>
      <c r="R337" s="67"/>
      <c r="S337" s="426"/>
      <c r="T337" s="427"/>
      <c r="U337" s="427"/>
      <c r="V337" s="427"/>
      <c r="W337" s="428"/>
      <c r="X337" s="67"/>
      <c r="Y337" s="426"/>
      <c r="Z337" s="427"/>
      <c r="AA337" s="427"/>
      <c r="AB337" s="427"/>
      <c r="AC337" s="428"/>
      <c r="AE337" s="426"/>
      <c r="AF337" s="427"/>
      <c r="AG337" s="427"/>
      <c r="AH337" s="427"/>
      <c r="AI337" s="428"/>
      <c r="AK337" s="426"/>
      <c r="AL337" s="427"/>
      <c r="AM337" s="427"/>
      <c r="AN337" s="427"/>
      <c r="AO337" s="428"/>
    </row>
    <row r="338" spans="1:41" x14ac:dyDescent="0.25">
      <c r="A338" s="426"/>
      <c r="B338" s="427"/>
      <c r="C338" s="427"/>
      <c r="D338" s="427"/>
      <c r="E338" s="428"/>
      <c r="F338" s="68"/>
      <c r="G338" s="426"/>
      <c r="H338" s="427"/>
      <c r="I338" s="427"/>
      <c r="J338" s="427"/>
      <c r="K338" s="428"/>
      <c r="L338" s="68"/>
      <c r="M338" s="426"/>
      <c r="N338" s="427"/>
      <c r="O338" s="427"/>
      <c r="P338" s="427"/>
      <c r="Q338" s="428"/>
      <c r="R338" s="67"/>
      <c r="S338" s="426"/>
      <c r="T338" s="427"/>
      <c r="U338" s="427"/>
      <c r="V338" s="427"/>
      <c r="W338" s="428"/>
      <c r="X338" s="67"/>
      <c r="Y338" s="426"/>
      <c r="Z338" s="427"/>
      <c r="AA338" s="427"/>
      <c r="AB338" s="427"/>
      <c r="AC338" s="428"/>
      <c r="AE338" s="426"/>
      <c r="AF338" s="427"/>
      <c r="AG338" s="427"/>
      <c r="AH338" s="427"/>
      <c r="AI338" s="428"/>
      <c r="AK338" s="426"/>
      <c r="AL338" s="427"/>
      <c r="AM338" s="427"/>
      <c r="AN338" s="427"/>
      <c r="AO338" s="428"/>
    </row>
    <row r="339" spans="1:41" x14ac:dyDescent="0.25">
      <c r="A339" s="426"/>
      <c r="B339" s="427"/>
      <c r="C339" s="427"/>
      <c r="D339" s="427"/>
      <c r="E339" s="428"/>
      <c r="F339" s="68"/>
      <c r="G339" s="426"/>
      <c r="H339" s="427"/>
      <c r="I339" s="427"/>
      <c r="J339" s="427"/>
      <c r="K339" s="428"/>
      <c r="L339" s="68"/>
      <c r="M339" s="426"/>
      <c r="N339" s="427"/>
      <c r="O339" s="427"/>
      <c r="P339" s="427"/>
      <c r="Q339" s="428"/>
      <c r="R339" s="67"/>
      <c r="S339" s="426"/>
      <c r="T339" s="427"/>
      <c r="U339" s="427"/>
      <c r="V339" s="427"/>
      <c r="W339" s="428"/>
      <c r="X339" s="67"/>
      <c r="Y339" s="426"/>
      <c r="Z339" s="427"/>
      <c r="AA339" s="427"/>
      <c r="AB339" s="427"/>
      <c r="AC339" s="428"/>
      <c r="AE339" s="426"/>
      <c r="AF339" s="427"/>
      <c r="AG339" s="427"/>
      <c r="AH339" s="427"/>
      <c r="AI339" s="428"/>
      <c r="AK339" s="426"/>
      <c r="AL339" s="427"/>
      <c r="AM339" s="427"/>
      <c r="AN339" s="427"/>
      <c r="AO339" s="428"/>
    </row>
    <row r="340" spans="1:41" x14ac:dyDescent="0.25">
      <c r="A340" s="426"/>
      <c r="B340" s="427"/>
      <c r="C340" s="427"/>
      <c r="D340" s="427"/>
      <c r="E340" s="428"/>
      <c r="F340" s="68"/>
      <c r="G340" s="426"/>
      <c r="H340" s="427"/>
      <c r="I340" s="427"/>
      <c r="J340" s="427"/>
      <c r="K340" s="428"/>
      <c r="L340" s="68"/>
      <c r="M340" s="426"/>
      <c r="N340" s="427"/>
      <c r="O340" s="427"/>
      <c r="P340" s="427"/>
      <c r="Q340" s="428"/>
      <c r="R340" s="67"/>
      <c r="S340" s="426"/>
      <c r="T340" s="427"/>
      <c r="U340" s="427"/>
      <c r="V340" s="427"/>
      <c r="W340" s="428"/>
      <c r="X340" s="67"/>
      <c r="Y340" s="426"/>
      <c r="Z340" s="427"/>
      <c r="AA340" s="427"/>
      <c r="AB340" s="427"/>
      <c r="AC340" s="428"/>
      <c r="AE340" s="426"/>
      <c r="AF340" s="427"/>
      <c r="AG340" s="427"/>
      <c r="AH340" s="427"/>
      <c r="AI340" s="428"/>
      <c r="AK340" s="426"/>
      <c r="AL340" s="427"/>
      <c r="AM340" s="427"/>
      <c r="AN340" s="427"/>
      <c r="AO340" s="428"/>
    </row>
    <row r="341" spans="1:41" x14ac:dyDescent="0.25">
      <c r="A341" s="426"/>
      <c r="B341" s="427"/>
      <c r="C341" s="427"/>
      <c r="D341" s="427"/>
      <c r="E341" s="428"/>
      <c r="F341" s="68"/>
      <c r="G341" s="426"/>
      <c r="H341" s="427"/>
      <c r="I341" s="427"/>
      <c r="J341" s="427"/>
      <c r="K341" s="428"/>
      <c r="L341" s="68"/>
      <c r="M341" s="426"/>
      <c r="N341" s="427"/>
      <c r="O341" s="427"/>
      <c r="P341" s="427"/>
      <c r="Q341" s="428"/>
      <c r="R341" s="67"/>
      <c r="S341" s="426"/>
      <c r="T341" s="427"/>
      <c r="U341" s="427"/>
      <c r="V341" s="427"/>
      <c r="W341" s="428"/>
      <c r="X341" s="67"/>
      <c r="Y341" s="426"/>
      <c r="Z341" s="427"/>
      <c r="AA341" s="427"/>
      <c r="AB341" s="427"/>
      <c r="AC341" s="428"/>
      <c r="AE341" s="426"/>
      <c r="AF341" s="427"/>
      <c r="AG341" s="427"/>
      <c r="AH341" s="427"/>
      <c r="AI341" s="428"/>
      <c r="AK341" s="426"/>
      <c r="AL341" s="427"/>
      <c r="AM341" s="427"/>
      <c r="AN341" s="427"/>
      <c r="AO341" s="428"/>
    </row>
    <row r="342" spans="1:41" x14ac:dyDescent="0.25">
      <c r="A342" s="426"/>
      <c r="B342" s="427"/>
      <c r="C342" s="427"/>
      <c r="D342" s="427"/>
      <c r="E342" s="428"/>
      <c r="F342" s="68"/>
      <c r="G342" s="426"/>
      <c r="H342" s="427"/>
      <c r="I342" s="427"/>
      <c r="J342" s="427"/>
      <c r="K342" s="428"/>
      <c r="L342" s="68"/>
      <c r="M342" s="426"/>
      <c r="N342" s="427"/>
      <c r="O342" s="427"/>
      <c r="P342" s="427"/>
      <c r="Q342" s="428"/>
      <c r="R342" s="67"/>
      <c r="S342" s="426"/>
      <c r="T342" s="427"/>
      <c r="U342" s="427"/>
      <c r="V342" s="427"/>
      <c r="W342" s="428"/>
      <c r="X342" s="67"/>
      <c r="Y342" s="426"/>
      <c r="Z342" s="427"/>
      <c r="AA342" s="427"/>
      <c r="AB342" s="427"/>
      <c r="AC342" s="428"/>
      <c r="AE342" s="426"/>
      <c r="AF342" s="427"/>
      <c r="AG342" s="427"/>
      <c r="AH342" s="427"/>
      <c r="AI342" s="428"/>
      <c r="AK342" s="426"/>
      <c r="AL342" s="427"/>
      <c r="AM342" s="427"/>
      <c r="AN342" s="427"/>
      <c r="AO342" s="428"/>
    </row>
    <row r="343" spans="1:41" x14ac:dyDescent="0.25">
      <c r="A343" s="426"/>
      <c r="B343" s="427"/>
      <c r="C343" s="427"/>
      <c r="D343" s="427"/>
      <c r="E343" s="428"/>
      <c r="F343" s="68"/>
      <c r="G343" s="426"/>
      <c r="H343" s="427"/>
      <c r="I343" s="427"/>
      <c r="J343" s="427"/>
      <c r="K343" s="428"/>
      <c r="L343" s="68"/>
      <c r="M343" s="426"/>
      <c r="N343" s="427"/>
      <c r="O343" s="427"/>
      <c r="P343" s="427"/>
      <c r="Q343" s="428"/>
      <c r="R343" s="67"/>
      <c r="S343" s="426"/>
      <c r="T343" s="427"/>
      <c r="U343" s="427"/>
      <c r="V343" s="427"/>
      <c r="W343" s="428"/>
      <c r="X343" s="67"/>
      <c r="Y343" s="426"/>
      <c r="Z343" s="427"/>
      <c r="AA343" s="427"/>
      <c r="AB343" s="427"/>
      <c r="AC343" s="428"/>
      <c r="AE343" s="426"/>
      <c r="AF343" s="427"/>
      <c r="AG343" s="427"/>
      <c r="AH343" s="427"/>
      <c r="AI343" s="428"/>
      <c r="AK343" s="426"/>
      <c r="AL343" s="427"/>
      <c r="AM343" s="427"/>
      <c r="AN343" s="427"/>
      <c r="AO343" s="428"/>
    </row>
    <row r="344" spans="1:41" x14ac:dyDescent="0.25">
      <c r="A344" s="426"/>
      <c r="B344" s="427"/>
      <c r="C344" s="427"/>
      <c r="D344" s="427"/>
      <c r="E344" s="428"/>
      <c r="F344" s="68"/>
      <c r="G344" s="426"/>
      <c r="H344" s="427"/>
      <c r="I344" s="427"/>
      <c r="J344" s="427"/>
      <c r="K344" s="428"/>
      <c r="L344" s="68"/>
      <c r="M344" s="426"/>
      <c r="N344" s="427"/>
      <c r="O344" s="427"/>
      <c r="P344" s="427"/>
      <c r="Q344" s="428"/>
      <c r="R344" s="67"/>
      <c r="S344" s="426"/>
      <c r="T344" s="427"/>
      <c r="U344" s="427"/>
      <c r="V344" s="427"/>
      <c r="W344" s="428"/>
      <c r="X344" s="67"/>
      <c r="Y344" s="426"/>
      <c r="Z344" s="427"/>
      <c r="AA344" s="427"/>
      <c r="AB344" s="427"/>
      <c r="AC344" s="428"/>
      <c r="AE344" s="426"/>
      <c r="AF344" s="427"/>
      <c r="AG344" s="427"/>
      <c r="AH344" s="427"/>
      <c r="AI344" s="428"/>
      <c r="AK344" s="426"/>
      <c r="AL344" s="427"/>
      <c r="AM344" s="427"/>
      <c r="AN344" s="427"/>
      <c r="AO344" s="428"/>
    </row>
    <row r="345" spans="1:41" x14ac:dyDescent="0.25">
      <c r="A345" s="426"/>
      <c r="B345" s="427"/>
      <c r="C345" s="427"/>
      <c r="D345" s="427"/>
      <c r="E345" s="428"/>
      <c r="F345" s="68"/>
      <c r="G345" s="426"/>
      <c r="H345" s="427"/>
      <c r="I345" s="427"/>
      <c r="J345" s="427"/>
      <c r="K345" s="428"/>
      <c r="L345" s="68"/>
      <c r="M345" s="426"/>
      <c r="N345" s="427"/>
      <c r="O345" s="427"/>
      <c r="P345" s="427"/>
      <c r="Q345" s="428"/>
      <c r="R345" s="67"/>
      <c r="S345" s="426"/>
      <c r="T345" s="427"/>
      <c r="U345" s="427"/>
      <c r="V345" s="427"/>
      <c r="W345" s="428"/>
      <c r="X345" s="67"/>
      <c r="Y345" s="426"/>
      <c r="Z345" s="427"/>
      <c r="AA345" s="427"/>
      <c r="AB345" s="427"/>
      <c r="AC345" s="428"/>
      <c r="AE345" s="426"/>
      <c r="AF345" s="427"/>
      <c r="AG345" s="427"/>
      <c r="AH345" s="427"/>
      <c r="AI345" s="428"/>
      <c r="AK345" s="426"/>
      <c r="AL345" s="427"/>
      <c r="AM345" s="427"/>
      <c r="AN345" s="427"/>
      <c r="AO345" s="428"/>
    </row>
    <row r="346" spans="1:41" x14ac:dyDescent="0.25">
      <c r="A346" s="426"/>
      <c r="B346" s="427"/>
      <c r="C346" s="427"/>
      <c r="D346" s="427"/>
      <c r="E346" s="428"/>
      <c r="F346" s="68"/>
      <c r="G346" s="426"/>
      <c r="H346" s="427"/>
      <c r="I346" s="427"/>
      <c r="J346" s="427"/>
      <c r="K346" s="428"/>
      <c r="L346" s="68"/>
      <c r="M346" s="426"/>
      <c r="N346" s="427"/>
      <c r="O346" s="427"/>
      <c r="P346" s="427"/>
      <c r="Q346" s="428"/>
      <c r="R346" s="67"/>
      <c r="S346" s="426"/>
      <c r="T346" s="427"/>
      <c r="U346" s="427"/>
      <c r="V346" s="427"/>
      <c r="W346" s="428"/>
      <c r="X346" s="67"/>
      <c r="Y346" s="426"/>
      <c r="Z346" s="427"/>
      <c r="AA346" s="427"/>
      <c r="AB346" s="427"/>
      <c r="AC346" s="428"/>
      <c r="AE346" s="426"/>
      <c r="AF346" s="427"/>
      <c r="AG346" s="427"/>
      <c r="AH346" s="427"/>
      <c r="AI346" s="428"/>
      <c r="AK346" s="426"/>
      <c r="AL346" s="427"/>
      <c r="AM346" s="427"/>
      <c r="AN346" s="427"/>
      <c r="AO346" s="428"/>
    </row>
    <row r="347" spans="1:41" x14ac:dyDescent="0.25">
      <c r="A347" s="426"/>
      <c r="B347" s="427"/>
      <c r="C347" s="427"/>
      <c r="D347" s="427"/>
      <c r="E347" s="428"/>
      <c r="F347" s="68"/>
      <c r="G347" s="426"/>
      <c r="H347" s="427"/>
      <c r="I347" s="427"/>
      <c r="J347" s="427"/>
      <c r="K347" s="428"/>
      <c r="L347" s="68"/>
      <c r="M347" s="426"/>
      <c r="N347" s="427"/>
      <c r="O347" s="427"/>
      <c r="P347" s="427"/>
      <c r="Q347" s="428"/>
      <c r="R347" s="67"/>
      <c r="S347" s="426"/>
      <c r="T347" s="427"/>
      <c r="U347" s="427"/>
      <c r="V347" s="427"/>
      <c r="W347" s="428"/>
      <c r="X347" s="67"/>
      <c r="Y347" s="426"/>
      <c r="Z347" s="427"/>
      <c r="AA347" s="427"/>
      <c r="AB347" s="427"/>
      <c r="AC347" s="428"/>
      <c r="AE347" s="426"/>
      <c r="AF347" s="427"/>
      <c r="AG347" s="427"/>
      <c r="AH347" s="427"/>
      <c r="AI347" s="428"/>
      <c r="AK347" s="426"/>
      <c r="AL347" s="427"/>
      <c r="AM347" s="427"/>
      <c r="AN347" s="427"/>
      <c r="AO347" s="428"/>
    </row>
    <row r="348" spans="1:41" x14ac:dyDescent="0.25">
      <c r="A348" s="426"/>
      <c r="B348" s="427"/>
      <c r="C348" s="427"/>
      <c r="D348" s="427"/>
      <c r="E348" s="428"/>
      <c r="F348" s="68"/>
      <c r="G348" s="426"/>
      <c r="H348" s="427"/>
      <c r="I348" s="427"/>
      <c r="J348" s="427"/>
      <c r="K348" s="428"/>
      <c r="L348" s="68"/>
      <c r="M348" s="426"/>
      <c r="N348" s="427"/>
      <c r="O348" s="427"/>
      <c r="P348" s="427"/>
      <c r="Q348" s="428"/>
      <c r="R348" s="67"/>
      <c r="S348" s="426"/>
      <c r="T348" s="427"/>
      <c r="U348" s="427"/>
      <c r="V348" s="427"/>
      <c r="W348" s="428"/>
      <c r="X348" s="67"/>
      <c r="Y348" s="426"/>
      <c r="Z348" s="427"/>
      <c r="AA348" s="427"/>
      <c r="AB348" s="427"/>
      <c r="AC348" s="428"/>
      <c r="AE348" s="426"/>
      <c r="AF348" s="427"/>
      <c r="AG348" s="427"/>
      <c r="AH348" s="427"/>
      <c r="AI348" s="428"/>
      <c r="AK348" s="426"/>
      <c r="AL348" s="427"/>
      <c r="AM348" s="427"/>
      <c r="AN348" s="427"/>
      <c r="AO348" s="428"/>
    </row>
    <row r="349" spans="1:41" x14ac:dyDescent="0.25">
      <c r="A349" s="429"/>
      <c r="B349" s="430"/>
      <c r="C349" s="430"/>
      <c r="D349" s="430"/>
      <c r="E349" s="431"/>
      <c r="F349" s="68"/>
      <c r="G349" s="429"/>
      <c r="H349" s="430"/>
      <c r="I349" s="430"/>
      <c r="J349" s="430"/>
      <c r="K349" s="431"/>
      <c r="L349" s="68"/>
      <c r="M349" s="429"/>
      <c r="N349" s="430"/>
      <c r="O349" s="430"/>
      <c r="P349" s="430"/>
      <c r="Q349" s="431"/>
      <c r="R349" s="67"/>
      <c r="S349" s="429"/>
      <c r="T349" s="430"/>
      <c r="U349" s="430"/>
      <c r="V349" s="430"/>
      <c r="W349" s="431"/>
      <c r="X349" s="67"/>
      <c r="Y349" s="429"/>
      <c r="Z349" s="430"/>
      <c r="AA349" s="430"/>
      <c r="AB349" s="430"/>
      <c r="AC349" s="431"/>
      <c r="AE349" s="429"/>
      <c r="AF349" s="430"/>
      <c r="AG349" s="430"/>
      <c r="AH349" s="430"/>
      <c r="AI349" s="431"/>
      <c r="AK349" s="429"/>
      <c r="AL349" s="430"/>
      <c r="AM349" s="430"/>
      <c r="AN349" s="430"/>
      <c r="AO349" s="431"/>
    </row>
    <row r="350" spans="1:41" ht="15.75" thickBot="1" x14ac:dyDescent="0.3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</row>
    <row r="351" spans="1:41" x14ac:dyDescent="0.25">
      <c r="A351" s="67"/>
      <c r="B351" s="67"/>
      <c r="C351" s="67"/>
      <c r="D351" s="67"/>
      <c r="E351" s="67"/>
      <c r="F351" s="67"/>
      <c r="G351" s="67"/>
      <c r="H351" s="67"/>
      <c r="I351" s="67"/>
      <c r="J351" s="432" t="s">
        <v>596</v>
      </c>
      <c r="K351" s="433"/>
      <c r="L351" s="433"/>
      <c r="M351" s="433"/>
      <c r="N351" s="434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</row>
    <row r="352" spans="1:41" ht="15.75" thickBot="1" x14ac:dyDescent="0.3">
      <c r="A352" s="67"/>
      <c r="B352" s="67"/>
      <c r="C352" s="67"/>
      <c r="D352" s="67"/>
      <c r="E352" s="67"/>
      <c r="F352" s="67"/>
      <c r="G352" s="67"/>
      <c r="H352" s="67"/>
      <c r="I352" s="67"/>
      <c r="J352" s="435"/>
      <c r="K352" s="436"/>
      <c r="L352" s="436"/>
      <c r="M352" s="436"/>
      <c r="N352" s="43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</row>
    <row r="353" spans="1:41" x14ac:dyDescent="0.25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</row>
    <row r="354" spans="1:41" x14ac:dyDescent="0.25">
      <c r="A354" s="420" t="s">
        <v>597</v>
      </c>
      <c r="B354" s="421"/>
      <c r="C354" s="421"/>
      <c r="D354" s="421"/>
      <c r="E354" s="422"/>
      <c r="F354" s="68"/>
      <c r="G354" s="420" t="s">
        <v>598</v>
      </c>
      <c r="H354" s="421"/>
      <c r="I354" s="421"/>
      <c r="J354" s="421"/>
      <c r="K354" s="422"/>
      <c r="L354" s="68"/>
      <c r="M354" s="420" t="s">
        <v>599</v>
      </c>
      <c r="N354" s="421"/>
      <c r="O354" s="421"/>
      <c r="P354" s="421"/>
      <c r="Q354" s="422"/>
      <c r="R354" s="67"/>
      <c r="S354" s="420" t="s">
        <v>600</v>
      </c>
      <c r="T354" s="421"/>
      <c r="U354" s="421"/>
      <c r="V354" s="421"/>
      <c r="W354" s="422"/>
      <c r="X354" s="67"/>
      <c r="Y354" s="420" t="s">
        <v>1147</v>
      </c>
      <c r="Z354" s="421"/>
      <c r="AA354" s="421"/>
      <c r="AB354" s="421"/>
      <c r="AC354" s="422"/>
      <c r="AE354" s="420" t="s">
        <v>1147</v>
      </c>
      <c r="AF354" s="421"/>
      <c r="AG354" s="421"/>
      <c r="AH354" s="421"/>
      <c r="AI354" s="422"/>
      <c r="AK354" s="420" t="s">
        <v>1147</v>
      </c>
      <c r="AL354" s="421"/>
      <c r="AM354" s="421"/>
      <c r="AN354" s="421"/>
      <c r="AO354" s="422"/>
    </row>
    <row r="355" spans="1:41" x14ac:dyDescent="0.25">
      <c r="A355" s="423"/>
      <c r="B355" s="424"/>
      <c r="C355" s="424"/>
      <c r="D355" s="424"/>
      <c r="E355" s="425"/>
      <c r="F355" s="68"/>
      <c r="G355" s="423"/>
      <c r="H355" s="424"/>
      <c r="I355" s="424"/>
      <c r="J355" s="424"/>
      <c r="K355" s="425"/>
      <c r="L355" s="68"/>
      <c r="M355" s="423"/>
      <c r="N355" s="424"/>
      <c r="O355" s="424"/>
      <c r="P355" s="424"/>
      <c r="Q355" s="425"/>
      <c r="R355" s="67"/>
      <c r="S355" s="423"/>
      <c r="T355" s="424"/>
      <c r="U355" s="424"/>
      <c r="V355" s="424"/>
      <c r="W355" s="425"/>
      <c r="X355" s="67"/>
      <c r="Y355" s="423"/>
      <c r="Z355" s="424"/>
      <c r="AA355" s="424"/>
      <c r="AB355" s="424"/>
      <c r="AC355" s="425"/>
      <c r="AE355" s="423"/>
      <c r="AF355" s="424"/>
      <c r="AG355" s="424"/>
      <c r="AH355" s="424"/>
      <c r="AI355" s="425"/>
      <c r="AK355" s="423"/>
      <c r="AL355" s="424"/>
      <c r="AM355" s="424"/>
      <c r="AN355" s="424"/>
      <c r="AO355" s="425"/>
    </row>
    <row r="356" spans="1:41" x14ac:dyDescent="0.25">
      <c r="A356" s="426"/>
      <c r="B356" s="427"/>
      <c r="C356" s="427"/>
      <c r="D356" s="427"/>
      <c r="E356" s="428"/>
      <c r="F356" s="68"/>
      <c r="G356" s="426"/>
      <c r="H356" s="427"/>
      <c r="I356" s="427"/>
      <c r="J356" s="427"/>
      <c r="K356" s="428"/>
      <c r="L356" s="68"/>
      <c r="M356" s="426"/>
      <c r="N356" s="427"/>
      <c r="O356" s="427"/>
      <c r="P356" s="427"/>
      <c r="Q356" s="428"/>
      <c r="R356" s="67"/>
      <c r="S356" s="426"/>
      <c r="T356" s="427"/>
      <c r="U356" s="427"/>
      <c r="V356" s="427"/>
      <c r="W356" s="428"/>
      <c r="X356" s="67"/>
      <c r="Y356" s="426"/>
      <c r="Z356" s="427"/>
      <c r="AA356" s="427"/>
      <c r="AB356" s="427"/>
      <c r="AC356" s="428"/>
      <c r="AE356" s="426"/>
      <c r="AF356" s="427"/>
      <c r="AG356" s="427"/>
      <c r="AH356" s="427"/>
      <c r="AI356" s="428"/>
      <c r="AK356" s="426"/>
      <c r="AL356" s="427"/>
      <c r="AM356" s="427"/>
      <c r="AN356" s="427"/>
      <c r="AO356" s="428"/>
    </row>
    <row r="357" spans="1:41" x14ac:dyDescent="0.25">
      <c r="A357" s="426"/>
      <c r="B357" s="427"/>
      <c r="C357" s="427"/>
      <c r="D357" s="427"/>
      <c r="E357" s="428"/>
      <c r="F357" s="68"/>
      <c r="G357" s="426"/>
      <c r="H357" s="427"/>
      <c r="I357" s="427"/>
      <c r="J357" s="427"/>
      <c r="K357" s="428"/>
      <c r="L357" s="68"/>
      <c r="M357" s="426"/>
      <c r="N357" s="427"/>
      <c r="O357" s="427"/>
      <c r="P357" s="427"/>
      <c r="Q357" s="428"/>
      <c r="R357" s="67"/>
      <c r="S357" s="426"/>
      <c r="T357" s="427"/>
      <c r="U357" s="427"/>
      <c r="V357" s="427"/>
      <c r="W357" s="428"/>
      <c r="X357" s="67"/>
      <c r="Y357" s="426"/>
      <c r="Z357" s="427"/>
      <c r="AA357" s="427"/>
      <c r="AB357" s="427"/>
      <c r="AC357" s="428"/>
      <c r="AE357" s="426"/>
      <c r="AF357" s="427"/>
      <c r="AG357" s="427"/>
      <c r="AH357" s="427"/>
      <c r="AI357" s="428"/>
      <c r="AK357" s="426"/>
      <c r="AL357" s="427"/>
      <c r="AM357" s="427"/>
      <c r="AN357" s="427"/>
      <c r="AO357" s="428"/>
    </row>
    <row r="358" spans="1:41" x14ac:dyDescent="0.25">
      <c r="A358" s="426"/>
      <c r="B358" s="427"/>
      <c r="C358" s="427"/>
      <c r="D358" s="427"/>
      <c r="E358" s="428"/>
      <c r="F358" s="68"/>
      <c r="G358" s="426"/>
      <c r="H358" s="427"/>
      <c r="I358" s="427"/>
      <c r="J358" s="427"/>
      <c r="K358" s="428"/>
      <c r="L358" s="68"/>
      <c r="M358" s="426"/>
      <c r="N358" s="427"/>
      <c r="O358" s="427"/>
      <c r="P358" s="427"/>
      <c r="Q358" s="428"/>
      <c r="R358" s="67"/>
      <c r="S358" s="426"/>
      <c r="T358" s="427"/>
      <c r="U358" s="427"/>
      <c r="V358" s="427"/>
      <c r="W358" s="428"/>
      <c r="X358" s="67"/>
      <c r="Y358" s="426"/>
      <c r="Z358" s="427"/>
      <c r="AA358" s="427"/>
      <c r="AB358" s="427"/>
      <c r="AC358" s="428"/>
      <c r="AE358" s="426"/>
      <c r="AF358" s="427"/>
      <c r="AG358" s="427"/>
      <c r="AH358" s="427"/>
      <c r="AI358" s="428"/>
      <c r="AK358" s="426"/>
      <c r="AL358" s="427"/>
      <c r="AM358" s="427"/>
      <c r="AN358" s="427"/>
      <c r="AO358" s="428"/>
    </row>
    <row r="359" spans="1:41" x14ac:dyDescent="0.25">
      <c r="A359" s="426"/>
      <c r="B359" s="427"/>
      <c r="C359" s="427"/>
      <c r="D359" s="427"/>
      <c r="E359" s="428"/>
      <c r="F359" s="68"/>
      <c r="G359" s="426"/>
      <c r="H359" s="427"/>
      <c r="I359" s="427"/>
      <c r="J359" s="427"/>
      <c r="K359" s="428"/>
      <c r="L359" s="68"/>
      <c r="M359" s="426"/>
      <c r="N359" s="427"/>
      <c r="O359" s="427"/>
      <c r="P359" s="427"/>
      <c r="Q359" s="428"/>
      <c r="R359" s="67"/>
      <c r="S359" s="426"/>
      <c r="T359" s="427"/>
      <c r="U359" s="427"/>
      <c r="V359" s="427"/>
      <c r="W359" s="428"/>
      <c r="X359" s="67"/>
      <c r="Y359" s="426"/>
      <c r="Z359" s="427"/>
      <c r="AA359" s="427"/>
      <c r="AB359" s="427"/>
      <c r="AC359" s="428"/>
      <c r="AE359" s="426"/>
      <c r="AF359" s="427"/>
      <c r="AG359" s="427"/>
      <c r="AH359" s="427"/>
      <c r="AI359" s="428"/>
      <c r="AK359" s="426"/>
      <c r="AL359" s="427"/>
      <c r="AM359" s="427"/>
      <c r="AN359" s="427"/>
      <c r="AO359" s="428"/>
    </row>
    <row r="360" spans="1:41" x14ac:dyDescent="0.25">
      <c r="A360" s="426"/>
      <c r="B360" s="427"/>
      <c r="C360" s="427"/>
      <c r="D360" s="427"/>
      <c r="E360" s="428"/>
      <c r="F360" s="68"/>
      <c r="G360" s="426"/>
      <c r="H360" s="427"/>
      <c r="I360" s="427"/>
      <c r="J360" s="427"/>
      <c r="K360" s="428"/>
      <c r="L360" s="68"/>
      <c r="M360" s="426"/>
      <c r="N360" s="427"/>
      <c r="O360" s="427"/>
      <c r="P360" s="427"/>
      <c r="Q360" s="428"/>
      <c r="R360" s="67"/>
      <c r="S360" s="426"/>
      <c r="T360" s="427"/>
      <c r="U360" s="427"/>
      <c r="V360" s="427"/>
      <c r="W360" s="428"/>
      <c r="X360" s="67"/>
      <c r="Y360" s="426"/>
      <c r="Z360" s="427"/>
      <c r="AA360" s="427"/>
      <c r="AB360" s="427"/>
      <c r="AC360" s="428"/>
      <c r="AE360" s="426"/>
      <c r="AF360" s="427"/>
      <c r="AG360" s="427"/>
      <c r="AH360" s="427"/>
      <c r="AI360" s="428"/>
      <c r="AK360" s="426"/>
      <c r="AL360" s="427"/>
      <c r="AM360" s="427"/>
      <c r="AN360" s="427"/>
      <c r="AO360" s="428"/>
    </row>
    <row r="361" spans="1:41" x14ac:dyDescent="0.25">
      <c r="A361" s="426"/>
      <c r="B361" s="427"/>
      <c r="C361" s="427"/>
      <c r="D361" s="427"/>
      <c r="E361" s="428"/>
      <c r="F361" s="68"/>
      <c r="G361" s="426"/>
      <c r="H361" s="427"/>
      <c r="I361" s="427"/>
      <c r="J361" s="427"/>
      <c r="K361" s="428"/>
      <c r="L361" s="68"/>
      <c r="M361" s="426"/>
      <c r="N361" s="427"/>
      <c r="O361" s="427"/>
      <c r="P361" s="427"/>
      <c r="Q361" s="428"/>
      <c r="R361" s="67"/>
      <c r="S361" s="426"/>
      <c r="T361" s="427"/>
      <c r="U361" s="427"/>
      <c r="V361" s="427"/>
      <c r="W361" s="428"/>
      <c r="X361" s="67"/>
      <c r="Y361" s="426"/>
      <c r="Z361" s="427"/>
      <c r="AA361" s="427"/>
      <c r="AB361" s="427"/>
      <c r="AC361" s="428"/>
      <c r="AE361" s="426"/>
      <c r="AF361" s="427"/>
      <c r="AG361" s="427"/>
      <c r="AH361" s="427"/>
      <c r="AI361" s="428"/>
      <c r="AK361" s="426"/>
      <c r="AL361" s="427"/>
      <c r="AM361" s="427"/>
      <c r="AN361" s="427"/>
      <c r="AO361" s="428"/>
    </row>
    <row r="362" spans="1:41" x14ac:dyDescent="0.25">
      <c r="A362" s="426"/>
      <c r="B362" s="427"/>
      <c r="C362" s="427"/>
      <c r="D362" s="427"/>
      <c r="E362" s="428"/>
      <c r="F362" s="68"/>
      <c r="G362" s="426"/>
      <c r="H362" s="427"/>
      <c r="I362" s="427"/>
      <c r="J362" s="427"/>
      <c r="K362" s="428"/>
      <c r="L362" s="68"/>
      <c r="M362" s="426"/>
      <c r="N362" s="427"/>
      <c r="O362" s="427"/>
      <c r="P362" s="427"/>
      <c r="Q362" s="428"/>
      <c r="R362" s="67"/>
      <c r="S362" s="426"/>
      <c r="T362" s="427"/>
      <c r="U362" s="427"/>
      <c r="V362" s="427"/>
      <c r="W362" s="428"/>
      <c r="X362" s="67"/>
      <c r="Y362" s="426"/>
      <c r="Z362" s="427"/>
      <c r="AA362" s="427"/>
      <c r="AB362" s="427"/>
      <c r="AC362" s="428"/>
      <c r="AE362" s="426"/>
      <c r="AF362" s="427"/>
      <c r="AG362" s="427"/>
      <c r="AH362" s="427"/>
      <c r="AI362" s="428"/>
      <c r="AK362" s="426"/>
      <c r="AL362" s="427"/>
      <c r="AM362" s="427"/>
      <c r="AN362" s="427"/>
      <c r="AO362" s="428"/>
    </row>
    <row r="363" spans="1:41" x14ac:dyDescent="0.25">
      <c r="A363" s="426"/>
      <c r="B363" s="427"/>
      <c r="C363" s="427"/>
      <c r="D363" s="427"/>
      <c r="E363" s="428"/>
      <c r="F363" s="68"/>
      <c r="G363" s="426"/>
      <c r="H363" s="427"/>
      <c r="I363" s="427"/>
      <c r="J363" s="427"/>
      <c r="K363" s="428"/>
      <c r="L363" s="68"/>
      <c r="M363" s="426"/>
      <c r="N363" s="427"/>
      <c r="O363" s="427"/>
      <c r="P363" s="427"/>
      <c r="Q363" s="428"/>
      <c r="R363" s="67"/>
      <c r="S363" s="426"/>
      <c r="T363" s="427"/>
      <c r="U363" s="427"/>
      <c r="V363" s="427"/>
      <c r="W363" s="428"/>
      <c r="X363" s="67"/>
      <c r="Y363" s="426"/>
      <c r="Z363" s="427"/>
      <c r="AA363" s="427"/>
      <c r="AB363" s="427"/>
      <c r="AC363" s="428"/>
      <c r="AE363" s="426"/>
      <c r="AF363" s="427"/>
      <c r="AG363" s="427"/>
      <c r="AH363" s="427"/>
      <c r="AI363" s="428"/>
      <c r="AK363" s="426"/>
      <c r="AL363" s="427"/>
      <c r="AM363" s="427"/>
      <c r="AN363" s="427"/>
      <c r="AO363" s="428"/>
    </row>
    <row r="364" spans="1:41" x14ac:dyDescent="0.25">
      <c r="A364" s="426"/>
      <c r="B364" s="427"/>
      <c r="C364" s="427"/>
      <c r="D364" s="427"/>
      <c r="E364" s="428"/>
      <c r="F364" s="68"/>
      <c r="G364" s="426"/>
      <c r="H364" s="427"/>
      <c r="I364" s="427"/>
      <c r="J364" s="427"/>
      <c r="K364" s="428"/>
      <c r="L364" s="68"/>
      <c r="M364" s="426"/>
      <c r="N364" s="427"/>
      <c r="O364" s="427"/>
      <c r="P364" s="427"/>
      <c r="Q364" s="428"/>
      <c r="R364" s="67"/>
      <c r="S364" s="426"/>
      <c r="T364" s="427"/>
      <c r="U364" s="427"/>
      <c r="V364" s="427"/>
      <c r="W364" s="428"/>
      <c r="X364" s="67"/>
      <c r="Y364" s="426"/>
      <c r="Z364" s="427"/>
      <c r="AA364" s="427"/>
      <c r="AB364" s="427"/>
      <c r="AC364" s="428"/>
      <c r="AE364" s="426"/>
      <c r="AF364" s="427"/>
      <c r="AG364" s="427"/>
      <c r="AH364" s="427"/>
      <c r="AI364" s="428"/>
      <c r="AK364" s="426"/>
      <c r="AL364" s="427"/>
      <c r="AM364" s="427"/>
      <c r="AN364" s="427"/>
      <c r="AO364" s="428"/>
    </row>
    <row r="365" spans="1:41" x14ac:dyDescent="0.25">
      <c r="A365" s="426"/>
      <c r="B365" s="427"/>
      <c r="C365" s="427"/>
      <c r="D365" s="427"/>
      <c r="E365" s="428"/>
      <c r="F365" s="68"/>
      <c r="G365" s="426"/>
      <c r="H365" s="427"/>
      <c r="I365" s="427"/>
      <c r="J365" s="427"/>
      <c r="K365" s="428"/>
      <c r="L365" s="68"/>
      <c r="M365" s="426"/>
      <c r="N365" s="427"/>
      <c r="O365" s="427"/>
      <c r="P365" s="427"/>
      <c r="Q365" s="428"/>
      <c r="R365" s="67"/>
      <c r="S365" s="426"/>
      <c r="T365" s="427"/>
      <c r="U365" s="427"/>
      <c r="V365" s="427"/>
      <c r="W365" s="428"/>
      <c r="X365" s="67"/>
      <c r="Y365" s="426"/>
      <c r="Z365" s="427"/>
      <c r="AA365" s="427"/>
      <c r="AB365" s="427"/>
      <c r="AC365" s="428"/>
      <c r="AE365" s="426"/>
      <c r="AF365" s="427"/>
      <c r="AG365" s="427"/>
      <c r="AH365" s="427"/>
      <c r="AI365" s="428"/>
      <c r="AK365" s="426"/>
      <c r="AL365" s="427"/>
      <c r="AM365" s="427"/>
      <c r="AN365" s="427"/>
      <c r="AO365" s="428"/>
    </row>
    <row r="366" spans="1:41" x14ac:dyDescent="0.25">
      <c r="A366" s="426"/>
      <c r="B366" s="427"/>
      <c r="C366" s="427"/>
      <c r="D366" s="427"/>
      <c r="E366" s="428"/>
      <c r="F366" s="68"/>
      <c r="G366" s="426"/>
      <c r="H366" s="427"/>
      <c r="I366" s="427"/>
      <c r="J366" s="427"/>
      <c r="K366" s="428"/>
      <c r="L366" s="68"/>
      <c r="M366" s="426"/>
      <c r="N366" s="427"/>
      <c r="O366" s="427"/>
      <c r="P366" s="427"/>
      <c r="Q366" s="428"/>
      <c r="R366" s="67"/>
      <c r="S366" s="426"/>
      <c r="T366" s="427"/>
      <c r="U366" s="427"/>
      <c r="V366" s="427"/>
      <c r="W366" s="428"/>
      <c r="X366" s="67"/>
      <c r="Y366" s="426"/>
      <c r="Z366" s="427"/>
      <c r="AA366" s="427"/>
      <c r="AB366" s="427"/>
      <c r="AC366" s="428"/>
      <c r="AE366" s="426"/>
      <c r="AF366" s="427"/>
      <c r="AG366" s="427"/>
      <c r="AH366" s="427"/>
      <c r="AI366" s="428"/>
      <c r="AK366" s="426"/>
      <c r="AL366" s="427"/>
      <c r="AM366" s="427"/>
      <c r="AN366" s="427"/>
      <c r="AO366" s="428"/>
    </row>
    <row r="367" spans="1:41" x14ac:dyDescent="0.25">
      <c r="A367" s="426"/>
      <c r="B367" s="427"/>
      <c r="C367" s="427"/>
      <c r="D367" s="427"/>
      <c r="E367" s="428"/>
      <c r="F367" s="68"/>
      <c r="G367" s="426"/>
      <c r="H367" s="427"/>
      <c r="I367" s="427"/>
      <c r="J367" s="427"/>
      <c r="K367" s="428"/>
      <c r="L367" s="68"/>
      <c r="M367" s="426"/>
      <c r="N367" s="427"/>
      <c r="O367" s="427"/>
      <c r="P367" s="427"/>
      <c r="Q367" s="428"/>
      <c r="R367" s="67"/>
      <c r="S367" s="426"/>
      <c r="T367" s="427"/>
      <c r="U367" s="427"/>
      <c r="V367" s="427"/>
      <c r="W367" s="428"/>
      <c r="X367" s="67"/>
      <c r="Y367" s="426"/>
      <c r="Z367" s="427"/>
      <c r="AA367" s="427"/>
      <c r="AB367" s="427"/>
      <c r="AC367" s="428"/>
      <c r="AE367" s="426"/>
      <c r="AF367" s="427"/>
      <c r="AG367" s="427"/>
      <c r="AH367" s="427"/>
      <c r="AI367" s="428"/>
      <c r="AK367" s="426"/>
      <c r="AL367" s="427"/>
      <c r="AM367" s="427"/>
      <c r="AN367" s="427"/>
      <c r="AO367" s="428"/>
    </row>
    <row r="368" spans="1:41" x14ac:dyDescent="0.25">
      <c r="A368" s="429"/>
      <c r="B368" s="430"/>
      <c r="C368" s="430"/>
      <c r="D368" s="430"/>
      <c r="E368" s="431"/>
      <c r="F368" s="68"/>
      <c r="G368" s="429"/>
      <c r="H368" s="430"/>
      <c r="I368" s="430"/>
      <c r="J368" s="430"/>
      <c r="K368" s="431"/>
      <c r="L368" s="68"/>
      <c r="M368" s="429"/>
      <c r="N368" s="430"/>
      <c r="O368" s="430"/>
      <c r="P368" s="430"/>
      <c r="Q368" s="431"/>
      <c r="R368" s="67"/>
      <c r="S368" s="429"/>
      <c r="T368" s="430"/>
      <c r="U368" s="430"/>
      <c r="V368" s="430"/>
      <c r="W368" s="431"/>
      <c r="X368" s="67"/>
      <c r="Y368" s="429"/>
      <c r="Z368" s="430"/>
      <c r="AA368" s="430"/>
      <c r="AB368" s="430"/>
      <c r="AC368" s="431"/>
      <c r="AE368" s="429"/>
      <c r="AF368" s="430"/>
      <c r="AG368" s="430"/>
      <c r="AH368" s="430"/>
      <c r="AI368" s="431"/>
      <c r="AK368" s="429"/>
      <c r="AL368" s="430"/>
      <c r="AM368" s="430"/>
      <c r="AN368" s="430"/>
      <c r="AO368" s="431"/>
    </row>
    <row r="369" spans="1:37" x14ac:dyDescent="0.25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</row>
    <row r="370" spans="1:37" x14ac:dyDescent="0.25">
      <c r="A370" s="420" t="s">
        <v>601</v>
      </c>
      <c r="B370" s="421"/>
      <c r="C370" s="421"/>
      <c r="D370" s="421"/>
      <c r="E370" s="422"/>
      <c r="F370" s="68"/>
      <c r="G370" s="420" t="s">
        <v>602</v>
      </c>
      <c r="H370" s="421"/>
      <c r="I370" s="421"/>
      <c r="J370" s="421"/>
      <c r="K370" s="422"/>
      <c r="L370" s="68"/>
      <c r="M370" s="420" t="s">
        <v>603</v>
      </c>
      <c r="N370" s="421"/>
      <c r="O370" s="421"/>
      <c r="P370" s="421"/>
      <c r="Q370" s="422"/>
      <c r="R370" s="68"/>
      <c r="S370" s="420" t="s">
        <v>604</v>
      </c>
      <c r="T370" s="421"/>
      <c r="U370" s="421"/>
      <c r="V370" s="421"/>
      <c r="W370" s="422"/>
      <c r="X370" s="67"/>
      <c r="Y370" s="420" t="s">
        <v>1148</v>
      </c>
      <c r="Z370" s="421"/>
      <c r="AA370" s="421"/>
      <c r="AB370" s="421"/>
      <c r="AC370" s="422"/>
      <c r="AE370" s="420" t="s">
        <v>1149</v>
      </c>
      <c r="AF370" s="421"/>
      <c r="AG370" s="421"/>
      <c r="AH370" s="421"/>
      <c r="AI370" s="422"/>
      <c r="AK370" s="332" t="s">
        <v>1150</v>
      </c>
    </row>
    <row r="371" spans="1:37" x14ac:dyDescent="0.25">
      <c r="A371" s="423"/>
      <c r="B371" s="424"/>
      <c r="C371" s="424"/>
      <c r="D371" s="424"/>
      <c r="E371" s="425"/>
      <c r="F371" s="68"/>
      <c r="G371" s="423" t="s">
        <v>1114</v>
      </c>
      <c r="H371" s="424"/>
      <c r="I371" s="424"/>
      <c r="J371" s="424"/>
      <c r="K371" s="425"/>
      <c r="L371" s="68"/>
      <c r="M371" s="423"/>
      <c r="N371" s="424"/>
      <c r="O371" s="424"/>
      <c r="P371" s="424"/>
      <c r="Q371" s="425"/>
      <c r="R371" s="68"/>
      <c r="S371" s="423"/>
      <c r="T371" s="424"/>
      <c r="U371" s="424"/>
      <c r="V371" s="424"/>
      <c r="W371" s="425"/>
      <c r="X371" s="67"/>
      <c r="Y371" s="423"/>
      <c r="Z371" s="424"/>
      <c r="AA371" s="424"/>
      <c r="AB371" s="424"/>
      <c r="AC371" s="425"/>
      <c r="AE371" s="423"/>
      <c r="AF371" s="424"/>
      <c r="AG371" s="424"/>
      <c r="AH371" s="424"/>
      <c r="AI371" s="425"/>
      <c r="AK371" s="423"/>
    </row>
    <row r="372" spans="1:37" x14ac:dyDescent="0.25">
      <c r="A372" s="426"/>
      <c r="B372" s="427"/>
      <c r="C372" s="427"/>
      <c r="D372" s="427"/>
      <c r="E372" s="428"/>
      <c r="F372" s="68"/>
      <c r="G372" s="426"/>
      <c r="H372" s="427"/>
      <c r="I372" s="427"/>
      <c r="J372" s="427"/>
      <c r="K372" s="428"/>
      <c r="L372" s="68"/>
      <c r="M372" s="426"/>
      <c r="N372" s="427"/>
      <c r="O372" s="427"/>
      <c r="P372" s="427"/>
      <c r="Q372" s="428"/>
      <c r="R372" s="68"/>
      <c r="S372" s="426"/>
      <c r="T372" s="427"/>
      <c r="U372" s="427"/>
      <c r="V372" s="427"/>
      <c r="W372" s="428"/>
      <c r="X372" s="67"/>
      <c r="Y372" s="426"/>
      <c r="Z372" s="427"/>
      <c r="AA372" s="427"/>
      <c r="AB372" s="427"/>
      <c r="AC372" s="428"/>
      <c r="AE372" s="426"/>
      <c r="AF372" s="427"/>
      <c r="AG372" s="427"/>
      <c r="AH372" s="427"/>
      <c r="AI372" s="428"/>
      <c r="AK372" s="426"/>
    </row>
    <row r="373" spans="1:37" x14ac:dyDescent="0.25">
      <c r="A373" s="426"/>
      <c r="B373" s="427"/>
      <c r="C373" s="427"/>
      <c r="D373" s="427"/>
      <c r="E373" s="428"/>
      <c r="F373" s="68"/>
      <c r="G373" s="426"/>
      <c r="H373" s="427"/>
      <c r="I373" s="427"/>
      <c r="J373" s="427"/>
      <c r="K373" s="428"/>
      <c r="L373" s="68"/>
      <c r="M373" s="426"/>
      <c r="N373" s="427"/>
      <c r="O373" s="427"/>
      <c r="P373" s="427"/>
      <c r="Q373" s="428"/>
      <c r="R373" s="68"/>
      <c r="S373" s="426"/>
      <c r="T373" s="427"/>
      <c r="U373" s="427"/>
      <c r="V373" s="427"/>
      <c r="W373" s="428"/>
      <c r="X373" s="67"/>
      <c r="Y373" s="426"/>
      <c r="Z373" s="427"/>
      <c r="AA373" s="427"/>
      <c r="AB373" s="427"/>
      <c r="AC373" s="428"/>
      <c r="AE373" s="426"/>
      <c r="AF373" s="427"/>
      <c r="AG373" s="427"/>
      <c r="AH373" s="427"/>
      <c r="AI373" s="428"/>
      <c r="AK373" s="426"/>
    </row>
    <row r="374" spans="1:37" x14ac:dyDescent="0.25">
      <c r="A374" s="426"/>
      <c r="B374" s="427"/>
      <c r="C374" s="427"/>
      <c r="D374" s="427"/>
      <c r="E374" s="428"/>
      <c r="F374" s="68"/>
      <c r="G374" s="426"/>
      <c r="H374" s="427"/>
      <c r="I374" s="427"/>
      <c r="J374" s="427"/>
      <c r="K374" s="428"/>
      <c r="L374" s="68"/>
      <c r="M374" s="426"/>
      <c r="N374" s="427"/>
      <c r="O374" s="427"/>
      <c r="P374" s="427"/>
      <c r="Q374" s="428"/>
      <c r="R374" s="68"/>
      <c r="S374" s="426"/>
      <c r="T374" s="427"/>
      <c r="U374" s="427"/>
      <c r="V374" s="427"/>
      <c r="W374" s="428"/>
      <c r="X374" s="67"/>
      <c r="Y374" s="426"/>
      <c r="Z374" s="427"/>
      <c r="AA374" s="427"/>
      <c r="AB374" s="427"/>
      <c r="AC374" s="428"/>
      <c r="AE374" s="426"/>
      <c r="AF374" s="427"/>
      <c r="AG374" s="427"/>
      <c r="AH374" s="427"/>
      <c r="AI374" s="428"/>
      <c r="AK374" s="426"/>
    </row>
    <row r="375" spans="1:37" x14ac:dyDescent="0.25">
      <c r="A375" s="426"/>
      <c r="B375" s="427"/>
      <c r="C375" s="427"/>
      <c r="D375" s="427"/>
      <c r="E375" s="428"/>
      <c r="F375" s="68"/>
      <c r="G375" s="426"/>
      <c r="H375" s="427"/>
      <c r="I375" s="427"/>
      <c r="J375" s="427"/>
      <c r="K375" s="428"/>
      <c r="L375" s="68"/>
      <c r="M375" s="426"/>
      <c r="N375" s="427"/>
      <c r="O375" s="427"/>
      <c r="P375" s="427"/>
      <c r="Q375" s="428"/>
      <c r="R375" s="68"/>
      <c r="S375" s="426"/>
      <c r="T375" s="427"/>
      <c r="U375" s="427"/>
      <c r="V375" s="427"/>
      <c r="W375" s="428"/>
      <c r="X375" s="67"/>
      <c r="Y375" s="426"/>
      <c r="Z375" s="427"/>
      <c r="AA375" s="427"/>
      <c r="AB375" s="427"/>
      <c r="AC375" s="428"/>
      <c r="AE375" s="426"/>
      <c r="AF375" s="427"/>
      <c r="AG375" s="427"/>
      <c r="AH375" s="427"/>
      <c r="AI375" s="428"/>
      <c r="AK375" s="426"/>
    </row>
    <row r="376" spans="1:37" x14ac:dyDescent="0.25">
      <c r="A376" s="426"/>
      <c r="B376" s="427"/>
      <c r="C376" s="427"/>
      <c r="D376" s="427"/>
      <c r="E376" s="428"/>
      <c r="F376" s="68"/>
      <c r="G376" s="426"/>
      <c r="H376" s="427"/>
      <c r="I376" s="427"/>
      <c r="J376" s="427"/>
      <c r="K376" s="428"/>
      <c r="L376" s="68"/>
      <c r="M376" s="426"/>
      <c r="N376" s="427"/>
      <c r="O376" s="427"/>
      <c r="P376" s="427"/>
      <c r="Q376" s="428"/>
      <c r="R376" s="68"/>
      <c r="S376" s="426"/>
      <c r="T376" s="427"/>
      <c r="U376" s="427"/>
      <c r="V376" s="427"/>
      <c r="W376" s="428"/>
      <c r="X376" s="67"/>
      <c r="Y376" s="426"/>
      <c r="Z376" s="427"/>
      <c r="AA376" s="427"/>
      <c r="AB376" s="427"/>
      <c r="AC376" s="428"/>
      <c r="AE376" s="426"/>
      <c r="AF376" s="427"/>
      <c r="AG376" s="427"/>
      <c r="AH376" s="427"/>
      <c r="AI376" s="428"/>
      <c r="AK376" s="426"/>
    </row>
    <row r="377" spans="1:37" x14ac:dyDescent="0.25">
      <c r="A377" s="426"/>
      <c r="B377" s="427"/>
      <c r="C377" s="427"/>
      <c r="D377" s="427"/>
      <c r="E377" s="428"/>
      <c r="F377" s="68"/>
      <c r="G377" s="426"/>
      <c r="H377" s="427"/>
      <c r="I377" s="427"/>
      <c r="J377" s="427"/>
      <c r="K377" s="428"/>
      <c r="L377" s="68"/>
      <c r="M377" s="426"/>
      <c r="N377" s="427"/>
      <c r="O377" s="427"/>
      <c r="P377" s="427"/>
      <c r="Q377" s="428"/>
      <c r="R377" s="68"/>
      <c r="S377" s="426"/>
      <c r="T377" s="427"/>
      <c r="U377" s="427"/>
      <c r="V377" s="427"/>
      <c r="W377" s="428"/>
      <c r="X377" s="67"/>
      <c r="Y377" s="426"/>
      <c r="Z377" s="427"/>
      <c r="AA377" s="427"/>
      <c r="AB377" s="427"/>
      <c r="AC377" s="428"/>
      <c r="AE377" s="426"/>
      <c r="AF377" s="427"/>
      <c r="AG377" s="427"/>
      <c r="AH377" s="427"/>
      <c r="AI377" s="428"/>
      <c r="AK377" s="426"/>
    </row>
    <row r="378" spans="1:37" x14ac:dyDescent="0.25">
      <c r="A378" s="426"/>
      <c r="B378" s="427"/>
      <c r="C378" s="427"/>
      <c r="D378" s="427"/>
      <c r="E378" s="428"/>
      <c r="F378" s="68"/>
      <c r="G378" s="426"/>
      <c r="H378" s="427"/>
      <c r="I378" s="427"/>
      <c r="J378" s="427"/>
      <c r="K378" s="428"/>
      <c r="L378" s="68"/>
      <c r="M378" s="426"/>
      <c r="N378" s="427"/>
      <c r="O378" s="427"/>
      <c r="P378" s="427"/>
      <c r="Q378" s="428"/>
      <c r="R378" s="68"/>
      <c r="S378" s="426"/>
      <c r="T378" s="427"/>
      <c r="U378" s="427"/>
      <c r="V378" s="427"/>
      <c r="W378" s="428"/>
      <c r="X378" s="67"/>
      <c r="Y378" s="426"/>
      <c r="Z378" s="427"/>
      <c r="AA378" s="427"/>
      <c r="AB378" s="427"/>
      <c r="AC378" s="428"/>
      <c r="AE378" s="426"/>
      <c r="AF378" s="427"/>
      <c r="AG378" s="427"/>
      <c r="AH378" s="427"/>
      <c r="AI378" s="428"/>
      <c r="AK378" s="426"/>
    </row>
    <row r="379" spans="1:37" x14ac:dyDescent="0.25">
      <c r="A379" s="426"/>
      <c r="B379" s="427"/>
      <c r="C379" s="427"/>
      <c r="D379" s="427"/>
      <c r="E379" s="428"/>
      <c r="F379" s="68"/>
      <c r="G379" s="426"/>
      <c r="H379" s="427"/>
      <c r="I379" s="427"/>
      <c r="J379" s="427"/>
      <c r="K379" s="428"/>
      <c r="L379" s="68"/>
      <c r="M379" s="426"/>
      <c r="N379" s="427"/>
      <c r="O379" s="427"/>
      <c r="P379" s="427"/>
      <c r="Q379" s="428"/>
      <c r="R379" s="68"/>
      <c r="S379" s="426"/>
      <c r="T379" s="427"/>
      <c r="U379" s="427"/>
      <c r="V379" s="427"/>
      <c r="W379" s="428"/>
      <c r="X379" s="67"/>
      <c r="Y379" s="426"/>
      <c r="Z379" s="427"/>
      <c r="AA379" s="427"/>
      <c r="AB379" s="427"/>
      <c r="AC379" s="428"/>
      <c r="AE379" s="426"/>
      <c r="AF379" s="427"/>
      <c r="AG379" s="427"/>
      <c r="AH379" s="427"/>
      <c r="AI379" s="428"/>
      <c r="AK379" s="426"/>
    </row>
    <row r="380" spans="1:37" x14ac:dyDescent="0.25">
      <c r="A380" s="426"/>
      <c r="B380" s="427"/>
      <c r="C380" s="427"/>
      <c r="D380" s="427"/>
      <c r="E380" s="428"/>
      <c r="F380" s="68"/>
      <c r="G380" s="426"/>
      <c r="H380" s="427"/>
      <c r="I380" s="427"/>
      <c r="J380" s="427"/>
      <c r="K380" s="428"/>
      <c r="L380" s="68"/>
      <c r="M380" s="426"/>
      <c r="N380" s="427"/>
      <c r="O380" s="427"/>
      <c r="P380" s="427"/>
      <c r="Q380" s="428"/>
      <c r="R380" s="68"/>
      <c r="S380" s="426"/>
      <c r="T380" s="427"/>
      <c r="U380" s="427"/>
      <c r="V380" s="427"/>
      <c r="W380" s="428"/>
      <c r="X380" s="67"/>
      <c r="Y380" s="426"/>
      <c r="Z380" s="427"/>
      <c r="AA380" s="427"/>
      <c r="AB380" s="427"/>
      <c r="AC380" s="428"/>
      <c r="AE380" s="426"/>
      <c r="AF380" s="427"/>
      <c r="AG380" s="427"/>
      <c r="AH380" s="427"/>
      <c r="AI380" s="428"/>
      <c r="AK380" s="426"/>
    </row>
    <row r="381" spans="1:37" x14ac:dyDescent="0.25">
      <c r="A381" s="426"/>
      <c r="B381" s="427"/>
      <c r="C381" s="427"/>
      <c r="D381" s="427"/>
      <c r="E381" s="428"/>
      <c r="F381" s="68"/>
      <c r="G381" s="426"/>
      <c r="H381" s="427"/>
      <c r="I381" s="427"/>
      <c r="J381" s="427"/>
      <c r="K381" s="428"/>
      <c r="L381" s="68"/>
      <c r="M381" s="426"/>
      <c r="N381" s="427"/>
      <c r="O381" s="427"/>
      <c r="P381" s="427"/>
      <c r="Q381" s="428"/>
      <c r="R381" s="68"/>
      <c r="S381" s="426"/>
      <c r="T381" s="427"/>
      <c r="U381" s="427"/>
      <c r="V381" s="427"/>
      <c r="W381" s="428"/>
      <c r="X381" s="67"/>
      <c r="Y381" s="426"/>
      <c r="Z381" s="427"/>
      <c r="AA381" s="427"/>
      <c r="AB381" s="427"/>
      <c r="AC381" s="428"/>
      <c r="AE381" s="426"/>
      <c r="AF381" s="427"/>
      <c r="AG381" s="427"/>
      <c r="AH381" s="427"/>
      <c r="AI381" s="428"/>
      <c r="AK381" s="426"/>
    </row>
    <row r="382" spans="1:37" x14ac:dyDescent="0.25">
      <c r="A382" s="426"/>
      <c r="B382" s="427"/>
      <c r="C382" s="427"/>
      <c r="D382" s="427"/>
      <c r="E382" s="428"/>
      <c r="F382" s="68"/>
      <c r="G382" s="426"/>
      <c r="H382" s="427"/>
      <c r="I382" s="427"/>
      <c r="J382" s="427"/>
      <c r="K382" s="428"/>
      <c r="L382" s="68"/>
      <c r="M382" s="426"/>
      <c r="N382" s="427"/>
      <c r="O382" s="427"/>
      <c r="P382" s="427"/>
      <c r="Q382" s="428"/>
      <c r="R382" s="68"/>
      <c r="S382" s="426"/>
      <c r="T382" s="427"/>
      <c r="U382" s="427"/>
      <c r="V382" s="427"/>
      <c r="W382" s="428"/>
      <c r="X382" s="67"/>
      <c r="Y382" s="426"/>
      <c r="Z382" s="427"/>
      <c r="AA382" s="427"/>
      <c r="AB382" s="427"/>
      <c r="AC382" s="428"/>
      <c r="AE382" s="426"/>
      <c r="AF382" s="427"/>
      <c r="AG382" s="427"/>
      <c r="AH382" s="427"/>
      <c r="AI382" s="428"/>
      <c r="AK382" s="426"/>
    </row>
    <row r="383" spans="1:37" x14ac:dyDescent="0.25">
      <c r="A383" s="426"/>
      <c r="B383" s="427"/>
      <c r="C383" s="427"/>
      <c r="D383" s="427"/>
      <c r="E383" s="428"/>
      <c r="F383" s="68"/>
      <c r="G383" s="426"/>
      <c r="H383" s="427"/>
      <c r="I383" s="427"/>
      <c r="J383" s="427"/>
      <c r="K383" s="428"/>
      <c r="L383" s="68"/>
      <c r="M383" s="426"/>
      <c r="N383" s="427"/>
      <c r="O383" s="427"/>
      <c r="P383" s="427"/>
      <c r="Q383" s="428"/>
      <c r="R383" s="68"/>
      <c r="S383" s="426"/>
      <c r="T383" s="427"/>
      <c r="U383" s="427"/>
      <c r="V383" s="427"/>
      <c r="W383" s="428"/>
      <c r="X383" s="67"/>
      <c r="Y383" s="426"/>
      <c r="Z383" s="427"/>
      <c r="AA383" s="427"/>
      <c r="AB383" s="427"/>
      <c r="AC383" s="428"/>
      <c r="AE383" s="426"/>
      <c r="AF383" s="427"/>
      <c r="AG383" s="427"/>
      <c r="AH383" s="427"/>
      <c r="AI383" s="428"/>
      <c r="AK383" s="426"/>
    </row>
    <row r="384" spans="1:37" x14ac:dyDescent="0.25">
      <c r="A384" s="429"/>
      <c r="B384" s="430"/>
      <c r="C384" s="430"/>
      <c r="D384" s="430"/>
      <c r="E384" s="431"/>
      <c r="F384" s="68"/>
      <c r="G384" s="429"/>
      <c r="H384" s="430"/>
      <c r="I384" s="430"/>
      <c r="J384" s="430"/>
      <c r="K384" s="431"/>
      <c r="L384" s="68"/>
      <c r="M384" s="429"/>
      <c r="N384" s="430"/>
      <c r="O384" s="430"/>
      <c r="P384" s="430"/>
      <c r="Q384" s="431"/>
      <c r="R384" s="68"/>
      <c r="S384" s="429"/>
      <c r="T384" s="430"/>
      <c r="U384" s="430"/>
      <c r="V384" s="430"/>
      <c r="W384" s="431"/>
      <c r="X384" s="67"/>
      <c r="Y384" s="429"/>
      <c r="Z384" s="430"/>
      <c r="AA384" s="430"/>
      <c r="AB384" s="430"/>
      <c r="AC384" s="431"/>
      <c r="AE384" s="429"/>
      <c r="AF384" s="430"/>
      <c r="AG384" s="430"/>
      <c r="AH384" s="430"/>
      <c r="AI384" s="431"/>
      <c r="AK384" s="429"/>
    </row>
    <row r="385" spans="1:29" ht="15.75" thickBot="1" x14ac:dyDescent="0.3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</row>
    <row r="386" spans="1:29" x14ac:dyDescent="0.25">
      <c r="A386" s="67"/>
      <c r="B386" s="67"/>
      <c r="C386" s="67"/>
      <c r="D386" s="67"/>
      <c r="E386" s="67"/>
      <c r="F386" s="67"/>
      <c r="G386" s="67"/>
      <c r="H386" s="67"/>
      <c r="I386" s="67"/>
      <c r="J386" s="432" t="s">
        <v>605</v>
      </c>
      <c r="K386" s="433"/>
      <c r="L386" s="433"/>
      <c r="M386" s="433"/>
      <c r="N386" s="434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</row>
    <row r="387" spans="1:29" ht="15.75" thickBot="1" x14ac:dyDescent="0.3">
      <c r="A387" s="67"/>
      <c r="B387" s="67"/>
      <c r="C387" s="67"/>
      <c r="D387" s="67"/>
      <c r="E387" s="67"/>
      <c r="F387" s="67"/>
      <c r="G387" s="67"/>
      <c r="H387" s="67"/>
      <c r="I387" s="67"/>
      <c r="J387" s="435"/>
      <c r="K387" s="436"/>
      <c r="L387" s="436"/>
      <c r="M387" s="436"/>
      <c r="N387" s="43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</row>
    <row r="388" spans="1:29" x14ac:dyDescent="0.25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</row>
    <row r="389" spans="1:29" x14ac:dyDescent="0.25">
      <c r="A389" s="420" t="s">
        <v>606</v>
      </c>
      <c r="B389" s="421"/>
      <c r="C389" s="421"/>
      <c r="D389" s="421"/>
      <c r="E389" s="422"/>
      <c r="F389" s="68"/>
      <c r="G389" s="420" t="s">
        <v>607</v>
      </c>
      <c r="H389" s="421"/>
      <c r="I389" s="421"/>
      <c r="J389" s="421"/>
      <c r="K389" s="422"/>
      <c r="L389" s="68"/>
      <c r="M389" s="420" t="s">
        <v>608</v>
      </c>
      <c r="N389" s="421"/>
      <c r="O389" s="421"/>
      <c r="P389" s="421"/>
      <c r="Q389" s="422"/>
      <c r="R389" s="67"/>
      <c r="S389" s="420" t="s">
        <v>609</v>
      </c>
      <c r="T389" s="421"/>
      <c r="U389" s="421"/>
      <c r="V389" s="421"/>
      <c r="W389" s="422"/>
      <c r="X389" s="67"/>
      <c r="Y389" s="420" t="s">
        <v>610</v>
      </c>
      <c r="Z389" s="421"/>
      <c r="AA389" s="421"/>
      <c r="AB389" s="421"/>
      <c r="AC389" s="422"/>
    </row>
    <row r="390" spans="1:29" x14ac:dyDescent="0.25">
      <c r="A390" s="423" t="s">
        <v>662</v>
      </c>
      <c r="B390" s="424"/>
      <c r="C390" s="424"/>
      <c r="D390" s="424"/>
      <c r="E390" s="425"/>
      <c r="F390" s="68"/>
      <c r="G390" s="423"/>
      <c r="H390" s="424"/>
      <c r="I390" s="424"/>
      <c r="J390" s="424"/>
      <c r="K390" s="425"/>
      <c r="L390" s="68"/>
      <c r="M390" s="423" t="s">
        <v>662</v>
      </c>
      <c r="N390" s="424"/>
      <c r="O390" s="424"/>
      <c r="P390" s="424"/>
      <c r="Q390" s="425"/>
      <c r="R390" s="67"/>
      <c r="S390" s="423" t="s">
        <v>662</v>
      </c>
      <c r="T390" s="424"/>
      <c r="U390" s="424"/>
      <c r="V390" s="424"/>
      <c r="W390" s="425"/>
      <c r="X390" s="67"/>
      <c r="Y390" s="423" t="s">
        <v>662</v>
      </c>
      <c r="Z390" s="424"/>
      <c r="AA390" s="424"/>
      <c r="AB390" s="424"/>
      <c r="AC390" s="425"/>
    </row>
    <row r="391" spans="1:29" x14ac:dyDescent="0.25">
      <c r="A391" s="426"/>
      <c r="B391" s="427"/>
      <c r="C391" s="427"/>
      <c r="D391" s="427"/>
      <c r="E391" s="428"/>
      <c r="F391" s="68"/>
      <c r="G391" s="426"/>
      <c r="H391" s="427"/>
      <c r="I391" s="427"/>
      <c r="J391" s="427"/>
      <c r="K391" s="428"/>
      <c r="L391" s="68"/>
      <c r="M391" s="426"/>
      <c r="N391" s="427"/>
      <c r="O391" s="427"/>
      <c r="P391" s="427"/>
      <c r="Q391" s="428"/>
      <c r="R391" s="67"/>
      <c r="S391" s="426"/>
      <c r="T391" s="427"/>
      <c r="U391" s="427"/>
      <c r="V391" s="427"/>
      <c r="W391" s="428"/>
      <c r="X391" s="67"/>
      <c r="Y391" s="426"/>
      <c r="Z391" s="427"/>
      <c r="AA391" s="427"/>
      <c r="AB391" s="427"/>
      <c r="AC391" s="428"/>
    </row>
    <row r="392" spans="1:29" x14ac:dyDescent="0.25">
      <c r="A392" s="426"/>
      <c r="B392" s="427"/>
      <c r="C392" s="427"/>
      <c r="D392" s="427"/>
      <c r="E392" s="428"/>
      <c r="F392" s="68"/>
      <c r="G392" s="426"/>
      <c r="H392" s="427"/>
      <c r="I392" s="427"/>
      <c r="J392" s="427"/>
      <c r="K392" s="428"/>
      <c r="L392" s="68"/>
      <c r="M392" s="426"/>
      <c r="N392" s="427"/>
      <c r="O392" s="427"/>
      <c r="P392" s="427"/>
      <c r="Q392" s="428"/>
      <c r="R392" s="67"/>
      <c r="S392" s="426"/>
      <c r="T392" s="427"/>
      <c r="U392" s="427"/>
      <c r="V392" s="427"/>
      <c r="W392" s="428"/>
      <c r="X392" s="67"/>
      <c r="Y392" s="426"/>
      <c r="Z392" s="427"/>
      <c r="AA392" s="427"/>
      <c r="AB392" s="427"/>
      <c r="AC392" s="428"/>
    </row>
    <row r="393" spans="1:29" x14ac:dyDescent="0.25">
      <c r="A393" s="426"/>
      <c r="B393" s="427"/>
      <c r="C393" s="427"/>
      <c r="D393" s="427"/>
      <c r="E393" s="428"/>
      <c r="F393" s="68"/>
      <c r="G393" s="426"/>
      <c r="H393" s="427"/>
      <c r="I393" s="427"/>
      <c r="J393" s="427"/>
      <c r="K393" s="428"/>
      <c r="L393" s="68"/>
      <c r="M393" s="426"/>
      <c r="N393" s="427"/>
      <c r="O393" s="427"/>
      <c r="P393" s="427"/>
      <c r="Q393" s="428"/>
      <c r="R393" s="67"/>
      <c r="S393" s="426"/>
      <c r="T393" s="427"/>
      <c r="U393" s="427"/>
      <c r="V393" s="427"/>
      <c r="W393" s="428"/>
      <c r="X393" s="67"/>
      <c r="Y393" s="426"/>
      <c r="Z393" s="427"/>
      <c r="AA393" s="427"/>
      <c r="AB393" s="427"/>
      <c r="AC393" s="428"/>
    </row>
    <row r="394" spans="1:29" x14ac:dyDescent="0.25">
      <c r="A394" s="426"/>
      <c r="B394" s="427"/>
      <c r="C394" s="427"/>
      <c r="D394" s="427"/>
      <c r="E394" s="428"/>
      <c r="F394" s="68"/>
      <c r="G394" s="426"/>
      <c r="H394" s="427"/>
      <c r="I394" s="427"/>
      <c r="J394" s="427"/>
      <c r="K394" s="428"/>
      <c r="L394" s="68"/>
      <c r="M394" s="426"/>
      <c r="N394" s="427"/>
      <c r="O394" s="427"/>
      <c r="P394" s="427"/>
      <c r="Q394" s="428"/>
      <c r="R394" s="67"/>
      <c r="S394" s="426"/>
      <c r="T394" s="427"/>
      <c r="U394" s="427"/>
      <c r="V394" s="427"/>
      <c r="W394" s="428"/>
      <c r="X394" s="67"/>
      <c r="Y394" s="426"/>
      <c r="Z394" s="427"/>
      <c r="AA394" s="427"/>
      <c r="AB394" s="427"/>
      <c r="AC394" s="428"/>
    </row>
    <row r="395" spans="1:29" x14ac:dyDescent="0.25">
      <c r="A395" s="426"/>
      <c r="B395" s="427"/>
      <c r="C395" s="427"/>
      <c r="D395" s="427"/>
      <c r="E395" s="428"/>
      <c r="F395" s="68"/>
      <c r="G395" s="426"/>
      <c r="H395" s="427"/>
      <c r="I395" s="427"/>
      <c r="J395" s="427"/>
      <c r="K395" s="428"/>
      <c r="L395" s="68"/>
      <c r="M395" s="426"/>
      <c r="N395" s="427"/>
      <c r="O395" s="427"/>
      <c r="P395" s="427"/>
      <c r="Q395" s="428"/>
      <c r="R395" s="67"/>
      <c r="S395" s="426"/>
      <c r="T395" s="427"/>
      <c r="U395" s="427"/>
      <c r="V395" s="427"/>
      <c r="W395" s="428"/>
      <c r="X395" s="67"/>
      <c r="Y395" s="426"/>
      <c r="Z395" s="427"/>
      <c r="AA395" s="427"/>
      <c r="AB395" s="427"/>
      <c r="AC395" s="428"/>
    </row>
    <row r="396" spans="1:29" x14ac:dyDescent="0.25">
      <c r="A396" s="426"/>
      <c r="B396" s="427"/>
      <c r="C396" s="427"/>
      <c r="D396" s="427"/>
      <c r="E396" s="428"/>
      <c r="F396" s="68"/>
      <c r="G396" s="426"/>
      <c r="H396" s="427"/>
      <c r="I396" s="427"/>
      <c r="J396" s="427"/>
      <c r="K396" s="428"/>
      <c r="L396" s="68"/>
      <c r="M396" s="426"/>
      <c r="N396" s="427"/>
      <c r="O396" s="427"/>
      <c r="P396" s="427"/>
      <c r="Q396" s="428"/>
      <c r="R396" s="67"/>
      <c r="S396" s="426"/>
      <c r="T396" s="427"/>
      <c r="U396" s="427"/>
      <c r="V396" s="427"/>
      <c r="W396" s="428"/>
      <c r="X396" s="67"/>
      <c r="Y396" s="426"/>
      <c r="Z396" s="427"/>
      <c r="AA396" s="427"/>
      <c r="AB396" s="427"/>
      <c r="AC396" s="428"/>
    </row>
    <row r="397" spans="1:29" x14ac:dyDescent="0.25">
      <c r="A397" s="426"/>
      <c r="B397" s="427"/>
      <c r="C397" s="427"/>
      <c r="D397" s="427"/>
      <c r="E397" s="428"/>
      <c r="F397" s="68"/>
      <c r="G397" s="426"/>
      <c r="H397" s="427"/>
      <c r="I397" s="427"/>
      <c r="J397" s="427"/>
      <c r="K397" s="428"/>
      <c r="L397" s="68"/>
      <c r="M397" s="426"/>
      <c r="N397" s="427"/>
      <c r="O397" s="427"/>
      <c r="P397" s="427"/>
      <c r="Q397" s="428"/>
      <c r="R397" s="67"/>
      <c r="S397" s="426"/>
      <c r="T397" s="427"/>
      <c r="U397" s="427"/>
      <c r="V397" s="427"/>
      <c r="W397" s="428"/>
      <c r="X397" s="67"/>
      <c r="Y397" s="426"/>
      <c r="Z397" s="427"/>
      <c r="AA397" s="427"/>
      <c r="AB397" s="427"/>
      <c r="AC397" s="428"/>
    </row>
    <row r="398" spans="1:29" x14ac:dyDescent="0.25">
      <c r="A398" s="426"/>
      <c r="B398" s="427"/>
      <c r="C398" s="427"/>
      <c r="D398" s="427"/>
      <c r="E398" s="428"/>
      <c r="F398" s="68"/>
      <c r="G398" s="426"/>
      <c r="H398" s="427"/>
      <c r="I398" s="427"/>
      <c r="J398" s="427"/>
      <c r="K398" s="428"/>
      <c r="L398" s="68"/>
      <c r="M398" s="426"/>
      <c r="N398" s="427"/>
      <c r="O398" s="427"/>
      <c r="P398" s="427"/>
      <c r="Q398" s="428"/>
      <c r="R398" s="67"/>
      <c r="S398" s="426"/>
      <c r="T398" s="427"/>
      <c r="U398" s="427"/>
      <c r="V398" s="427"/>
      <c r="W398" s="428"/>
      <c r="X398" s="67"/>
      <c r="Y398" s="426"/>
      <c r="Z398" s="427"/>
      <c r="AA398" s="427"/>
      <c r="AB398" s="427"/>
      <c r="AC398" s="428"/>
    </row>
    <row r="399" spans="1:29" x14ac:dyDescent="0.25">
      <c r="A399" s="426"/>
      <c r="B399" s="427"/>
      <c r="C399" s="427"/>
      <c r="D399" s="427"/>
      <c r="E399" s="428"/>
      <c r="F399" s="68"/>
      <c r="G399" s="426"/>
      <c r="H399" s="427"/>
      <c r="I399" s="427"/>
      <c r="J399" s="427"/>
      <c r="K399" s="428"/>
      <c r="L399" s="68"/>
      <c r="M399" s="426"/>
      <c r="N399" s="427"/>
      <c r="O399" s="427"/>
      <c r="P399" s="427"/>
      <c r="Q399" s="428"/>
      <c r="R399" s="67"/>
      <c r="S399" s="426"/>
      <c r="T399" s="427"/>
      <c r="U399" s="427"/>
      <c r="V399" s="427"/>
      <c r="W399" s="428"/>
      <c r="X399" s="67"/>
      <c r="Y399" s="426"/>
      <c r="Z399" s="427"/>
      <c r="AA399" s="427"/>
      <c r="AB399" s="427"/>
      <c r="AC399" s="428"/>
    </row>
    <row r="400" spans="1:29" x14ac:dyDescent="0.25">
      <c r="A400" s="426"/>
      <c r="B400" s="427"/>
      <c r="C400" s="427"/>
      <c r="D400" s="427"/>
      <c r="E400" s="428"/>
      <c r="F400" s="68"/>
      <c r="G400" s="426"/>
      <c r="H400" s="427"/>
      <c r="I400" s="427"/>
      <c r="J400" s="427"/>
      <c r="K400" s="428"/>
      <c r="L400" s="68"/>
      <c r="M400" s="426"/>
      <c r="N400" s="427"/>
      <c r="O400" s="427"/>
      <c r="P400" s="427"/>
      <c r="Q400" s="428"/>
      <c r="R400" s="67"/>
      <c r="S400" s="426"/>
      <c r="T400" s="427"/>
      <c r="U400" s="427"/>
      <c r="V400" s="427"/>
      <c r="W400" s="428"/>
      <c r="X400" s="67"/>
      <c r="Y400" s="426"/>
      <c r="Z400" s="427"/>
      <c r="AA400" s="427"/>
      <c r="AB400" s="427"/>
      <c r="AC400" s="428"/>
    </row>
    <row r="401" spans="1:29" x14ac:dyDescent="0.25">
      <c r="A401" s="426"/>
      <c r="B401" s="427"/>
      <c r="C401" s="427"/>
      <c r="D401" s="427"/>
      <c r="E401" s="428"/>
      <c r="F401" s="68"/>
      <c r="G401" s="426"/>
      <c r="H401" s="427"/>
      <c r="I401" s="427"/>
      <c r="J401" s="427"/>
      <c r="K401" s="428"/>
      <c r="L401" s="68"/>
      <c r="M401" s="426"/>
      <c r="N401" s="427"/>
      <c r="O401" s="427"/>
      <c r="P401" s="427"/>
      <c r="Q401" s="428"/>
      <c r="R401" s="67"/>
      <c r="S401" s="426"/>
      <c r="T401" s="427"/>
      <c r="U401" s="427"/>
      <c r="V401" s="427"/>
      <c r="W401" s="428"/>
      <c r="X401" s="67"/>
      <c r="Y401" s="426"/>
      <c r="Z401" s="427"/>
      <c r="AA401" s="427"/>
      <c r="AB401" s="427"/>
      <c r="AC401" s="428"/>
    </row>
    <row r="402" spans="1:29" x14ac:dyDescent="0.25">
      <c r="A402" s="426"/>
      <c r="B402" s="427"/>
      <c r="C402" s="427"/>
      <c r="D402" s="427"/>
      <c r="E402" s="428"/>
      <c r="F402" s="68"/>
      <c r="G402" s="426"/>
      <c r="H402" s="427"/>
      <c r="I402" s="427"/>
      <c r="J402" s="427"/>
      <c r="K402" s="428"/>
      <c r="L402" s="68"/>
      <c r="M402" s="426"/>
      <c r="N402" s="427"/>
      <c r="O402" s="427"/>
      <c r="P402" s="427"/>
      <c r="Q402" s="428"/>
      <c r="R402" s="67"/>
      <c r="S402" s="426"/>
      <c r="T402" s="427"/>
      <c r="U402" s="427"/>
      <c r="V402" s="427"/>
      <c r="W402" s="428"/>
      <c r="X402" s="67"/>
      <c r="Y402" s="426"/>
      <c r="Z402" s="427"/>
      <c r="AA402" s="427"/>
      <c r="AB402" s="427"/>
      <c r="AC402" s="428"/>
    </row>
    <row r="403" spans="1:29" x14ac:dyDescent="0.25">
      <c r="A403" s="429"/>
      <c r="B403" s="430"/>
      <c r="C403" s="430"/>
      <c r="D403" s="430"/>
      <c r="E403" s="431"/>
      <c r="F403" s="68"/>
      <c r="G403" s="429"/>
      <c r="H403" s="430"/>
      <c r="I403" s="430"/>
      <c r="J403" s="430"/>
      <c r="K403" s="431"/>
      <c r="L403" s="68"/>
      <c r="M403" s="429"/>
      <c r="N403" s="430"/>
      <c r="O403" s="430"/>
      <c r="P403" s="430"/>
      <c r="Q403" s="431"/>
      <c r="R403" s="67"/>
      <c r="S403" s="429"/>
      <c r="T403" s="430"/>
      <c r="U403" s="430"/>
      <c r="V403" s="430"/>
      <c r="W403" s="431"/>
      <c r="X403" s="67"/>
      <c r="Y403" s="429"/>
      <c r="Z403" s="430"/>
      <c r="AA403" s="430"/>
      <c r="AB403" s="430"/>
      <c r="AC403" s="431"/>
    </row>
    <row r="404" spans="1:29" ht="15.75" thickBot="1" x14ac:dyDescent="0.3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</row>
    <row r="405" spans="1:29" x14ac:dyDescent="0.25">
      <c r="A405" s="67"/>
      <c r="B405" s="67"/>
      <c r="C405" s="67"/>
      <c r="D405" s="67"/>
      <c r="E405" s="67"/>
      <c r="F405" s="67"/>
      <c r="G405" s="67"/>
      <c r="H405" s="67"/>
      <c r="I405" s="67"/>
      <c r="J405" s="432" t="s">
        <v>611</v>
      </c>
      <c r="K405" s="433"/>
      <c r="L405" s="433"/>
      <c r="M405" s="433"/>
      <c r="N405" s="434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</row>
    <row r="406" spans="1:29" ht="15.75" thickBot="1" x14ac:dyDescent="0.3">
      <c r="A406" s="67"/>
      <c r="B406" s="67"/>
      <c r="C406" s="67"/>
      <c r="D406" s="67"/>
      <c r="E406" s="67"/>
      <c r="F406" s="67"/>
      <c r="G406" s="67"/>
      <c r="H406" s="67"/>
      <c r="I406" s="67"/>
      <c r="J406" s="435"/>
      <c r="K406" s="436"/>
      <c r="L406" s="436"/>
      <c r="M406" s="436"/>
      <c r="N406" s="43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</row>
    <row r="407" spans="1:29" ht="15.75" thickBot="1" x14ac:dyDescent="0.3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</row>
    <row r="408" spans="1:29" x14ac:dyDescent="0.25">
      <c r="A408" s="67"/>
      <c r="B408" s="67"/>
      <c r="C408" s="67"/>
      <c r="D408" s="67"/>
      <c r="E408" s="67"/>
      <c r="F408" s="447"/>
      <c r="G408" s="448"/>
      <c r="H408" s="448"/>
      <c r="I408" s="448"/>
      <c r="J408" s="448"/>
      <c r="K408" s="448"/>
      <c r="L408" s="448"/>
      <c r="M408" s="448"/>
      <c r="N408" s="448"/>
      <c r="O408" s="448"/>
      <c r="P408" s="448"/>
      <c r="Q408" s="448"/>
      <c r="R408" s="449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</row>
    <row r="409" spans="1:29" x14ac:dyDescent="0.25">
      <c r="A409" s="67"/>
      <c r="B409" s="67"/>
      <c r="C409" s="67"/>
      <c r="D409" s="67"/>
      <c r="E409" s="67"/>
      <c r="F409" s="450"/>
      <c r="G409" s="451"/>
      <c r="H409" s="451"/>
      <c r="I409" s="451"/>
      <c r="J409" s="451"/>
      <c r="K409" s="451"/>
      <c r="L409" s="451"/>
      <c r="M409" s="451"/>
      <c r="N409" s="451"/>
      <c r="O409" s="451"/>
      <c r="P409" s="451"/>
      <c r="Q409" s="451"/>
      <c r="R409" s="452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</row>
    <row r="410" spans="1:29" x14ac:dyDescent="0.25">
      <c r="A410" s="67"/>
      <c r="B410" s="67"/>
      <c r="C410" s="67"/>
      <c r="D410" s="67"/>
      <c r="E410" s="67"/>
      <c r="F410" s="450"/>
      <c r="G410" s="451"/>
      <c r="H410" s="451"/>
      <c r="I410" s="451"/>
      <c r="J410" s="451"/>
      <c r="K410" s="451"/>
      <c r="L410" s="451"/>
      <c r="M410" s="451"/>
      <c r="N410" s="451"/>
      <c r="O410" s="451"/>
      <c r="P410" s="451"/>
      <c r="Q410" s="451"/>
      <c r="R410" s="452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</row>
    <row r="411" spans="1:29" x14ac:dyDescent="0.25">
      <c r="A411" s="67"/>
      <c r="B411" s="67"/>
      <c r="C411" s="67"/>
      <c r="D411" s="67"/>
      <c r="E411" s="67"/>
      <c r="F411" s="450"/>
      <c r="G411" s="451"/>
      <c r="H411" s="451"/>
      <c r="I411" s="451"/>
      <c r="J411" s="451"/>
      <c r="K411" s="451"/>
      <c r="L411" s="451"/>
      <c r="M411" s="451"/>
      <c r="N411" s="451"/>
      <c r="O411" s="451"/>
      <c r="P411" s="451"/>
      <c r="Q411" s="451"/>
      <c r="R411" s="452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</row>
    <row r="412" spans="1:29" x14ac:dyDescent="0.25">
      <c r="A412" s="67"/>
      <c r="B412" s="67"/>
      <c r="C412" s="67"/>
      <c r="D412" s="67"/>
      <c r="E412" s="67"/>
      <c r="F412" s="450"/>
      <c r="G412" s="451"/>
      <c r="H412" s="451"/>
      <c r="I412" s="451"/>
      <c r="J412" s="451"/>
      <c r="K412" s="451"/>
      <c r="L412" s="451"/>
      <c r="M412" s="451"/>
      <c r="N412" s="451"/>
      <c r="O412" s="451"/>
      <c r="P412" s="451"/>
      <c r="Q412" s="451"/>
      <c r="R412" s="452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</row>
    <row r="413" spans="1:29" x14ac:dyDescent="0.25">
      <c r="A413" s="67"/>
      <c r="B413" s="67"/>
      <c r="C413" s="67"/>
      <c r="D413" s="67"/>
      <c r="E413" s="67"/>
      <c r="F413" s="450"/>
      <c r="G413" s="451"/>
      <c r="H413" s="451"/>
      <c r="I413" s="451"/>
      <c r="J413" s="451"/>
      <c r="K413" s="451"/>
      <c r="L413" s="451"/>
      <c r="M413" s="451"/>
      <c r="N413" s="451"/>
      <c r="O413" s="451"/>
      <c r="P413" s="451"/>
      <c r="Q413" s="451"/>
      <c r="R413" s="452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</row>
    <row r="414" spans="1:29" x14ac:dyDescent="0.25">
      <c r="A414" s="67"/>
      <c r="B414" s="67"/>
      <c r="C414" s="67"/>
      <c r="D414" s="67"/>
      <c r="E414" s="67"/>
      <c r="F414" s="450"/>
      <c r="G414" s="451"/>
      <c r="H414" s="451"/>
      <c r="I414" s="451"/>
      <c r="J414" s="451"/>
      <c r="K414" s="451"/>
      <c r="L414" s="451"/>
      <c r="M414" s="451"/>
      <c r="N414" s="451"/>
      <c r="O414" s="451"/>
      <c r="P414" s="451"/>
      <c r="Q414" s="451"/>
      <c r="R414" s="452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</row>
    <row r="415" spans="1:29" x14ac:dyDescent="0.25">
      <c r="A415" s="67"/>
      <c r="B415" s="67"/>
      <c r="C415" s="67"/>
      <c r="D415" s="67"/>
      <c r="E415" s="67"/>
      <c r="F415" s="450"/>
      <c r="G415" s="451"/>
      <c r="H415" s="451"/>
      <c r="I415" s="451"/>
      <c r="J415" s="451"/>
      <c r="K415" s="451"/>
      <c r="L415" s="451"/>
      <c r="M415" s="451"/>
      <c r="N415" s="451"/>
      <c r="O415" s="451"/>
      <c r="P415" s="451"/>
      <c r="Q415" s="451"/>
      <c r="R415" s="452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</row>
    <row r="416" spans="1:29" x14ac:dyDescent="0.25">
      <c r="A416" s="67"/>
      <c r="B416" s="67"/>
      <c r="C416" s="67"/>
      <c r="D416" s="67"/>
      <c r="E416" s="67"/>
      <c r="F416" s="450"/>
      <c r="G416" s="451"/>
      <c r="H416" s="451"/>
      <c r="I416" s="451"/>
      <c r="J416" s="451"/>
      <c r="K416" s="451"/>
      <c r="L416" s="451"/>
      <c r="M416" s="451"/>
      <c r="N416" s="451"/>
      <c r="O416" s="451"/>
      <c r="P416" s="451"/>
      <c r="Q416" s="451"/>
      <c r="R416" s="452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</row>
    <row r="417" spans="1:29" x14ac:dyDescent="0.25">
      <c r="A417" s="67"/>
      <c r="B417" s="67"/>
      <c r="C417" s="67"/>
      <c r="D417" s="67"/>
      <c r="E417" s="67"/>
      <c r="F417" s="450"/>
      <c r="G417" s="451"/>
      <c r="H417" s="451"/>
      <c r="I417" s="451"/>
      <c r="J417" s="451"/>
      <c r="K417" s="451"/>
      <c r="L417" s="451"/>
      <c r="M417" s="451"/>
      <c r="N417" s="451"/>
      <c r="O417" s="451"/>
      <c r="P417" s="451"/>
      <c r="Q417" s="451"/>
      <c r="R417" s="452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</row>
    <row r="418" spans="1:29" x14ac:dyDescent="0.25">
      <c r="A418" s="67"/>
      <c r="B418" s="67"/>
      <c r="C418" s="67"/>
      <c r="D418" s="67"/>
      <c r="E418" s="67"/>
      <c r="F418" s="450"/>
      <c r="G418" s="451"/>
      <c r="H418" s="451"/>
      <c r="I418" s="451"/>
      <c r="J418" s="451"/>
      <c r="K418" s="451"/>
      <c r="L418" s="451"/>
      <c r="M418" s="451"/>
      <c r="N418" s="451"/>
      <c r="O418" s="451"/>
      <c r="P418" s="451"/>
      <c r="Q418" s="451"/>
      <c r="R418" s="452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</row>
    <row r="419" spans="1:29" x14ac:dyDescent="0.25">
      <c r="A419" s="67"/>
      <c r="B419" s="67"/>
      <c r="C419" s="67"/>
      <c r="D419" s="67"/>
      <c r="E419" s="67"/>
      <c r="F419" s="450"/>
      <c r="G419" s="451"/>
      <c r="H419" s="451"/>
      <c r="I419" s="451"/>
      <c r="J419" s="451"/>
      <c r="K419" s="451"/>
      <c r="L419" s="451"/>
      <c r="M419" s="451"/>
      <c r="N419" s="451"/>
      <c r="O419" s="451"/>
      <c r="P419" s="451"/>
      <c r="Q419" s="451"/>
      <c r="R419" s="452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</row>
    <row r="420" spans="1:29" x14ac:dyDescent="0.25">
      <c r="A420" s="67"/>
      <c r="B420" s="67"/>
      <c r="C420" s="67"/>
      <c r="D420" s="67"/>
      <c r="E420" s="67"/>
      <c r="F420" s="450"/>
      <c r="G420" s="451"/>
      <c r="H420" s="451"/>
      <c r="I420" s="451"/>
      <c r="J420" s="451"/>
      <c r="K420" s="451"/>
      <c r="L420" s="451"/>
      <c r="M420" s="451"/>
      <c r="N420" s="451"/>
      <c r="O420" s="451"/>
      <c r="P420" s="451"/>
      <c r="Q420" s="451"/>
      <c r="R420" s="452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</row>
    <row r="421" spans="1:29" x14ac:dyDescent="0.25">
      <c r="A421" s="67"/>
      <c r="B421" s="67"/>
      <c r="C421" s="67"/>
      <c r="D421" s="67"/>
      <c r="E421" s="67"/>
      <c r="F421" s="450"/>
      <c r="G421" s="451"/>
      <c r="H421" s="451"/>
      <c r="I421" s="451"/>
      <c r="J421" s="451"/>
      <c r="K421" s="451"/>
      <c r="L421" s="451"/>
      <c r="M421" s="451"/>
      <c r="N421" s="451"/>
      <c r="O421" s="451"/>
      <c r="P421" s="451"/>
      <c r="Q421" s="451"/>
      <c r="R421" s="452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</row>
    <row r="422" spans="1:29" x14ac:dyDescent="0.25">
      <c r="A422" s="67"/>
      <c r="B422" s="67"/>
      <c r="C422" s="67"/>
      <c r="D422" s="67"/>
      <c r="E422" s="67"/>
      <c r="F422" s="450"/>
      <c r="G422" s="451"/>
      <c r="H422" s="451"/>
      <c r="I422" s="451"/>
      <c r="J422" s="451"/>
      <c r="K422" s="451"/>
      <c r="L422" s="451"/>
      <c r="M422" s="451"/>
      <c r="N422" s="451"/>
      <c r="O422" s="451"/>
      <c r="P422" s="451"/>
      <c r="Q422" s="451"/>
      <c r="R422" s="452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</row>
    <row r="423" spans="1:29" x14ac:dyDescent="0.25">
      <c r="A423" s="67"/>
      <c r="B423" s="67"/>
      <c r="C423" s="67"/>
      <c r="D423" s="67"/>
      <c r="E423" s="67"/>
      <c r="F423" s="450"/>
      <c r="G423" s="451"/>
      <c r="H423" s="451"/>
      <c r="I423" s="451"/>
      <c r="J423" s="451"/>
      <c r="K423" s="451"/>
      <c r="L423" s="451"/>
      <c r="M423" s="451"/>
      <c r="N423" s="451"/>
      <c r="O423" s="451"/>
      <c r="P423" s="451"/>
      <c r="Q423" s="451"/>
      <c r="R423" s="452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</row>
    <row r="424" spans="1:29" x14ac:dyDescent="0.25">
      <c r="A424" s="67"/>
      <c r="B424" s="67"/>
      <c r="C424" s="67"/>
      <c r="D424" s="67"/>
      <c r="E424" s="67"/>
      <c r="F424" s="450"/>
      <c r="G424" s="451"/>
      <c r="H424" s="451"/>
      <c r="I424" s="451"/>
      <c r="J424" s="451"/>
      <c r="K424" s="451"/>
      <c r="L424" s="451"/>
      <c r="M424" s="451"/>
      <c r="N424" s="451"/>
      <c r="O424" s="451"/>
      <c r="P424" s="451"/>
      <c r="Q424" s="451"/>
      <c r="R424" s="452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</row>
    <row r="425" spans="1:29" x14ac:dyDescent="0.25">
      <c r="A425" s="67"/>
      <c r="B425" s="67"/>
      <c r="C425" s="67"/>
      <c r="D425" s="67"/>
      <c r="E425" s="67"/>
      <c r="F425" s="450"/>
      <c r="G425" s="451"/>
      <c r="H425" s="451"/>
      <c r="I425" s="451"/>
      <c r="J425" s="451"/>
      <c r="K425" s="451"/>
      <c r="L425" s="451"/>
      <c r="M425" s="451"/>
      <c r="N425" s="451"/>
      <c r="O425" s="451"/>
      <c r="P425" s="451"/>
      <c r="Q425" s="451"/>
      <c r="R425" s="452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</row>
    <row r="426" spans="1:29" x14ac:dyDescent="0.25">
      <c r="A426" s="67"/>
      <c r="B426" s="67"/>
      <c r="C426" s="67"/>
      <c r="D426" s="67"/>
      <c r="E426" s="67"/>
      <c r="F426" s="450"/>
      <c r="G426" s="451"/>
      <c r="H426" s="451"/>
      <c r="I426" s="451"/>
      <c r="J426" s="451"/>
      <c r="K426" s="451"/>
      <c r="L426" s="451"/>
      <c r="M426" s="451"/>
      <c r="N426" s="451"/>
      <c r="O426" s="451"/>
      <c r="P426" s="451"/>
      <c r="Q426" s="451"/>
      <c r="R426" s="452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</row>
    <row r="427" spans="1:29" x14ac:dyDescent="0.25">
      <c r="A427" s="67"/>
      <c r="B427" s="67"/>
      <c r="C427" s="67"/>
      <c r="D427" s="67"/>
      <c r="E427" s="67"/>
      <c r="F427" s="450"/>
      <c r="G427" s="451"/>
      <c r="H427" s="451"/>
      <c r="I427" s="451"/>
      <c r="J427" s="451"/>
      <c r="K427" s="451"/>
      <c r="L427" s="451"/>
      <c r="M427" s="451"/>
      <c r="N427" s="451"/>
      <c r="O427" s="451"/>
      <c r="P427" s="451"/>
      <c r="Q427" s="451"/>
      <c r="R427" s="452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</row>
    <row r="428" spans="1:29" x14ac:dyDescent="0.25">
      <c r="A428" s="67"/>
      <c r="B428" s="67"/>
      <c r="C428" s="67"/>
      <c r="D428" s="67"/>
      <c r="E428" s="67"/>
      <c r="F428" s="450"/>
      <c r="G428" s="451"/>
      <c r="H428" s="451"/>
      <c r="I428" s="451"/>
      <c r="J428" s="451"/>
      <c r="K428" s="451"/>
      <c r="L428" s="451"/>
      <c r="M428" s="451"/>
      <c r="N428" s="451"/>
      <c r="O428" s="451"/>
      <c r="P428" s="451"/>
      <c r="Q428" s="451"/>
      <c r="R428" s="452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</row>
    <row r="429" spans="1:29" x14ac:dyDescent="0.25">
      <c r="A429" s="67"/>
      <c r="B429" s="67"/>
      <c r="C429" s="67"/>
      <c r="D429" s="67"/>
      <c r="E429" s="67"/>
      <c r="F429" s="450"/>
      <c r="G429" s="451"/>
      <c r="H429" s="451"/>
      <c r="I429" s="451"/>
      <c r="J429" s="451"/>
      <c r="K429" s="451"/>
      <c r="L429" s="451"/>
      <c r="M429" s="451"/>
      <c r="N429" s="451"/>
      <c r="O429" s="451"/>
      <c r="P429" s="451"/>
      <c r="Q429" s="451"/>
      <c r="R429" s="452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</row>
    <row r="430" spans="1:29" x14ac:dyDescent="0.25">
      <c r="A430" s="67"/>
      <c r="B430" s="67"/>
      <c r="C430" s="67"/>
      <c r="D430" s="67"/>
      <c r="E430" s="67"/>
      <c r="F430" s="450"/>
      <c r="G430" s="451"/>
      <c r="H430" s="451"/>
      <c r="I430" s="451"/>
      <c r="J430" s="451"/>
      <c r="K430" s="451"/>
      <c r="L430" s="451"/>
      <c r="M430" s="451"/>
      <c r="N430" s="451"/>
      <c r="O430" s="451"/>
      <c r="P430" s="451"/>
      <c r="Q430" s="451"/>
      <c r="R430" s="452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</row>
    <row r="431" spans="1:29" x14ac:dyDescent="0.25">
      <c r="A431" s="67"/>
      <c r="B431" s="67"/>
      <c r="C431" s="67"/>
      <c r="D431" s="67"/>
      <c r="E431" s="67"/>
      <c r="F431" s="450"/>
      <c r="G431" s="451"/>
      <c r="H431" s="451"/>
      <c r="I431" s="451"/>
      <c r="J431" s="451"/>
      <c r="K431" s="451"/>
      <c r="L431" s="451"/>
      <c r="M431" s="451"/>
      <c r="N431" s="451"/>
      <c r="O431" s="451"/>
      <c r="P431" s="451"/>
      <c r="Q431" s="451"/>
      <c r="R431" s="452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</row>
    <row r="432" spans="1:29" x14ac:dyDescent="0.25">
      <c r="A432" s="67"/>
      <c r="B432" s="67"/>
      <c r="C432" s="67"/>
      <c r="D432" s="67"/>
      <c r="E432" s="67"/>
      <c r="F432" s="450"/>
      <c r="G432" s="451"/>
      <c r="H432" s="451"/>
      <c r="I432" s="451"/>
      <c r="J432" s="451"/>
      <c r="K432" s="451"/>
      <c r="L432" s="451"/>
      <c r="M432" s="451"/>
      <c r="N432" s="451"/>
      <c r="O432" s="451"/>
      <c r="P432" s="451"/>
      <c r="Q432" s="451"/>
      <c r="R432" s="452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</row>
    <row r="433" spans="1:29" x14ac:dyDescent="0.25">
      <c r="A433" s="67"/>
      <c r="B433" s="67"/>
      <c r="C433" s="67"/>
      <c r="D433" s="67"/>
      <c r="E433" s="67"/>
      <c r="F433" s="450"/>
      <c r="G433" s="451"/>
      <c r="H433" s="451"/>
      <c r="I433" s="451"/>
      <c r="J433" s="451"/>
      <c r="K433" s="451"/>
      <c r="L433" s="451"/>
      <c r="M433" s="451"/>
      <c r="N433" s="451"/>
      <c r="O433" s="451"/>
      <c r="P433" s="451"/>
      <c r="Q433" s="451"/>
      <c r="R433" s="452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</row>
    <row r="434" spans="1:29" x14ac:dyDescent="0.25">
      <c r="A434" s="67"/>
      <c r="B434" s="67"/>
      <c r="C434" s="67"/>
      <c r="D434" s="67"/>
      <c r="E434" s="67"/>
      <c r="F434" s="450"/>
      <c r="G434" s="451"/>
      <c r="H434" s="451"/>
      <c r="I434" s="451"/>
      <c r="J434" s="451"/>
      <c r="K434" s="451"/>
      <c r="L434" s="451"/>
      <c r="M434" s="451"/>
      <c r="N434" s="451"/>
      <c r="O434" s="451"/>
      <c r="P434" s="451"/>
      <c r="Q434" s="451"/>
      <c r="R434" s="452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</row>
    <row r="435" spans="1:29" x14ac:dyDescent="0.25">
      <c r="A435" s="67"/>
      <c r="B435" s="67"/>
      <c r="C435" s="67"/>
      <c r="D435" s="67"/>
      <c r="E435" s="67"/>
      <c r="F435" s="450"/>
      <c r="G435" s="451"/>
      <c r="H435" s="451"/>
      <c r="I435" s="451"/>
      <c r="J435" s="451"/>
      <c r="K435" s="451"/>
      <c r="L435" s="451"/>
      <c r="M435" s="451"/>
      <c r="N435" s="451"/>
      <c r="O435" s="451"/>
      <c r="P435" s="451"/>
      <c r="Q435" s="451"/>
      <c r="R435" s="452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</row>
    <row r="436" spans="1:29" x14ac:dyDescent="0.25">
      <c r="A436" s="67"/>
      <c r="B436" s="67"/>
      <c r="C436" s="67"/>
      <c r="D436" s="67"/>
      <c r="E436" s="67"/>
      <c r="F436" s="450"/>
      <c r="G436" s="451"/>
      <c r="H436" s="451"/>
      <c r="I436" s="451"/>
      <c r="J436" s="451"/>
      <c r="K436" s="451"/>
      <c r="L436" s="451"/>
      <c r="M436" s="451"/>
      <c r="N436" s="451"/>
      <c r="O436" s="451"/>
      <c r="P436" s="451"/>
      <c r="Q436" s="451"/>
      <c r="R436" s="452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</row>
    <row r="437" spans="1:29" x14ac:dyDescent="0.25">
      <c r="A437" s="67"/>
      <c r="B437" s="67"/>
      <c r="C437" s="67"/>
      <c r="D437" s="67"/>
      <c r="E437" s="67"/>
      <c r="F437" s="450"/>
      <c r="G437" s="451"/>
      <c r="H437" s="451"/>
      <c r="I437" s="451"/>
      <c r="J437" s="451"/>
      <c r="K437" s="451"/>
      <c r="L437" s="451"/>
      <c r="M437" s="451"/>
      <c r="N437" s="451"/>
      <c r="O437" s="451"/>
      <c r="P437" s="451"/>
      <c r="Q437" s="451"/>
      <c r="R437" s="452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</row>
    <row r="438" spans="1:29" x14ac:dyDescent="0.25">
      <c r="A438" s="67"/>
      <c r="B438" s="67"/>
      <c r="C438" s="67"/>
      <c r="D438" s="67"/>
      <c r="E438" s="67"/>
      <c r="F438" s="450"/>
      <c r="G438" s="451"/>
      <c r="H438" s="451"/>
      <c r="I438" s="451"/>
      <c r="J438" s="451"/>
      <c r="K438" s="451"/>
      <c r="L438" s="451"/>
      <c r="M438" s="451"/>
      <c r="N438" s="451"/>
      <c r="O438" s="451"/>
      <c r="P438" s="451"/>
      <c r="Q438" s="451"/>
      <c r="R438" s="452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</row>
    <row r="439" spans="1:29" x14ac:dyDescent="0.25">
      <c r="A439" s="67"/>
      <c r="B439" s="67"/>
      <c r="C439" s="67"/>
      <c r="D439" s="67"/>
      <c r="E439" s="67"/>
      <c r="F439" s="450"/>
      <c r="G439" s="451"/>
      <c r="H439" s="451"/>
      <c r="I439" s="451"/>
      <c r="J439" s="451"/>
      <c r="K439" s="451"/>
      <c r="L439" s="451"/>
      <c r="M439" s="451"/>
      <c r="N439" s="451"/>
      <c r="O439" s="451"/>
      <c r="P439" s="451"/>
      <c r="Q439" s="451"/>
      <c r="R439" s="452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</row>
    <row r="440" spans="1:29" x14ac:dyDescent="0.25">
      <c r="A440" s="67"/>
      <c r="B440" s="67"/>
      <c r="C440" s="67"/>
      <c r="D440" s="67"/>
      <c r="E440" s="67"/>
      <c r="F440" s="450"/>
      <c r="G440" s="451"/>
      <c r="H440" s="451"/>
      <c r="I440" s="451"/>
      <c r="J440" s="451"/>
      <c r="K440" s="451"/>
      <c r="L440" s="451"/>
      <c r="M440" s="451"/>
      <c r="N440" s="451"/>
      <c r="O440" s="451"/>
      <c r="P440" s="451"/>
      <c r="Q440" s="451"/>
      <c r="R440" s="452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</row>
    <row r="441" spans="1:29" ht="15.75" thickBot="1" x14ac:dyDescent="0.3">
      <c r="A441" s="67"/>
      <c r="B441" s="67"/>
      <c r="C441" s="67"/>
      <c r="D441" s="67"/>
      <c r="E441" s="67"/>
      <c r="F441" s="453"/>
      <c r="G441" s="454"/>
      <c r="H441" s="454"/>
      <c r="I441" s="454"/>
      <c r="J441" s="454"/>
      <c r="K441" s="454"/>
      <c r="L441" s="454"/>
      <c r="M441" s="454"/>
      <c r="N441" s="454"/>
      <c r="O441" s="454"/>
      <c r="P441" s="454"/>
      <c r="Q441" s="454"/>
      <c r="R441" s="455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</row>
    <row r="442" spans="1:29" x14ac:dyDescent="0.25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</row>
    <row r="443" spans="1:29" x14ac:dyDescent="0.25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</row>
    <row r="444" spans="1:29" x14ac:dyDescent="0.25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</row>
    <row r="445" spans="1:29" x14ac:dyDescent="0.2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</row>
    <row r="446" spans="1:29" x14ac:dyDescent="0.25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</row>
    <row r="447" spans="1:29" x14ac:dyDescent="0.25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</row>
    <row r="448" spans="1:29" x14ac:dyDescent="0.25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</row>
    <row r="449" spans="1:29" x14ac:dyDescent="0.25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</row>
    <row r="450" spans="1:29" x14ac:dyDescent="0.25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</row>
    <row r="451" spans="1:29" x14ac:dyDescent="0.25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</row>
    <row r="452" spans="1:29" x14ac:dyDescent="0.25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</row>
    <row r="453" spans="1:29" x14ac:dyDescent="0.25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</row>
    <row r="454" spans="1:29" x14ac:dyDescent="0.25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</row>
    <row r="455" spans="1:29" x14ac:dyDescent="0.2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</row>
    <row r="456" spans="1:29" x14ac:dyDescent="0.25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</row>
    <row r="457" spans="1:29" x14ac:dyDescent="0.25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</row>
    <row r="458" spans="1:29" x14ac:dyDescent="0.25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</row>
    <row r="459" spans="1:29" x14ac:dyDescent="0.25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</row>
    <row r="460" spans="1:29" x14ac:dyDescent="0.25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</row>
    <row r="461" spans="1:29" x14ac:dyDescent="0.25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</row>
    <row r="462" spans="1:29" x14ac:dyDescent="0.25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</row>
    <row r="463" spans="1:29" x14ac:dyDescent="0.25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</row>
    <row r="464" spans="1:29" x14ac:dyDescent="0.25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</row>
    <row r="465" spans="1:29" x14ac:dyDescent="0.2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</row>
    <row r="466" spans="1:29" x14ac:dyDescent="0.25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</row>
    <row r="467" spans="1:29" x14ac:dyDescent="0.25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</row>
    <row r="468" spans="1:29" x14ac:dyDescent="0.25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</row>
    <row r="469" spans="1:29" x14ac:dyDescent="0.25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</row>
    <row r="470" spans="1:29" x14ac:dyDescent="0.25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</row>
  </sheetData>
  <mergeCells count="248">
    <mergeCell ref="Y354:AC354"/>
    <mergeCell ref="Y355:AC368"/>
    <mergeCell ref="AE354:AI354"/>
    <mergeCell ref="AE355:AI368"/>
    <mergeCell ref="AK354:AO354"/>
    <mergeCell ref="AK355:AO368"/>
    <mergeCell ref="Y370:AC370"/>
    <mergeCell ref="Y371:AC384"/>
    <mergeCell ref="AE370:AI370"/>
    <mergeCell ref="AE371:AI384"/>
    <mergeCell ref="AK371:AK384"/>
    <mergeCell ref="Y335:AC335"/>
    <mergeCell ref="Y336:AC349"/>
    <mergeCell ref="AE335:AI335"/>
    <mergeCell ref="AE336:AI349"/>
    <mergeCell ref="AK335:AO335"/>
    <mergeCell ref="AK336:AO349"/>
    <mergeCell ref="AK266:AK279"/>
    <mergeCell ref="Y281:AC281"/>
    <mergeCell ref="Y282:AC295"/>
    <mergeCell ref="AE281:AI281"/>
    <mergeCell ref="AE282:AI295"/>
    <mergeCell ref="AK282:AK295"/>
    <mergeCell ref="AE246:AI246"/>
    <mergeCell ref="AE247:AI260"/>
    <mergeCell ref="Y246:AC246"/>
    <mergeCell ref="Y247:AC260"/>
    <mergeCell ref="S246:W246"/>
    <mergeCell ref="S247:W260"/>
    <mergeCell ref="Y265:AC265"/>
    <mergeCell ref="Y266:AC279"/>
    <mergeCell ref="AE265:AI265"/>
    <mergeCell ref="AE266:AI279"/>
    <mergeCell ref="Y74:AC74"/>
    <mergeCell ref="Y75:AC88"/>
    <mergeCell ref="AE74:AI74"/>
    <mergeCell ref="AE75:AI88"/>
    <mergeCell ref="AK74:AO74"/>
    <mergeCell ref="AK75:AO88"/>
    <mergeCell ref="Y230:AC230"/>
    <mergeCell ref="Y231:AC244"/>
    <mergeCell ref="AE230:AI230"/>
    <mergeCell ref="AE231:AI244"/>
    <mergeCell ref="Y4:AC4"/>
    <mergeCell ref="Y5:AC18"/>
    <mergeCell ref="AE4:AI4"/>
    <mergeCell ref="AE5:AI18"/>
    <mergeCell ref="Y20:AC20"/>
    <mergeCell ref="Y21:AC34"/>
    <mergeCell ref="AE20:AI20"/>
    <mergeCell ref="AE21:AI34"/>
    <mergeCell ref="F408:R441"/>
    <mergeCell ref="A390:E403"/>
    <mergeCell ref="G390:K403"/>
    <mergeCell ref="M390:Q403"/>
    <mergeCell ref="S390:W403"/>
    <mergeCell ref="Y390:AC403"/>
    <mergeCell ref="J405:N406"/>
    <mergeCell ref="J386:N387"/>
    <mergeCell ref="A389:E389"/>
    <mergeCell ref="G389:K389"/>
    <mergeCell ref="M389:Q389"/>
    <mergeCell ref="S389:W389"/>
    <mergeCell ref="Y389:AC389"/>
    <mergeCell ref="A370:E370"/>
    <mergeCell ref="G370:K370"/>
    <mergeCell ref="M370:Q370"/>
    <mergeCell ref="S370:W370"/>
    <mergeCell ref="A371:E384"/>
    <mergeCell ref="G371:K384"/>
    <mergeCell ref="M371:Q384"/>
    <mergeCell ref="S371:W384"/>
    <mergeCell ref="J351:N352"/>
    <mergeCell ref="A354:E354"/>
    <mergeCell ref="G354:K354"/>
    <mergeCell ref="M354:Q354"/>
    <mergeCell ref="S354:W354"/>
    <mergeCell ref="A355:E368"/>
    <mergeCell ref="G355:K368"/>
    <mergeCell ref="M355:Q368"/>
    <mergeCell ref="S355:W368"/>
    <mergeCell ref="J332:N333"/>
    <mergeCell ref="A335:E335"/>
    <mergeCell ref="G335:K335"/>
    <mergeCell ref="M335:Q335"/>
    <mergeCell ref="S335:W335"/>
    <mergeCell ref="A336:E349"/>
    <mergeCell ref="G336:K349"/>
    <mergeCell ref="M336:Q349"/>
    <mergeCell ref="S336:W349"/>
    <mergeCell ref="A316:E316"/>
    <mergeCell ref="G316:K316"/>
    <mergeCell ref="M316:Q316"/>
    <mergeCell ref="A317:E330"/>
    <mergeCell ref="G317:K330"/>
    <mergeCell ref="M317:Q330"/>
    <mergeCell ref="Y300:AC300"/>
    <mergeCell ref="A301:E314"/>
    <mergeCell ref="G301:K314"/>
    <mergeCell ref="M301:Q314"/>
    <mergeCell ref="S301:W314"/>
    <mergeCell ref="Y301:AC314"/>
    <mergeCell ref="A282:E295"/>
    <mergeCell ref="G282:K295"/>
    <mergeCell ref="M282:Q295"/>
    <mergeCell ref="S282:W295"/>
    <mergeCell ref="J297:N298"/>
    <mergeCell ref="A300:E300"/>
    <mergeCell ref="G300:K300"/>
    <mergeCell ref="M300:Q300"/>
    <mergeCell ref="S300:W300"/>
    <mergeCell ref="S265:W265"/>
    <mergeCell ref="A266:E279"/>
    <mergeCell ref="G266:K279"/>
    <mergeCell ref="M266:Q279"/>
    <mergeCell ref="S266:W279"/>
    <mergeCell ref="A281:E281"/>
    <mergeCell ref="G281:K281"/>
    <mergeCell ref="M281:Q281"/>
    <mergeCell ref="S281:W281"/>
    <mergeCell ref="A247:E260"/>
    <mergeCell ref="G247:K260"/>
    <mergeCell ref="J262:N263"/>
    <mergeCell ref="A265:E265"/>
    <mergeCell ref="G265:K265"/>
    <mergeCell ref="M265:Q265"/>
    <mergeCell ref="A231:E244"/>
    <mergeCell ref="G231:K244"/>
    <mergeCell ref="M231:Q244"/>
    <mergeCell ref="M246:Q246"/>
    <mergeCell ref="M247:Q260"/>
    <mergeCell ref="S231:W244"/>
    <mergeCell ref="A246:E246"/>
    <mergeCell ref="G246:K246"/>
    <mergeCell ref="A212:E225"/>
    <mergeCell ref="G212:K225"/>
    <mergeCell ref="M212:Q225"/>
    <mergeCell ref="S212:W225"/>
    <mergeCell ref="J227:N228"/>
    <mergeCell ref="A230:E230"/>
    <mergeCell ref="G230:K230"/>
    <mergeCell ref="M230:Q230"/>
    <mergeCell ref="S230:W230"/>
    <mergeCell ref="A196:E209"/>
    <mergeCell ref="G196:K209"/>
    <mergeCell ref="M196:Q209"/>
    <mergeCell ref="S196:W209"/>
    <mergeCell ref="A211:E211"/>
    <mergeCell ref="G211:K211"/>
    <mergeCell ref="M211:Q211"/>
    <mergeCell ref="S211:W211"/>
    <mergeCell ref="A180:E193"/>
    <mergeCell ref="G180:K193"/>
    <mergeCell ref="M180:Q193"/>
    <mergeCell ref="S180:W193"/>
    <mergeCell ref="Y180:AC193"/>
    <mergeCell ref="A195:E195"/>
    <mergeCell ref="G195:K195"/>
    <mergeCell ref="M195:Q195"/>
    <mergeCell ref="S195:W195"/>
    <mergeCell ref="J176:N177"/>
    <mergeCell ref="A179:E179"/>
    <mergeCell ref="G179:K179"/>
    <mergeCell ref="M179:Q179"/>
    <mergeCell ref="S179:W179"/>
    <mergeCell ref="Y179:AC179"/>
    <mergeCell ref="A160:E160"/>
    <mergeCell ref="G160:K160"/>
    <mergeCell ref="M160:Q160"/>
    <mergeCell ref="S160:W160"/>
    <mergeCell ref="A161:E174"/>
    <mergeCell ref="M161:Q174"/>
    <mergeCell ref="S161:W174"/>
    <mergeCell ref="A144:E144"/>
    <mergeCell ref="G144:K144"/>
    <mergeCell ref="M144:Q144"/>
    <mergeCell ref="A145:E158"/>
    <mergeCell ref="G145:K158"/>
    <mergeCell ref="M145:Q158"/>
    <mergeCell ref="J125:N126"/>
    <mergeCell ref="A128:E128"/>
    <mergeCell ref="G128:K128"/>
    <mergeCell ref="M128:Q128"/>
    <mergeCell ref="S128:W128"/>
    <mergeCell ref="A129:E142"/>
    <mergeCell ref="G129:K142"/>
    <mergeCell ref="M129:Q142"/>
    <mergeCell ref="S129:W142"/>
    <mergeCell ref="A109:E109"/>
    <mergeCell ref="G109:K109"/>
    <mergeCell ref="M109:Q109"/>
    <mergeCell ref="S109:W109"/>
    <mergeCell ref="A110:E123"/>
    <mergeCell ref="G110:K123"/>
    <mergeCell ref="M110:Q123"/>
    <mergeCell ref="S110:W123"/>
    <mergeCell ref="J90:N91"/>
    <mergeCell ref="A93:E93"/>
    <mergeCell ref="G93:K93"/>
    <mergeCell ref="M93:Q93"/>
    <mergeCell ref="S93:W93"/>
    <mergeCell ref="A94:E107"/>
    <mergeCell ref="G94:K107"/>
    <mergeCell ref="M94:Q107"/>
    <mergeCell ref="S94:W107"/>
    <mergeCell ref="J71:N72"/>
    <mergeCell ref="A74:E74"/>
    <mergeCell ref="G74:K74"/>
    <mergeCell ref="M74:Q74"/>
    <mergeCell ref="S74:W74"/>
    <mergeCell ref="A75:E88"/>
    <mergeCell ref="G75:K88"/>
    <mergeCell ref="M75:Q88"/>
    <mergeCell ref="S75:W88"/>
    <mergeCell ref="A55:E55"/>
    <mergeCell ref="G55:K55"/>
    <mergeCell ref="M55:Q55"/>
    <mergeCell ref="S55:W55"/>
    <mergeCell ref="A56:E69"/>
    <mergeCell ref="G56:K69"/>
    <mergeCell ref="M56:Q69"/>
    <mergeCell ref="S56:W69"/>
    <mergeCell ref="J36:N37"/>
    <mergeCell ref="A39:E39"/>
    <mergeCell ref="G39:K39"/>
    <mergeCell ref="M39:Q39"/>
    <mergeCell ref="S39:W39"/>
    <mergeCell ref="A40:E53"/>
    <mergeCell ref="G40:K53"/>
    <mergeCell ref="M40:Q53"/>
    <mergeCell ref="S40:W53"/>
    <mergeCell ref="A20:E20"/>
    <mergeCell ref="G20:K20"/>
    <mergeCell ref="M20:Q20"/>
    <mergeCell ref="S20:W20"/>
    <mergeCell ref="A21:E34"/>
    <mergeCell ref="G21:K34"/>
    <mergeCell ref="M21:Q34"/>
    <mergeCell ref="S21:W34"/>
    <mergeCell ref="J1:N2"/>
    <mergeCell ref="A4:E4"/>
    <mergeCell ref="G4:K4"/>
    <mergeCell ref="M4:Q4"/>
    <mergeCell ref="S4:W4"/>
    <mergeCell ref="A5:E18"/>
    <mergeCell ref="G5:K18"/>
    <mergeCell ref="M5:Q18"/>
    <mergeCell ref="S5:W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7"/>
  <sheetViews>
    <sheetView zoomScale="30" zoomScaleNormal="30" workbookViewId="0">
      <selection activeCell="G21" sqref="G21:K34"/>
    </sheetView>
  </sheetViews>
  <sheetFormatPr defaultRowHeight="15" x14ac:dyDescent="0.25"/>
  <sheetData>
    <row r="1" spans="1:29" x14ac:dyDescent="0.25">
      <c r="A1" s="67"/>
      <c r="B1" s="67"/>
      <c r="C1" s="67"/>
      <c r="D1" s="67"/>
      <c r="E1" s="67"/>
      <c r="F1" s="67"/>
      <c r="G1" s="67"/>
      <c r="H1" s="67"/>
      <c r="I1" s="67"/>
      <c r="J1" s="432" t="s">
        <v>532</v>
      </c>
      <c r="K1" s="433"/>
      <c r="L1" s="433"/>
      <c r="M1" s="433"/>
      <c r="N1" s="434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5.75" thickBot="1" x14ac:dyDescent="0.3">
      <c r="A2" s="67"/>
      <c r="B2" s="67"/>
      <c r="C2" s="67"/>
      <c r="D2" s="67"/>
      <c r="E2" s="67"/>
      <c r="F2" s="67"/>
      <c r="G2" s="67"/>
      <c r="H2" s="67"/>
      <c r="I2" s="67"/>
      <c r="J2" s="435"/>
      <c r="K2" s="436"/>
      <c r="L2" s="436"/>
      <c r="M2" s="436"/>
      <c r="N2" s="43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1:29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1:29" x14ac:dyDescent="0.25">
      <c r="A4" s="420" t="s">
        <v>1097</v>
      </c>
      <c r="B4" s="421"/>
      <c r="C4" s="421"/>
      <c r="D4" s="421"/>
      <c r="E4" s="422"/>
      <c r="F4" s="68"/>
      <c r="G4" s="420" t="s">
        <v>1098</v>
      </c>
      <c r="H4" s="421"/>
      <c r="I4" s="421"/>
      <c r="J4" s="421"/>
      <c r="K4" s="422"/>
      <c r="L4" s="68"/>
      <c r="M4" s="420" t="s">
        <v>1099</v>
      </c>
      <c r="N4" s="421"/>
      <c r="O4" s="421"/>
      <c r="P4" s="421"/>
      <c r="Q4" s="422"/>
      <c r="R4" s="67"/>
      <c r="S4" s="420" t="s">
        <v>1100</v>
      </c>
      <c r="T4" s="421"/>
      <c r="U4" s="421"/>
      <c r="V4" s="421"/>
      <c r="W4" s="422"/>
      <c r="X4" s="67"/>
      <c r="Y4" s="67"/>
      <c r="Z4" s="67"/>
      <c r="AA4" s="67"/>
      <c r="AB4" s="67"/>
      <c r="AC4" s="67"/>
    </row>
    <row r="5" spans="1:29" x14ac:dyDescent="0.25">
      <c r="A5" s="423"/>
      <c r="B5" s="424"/>
      <c r="C5" s="424"/>
      <c r="D5" s="424"/>
      <c r="E5" s="425"/>
      <c r="F5" s="68"/>
      <c r="G5" s="423"/>
      <c r="H5" s="424"/>
      <c r="I5" s="424"/>
      <c r="J5" s="424"/>
      <c r="K5" s="425"/>
      <c r="L5" s="68"/>
      <c r="M5" s="423"/>
      <c r="N5" s="424"/>
      <c r="O5" s="424"/>
      <c r="P5" s="424"/>
      <c r="Q5" s="425"/>
      <c r="R5" s="67"/>
      <c r="S5" s="423"/>
      <c r="T5" s="424"/>
      <c r="U5" s="424"/>
      <c r="V5" s="424"/>
      <c r="W5" s="425"/>
      <c r="X5" s="67"/>
      <c r="Y5" s="67"/>
      <c r="Z5" s="67"/>
      <c r="AA5" s="67"/>
      <c r="AB5" s="67"/>
      <c r="AC5" s="67"/>
    </row>
    <row r="6" spans="1:29" x14ac:dyDescent="0.25">
      <c r="A6" s="426"/>
      <c r="B6" s="427"/>
      <c r="C6" s="427"/>
      <c r="D6" s="427"/>
      <c r="E6" s="428"/>
      <c r="F6" s="68"/>
      <c r="G6" s="426"/>
      <c r="H6" s="427"/>
      <c r="I6" s="427"/>
      <c r="J6" s="427"/>
      <c r="K6" s="428"/>
      <c r="L6" s="68"/>
      <c r="M6" s="426"/>
      <c r="N6" s="427"/>
      <c r="O6" s="427"/>
      <c r="P6" s="427"/>
      <c r="Q6" s="428"/>
      <c r="R6" s="67"/>
      <c r="S6" s="426"/>
      <c r="T6" s="427"/>
      <c r="U6" s="427"/>
      <c r="V6" s="427"/>
      <c r="W6" s="428"/>
      <c r="X6" s="67"/>
      <c r="Y6" s="67"/>
      <c r="Z6" s="67"/>
      <c r="AA6" s="67"/>
      <c r="AB6" s="67"/>
      <c r="AC6" s="67"/>
    </row>
    <row r="7" spans="1:29" x14ac:dyDescent="0.25">
      <c r="A7" s="426"/>
      <c r="B7" s="427"/>
      <c r="C7" s="427"/>
      <c r="D7" s="427"/>
      <c r="E7" s="428"/>
      <c r="F7" s="68"/>
      <c r="G7" s="426"/>
      <c r="H7" s="427"/>
      <c r="I7" s="427"/>
      <c r="J7" s="427"/>
      <c r="K7" s="428"/>
      <c r="L7" s="68"/>
      <c r="M7" s="426"/>
      <c r="N7" s="427"/>
      <c r="O7" s="427"/>
      <c r="P7" s="427"/>
      <c r="Q7" s="428"/>
      <c r="R7" s="67"/>
      <c r="S7" s="426"/>
      <c r="T7" s="427"/>
      <c r="U7" s="427"/>
      <c r="V7" s="427"/>
      <c r="W7" s="428"/>
      <c r="X7" s="67"/>
      <c r="Y7" s="67"/>
      <c r="Z7" s="67"/>
      <c r="AA7" s="67"/>
      <c r="AB7" s="67"/>
      <c r="AC7" s="67"/>
    </row>
    <row r="8" spans="1:29" x14ac:dyDescent="0.25">
      <c r="A8" s="426"/>
      <c r="B8" s="427"/>
      <c r="C8" s="427"/>
      <c r="D8" s="427"/>
      <c r="E8" s="428"/>
      <c r="F8" s="68"/>
      <c r="G8" s="426"/>
      <c r="H8" s="427"/>
      <c r="I8" s="427"/>
      <c r="J8" s="427"/>
      <c r="K8" s="428"/>
      <c r="L8" s="68"/>
      <c r="M8" s="426"/>
      <c r="N8" s="427"/>
      <c r="O8" s="427"/>
      <c r="P8" s="427"/>
      <c r="Q8" s="428"/>
      <c r="R8" s="67"/>
      <c r="S8" s="426"/>
      <c r="T8" s="427"/>
      <c r="U8" s="427"/>
      <c r="V8" s="427"/>
      <c r="W8" s="428"/>
      <c r="X8" s="67"/>
      <c r="Y8" s="67"/>
      <c r="Z8" s="67"/>
      <c r="AA8" s="67"/>
      <c r="AB8" s="67"/>
      <c r="AC8" s="67"/>
    </row>
    <row r="9" spans="1:29" x14ac:dyDescent="0.25">
      <c r="A9" s="426"/>
      <c r="B9" s="427"/>
      <c r="C9" s="427"/>
      <c r="D9" s="427"/>
      <c r="E9" s="428"/>
      <c r="F9" s="68"/>
      <c r="G9" s="426"/>
      <c r="H9" s="427"/>
      <c r="I9" s="427"/>
      <c r="J9" s="427"/>
      <c r="K9" s="428"/>
      <c r="L9" s="68"/>
      <c r="M9" s="426"/>
      <c r="N9" s="427"/>
      <c r="O9" s="427"/>
      <c r="P9" s="427"/>
      <c r="Q9" s="428"/>
      <c r="R9" s="67"/>
      <c r="S9" s="426"/>
      <c r="T9" s="427"/>
      <c r="U9" s="427"/>
      <c r="V9" s="427"/>
      <c r="W9" s="428"/>
      <c r="X9" s="67"/>
      <c r="Y9" s="67"/>
      <c r="Z9" s="67"/>
      <c r="AA9" s="67"/>
      <c r="AB9" s="67"/>
      <c r="AC9" s="67"/>
    </row>
    <row r="10" spans="1:29" x14ac:dyDescent="0.25">
      <c r="A10" s="426"/>
      <c r="B10" s="427"/>
      <c r="C10" s="427"/>
      <c r="D10" s="427"/>
      <c r="E10" s="428"/>
      <c r="F10" s="68"/>
      <c r="G10" s="426"/>
      <c r="H10" s="427"/>
      <c r="I10" s="427"/>
      <c r="J10" s="427"/>
      <c r="K10" s="428"/>
      <c r="L10" s="68"/>
      <c r="M10" s="426"/>
      <c r="N10" s="427"/>
      <c r="O10" s="427"/>
      <c r="P10" s="427"/>
      <c r="Q10" s="428"/>
      <c r="R10" s="67"/>
      <c r="S10" s="426"/>
      <c r="T10" s="427"/>
      <c r="U10" s="427"/>
      <c r="V10" s="427"/>
      <c r="W10" s="428"/>
      <c r="X10" s="67"/>
      <c r="Y10" s="67"/>
      <c r="Z10" s="67"/>
      <c r="AA10" s="67"/>
      <c r="AB10" s="67"/>
      <c r="AC10" s="67"/>
    </row>
    <row r="11" spans="1:29" x14ac:dyDescent="0.25">
      <c r="A11" s="426"/>
      <c r="B11" s="427"/>
      <c r="C11" s="427"/>
      <c r="D11" s="427"/>
      <c r="E11" s="428"/>
      <c r="F11" s="68"/>
      <c r="G11" s="426"/>
      <c r="H11" s="427"/>
      <c r="I11" s="427"/>
      <c r="J11" s="427"/>
      <c r="K11" s="428"/>
      <c r="L11" s="68"/>
      <c r="M11" s="426"/>
      <c r="N11" s="427"/>
      <c r="O11" s="427"/>
      <c r="P11" s="427"/>
      <c r="Q11" s="428"/>
      <c r="R11" s="67"/>
      <c r="S11" s="426"/>
      <c r="T11" s="427"/>
      <c r="U11" s="427"/>
      <c r="V11" s="427"/>
      <c r="W11" s="428"/>
      <c r="X11" s="67"/>
      <c r="Y11" s="67"/>
      <c r="Z11" s="67"/>
      <c r="AA11" s="67"/>
      <c r="AB11" s="67"/>
      <c r="AC11" s="67"/>
    </row>
    <row r="12" spans="1:29" x14ac:dyDescent="0.25">
      <c r="A12" s="426"/>
      <c r="B12" s="427"/>
      <c r="C12" s="427"/>
      <c r="D12" s="427"/>
      <c r="E12" s="428"/>
      <c r="F12" s="68"/>
      <c r="G12" s="426"/>
      <c r="H12" s="427"/>
      <c r="I12" s="427"/>
      <c r="J12" s="427"/>
      <c r="K12" s="428"/>
      <c r="L12" s="68"/>
      <c r="M12" s="426"/>
      <c r="N12" s="427"/>
      <c r="O12" s="427"/>
      <c r="P12" s="427"/>
      <c r="Q12" s="428"/>
      <c r="R12" s="67"/>
      <c r="S12" s="426"/>
      <c r="T12" s="427"/>
      <c r="U12" s="427"/>
      <c r="V12" s="427"/>
      <c r="W12" s="428"/>
      <c r="X12" s="67"/>
      <c r="Y12" s="67"/>
      <c r="Z12" s="67"/>
      <c r="AA12" s="67"/>
      <c r="AB12" s="67"/>
      <c r="AC12" s="67"/>
    </row>
    <row r="13" spans="1:29" x14ac:dyDescent="0.25">
      <c r="A13" s="426"/>
      <c r="B13" s="427"/>
      <c r="C13" s="427"/>
      <c r="D13" s="427"/>
      <c r="E13" s="428"/>
      <c r="F13" s="68"/>
      <c r="G13" s="426"/>
      <c r="H13" s="427"/>
      <c r="I13" s="427"/>
      <c r="J13" s="427"/>
      <c r="K13" s="428"/>
      <c r="L13" s="68"/>
      <c r="M13" s="426"/>
      <c r="N13" s="427"/>
      <c r="O13" s="427"/>
      <c r="P13" s="427"/>
      <c r="Q13" s="428"/>
      <c r="R13" s="67"/>
      <c r="S13" s="426"/>
      <c r="T13" s="427"/>
      <c r="U13" s="427"/>
      <c r="V13" s="427"/>
      <c r="W13" s="428"/>
      <c r="X13" s="67"/>
      <c r="Y13" s="67"/>
      <c r="Z13" s="67"/>
      <c r="AA13" s="67"/>
      <c r="AB13" s="67"/>
      <c r="AC13" s="67"/>
    </row>
    <row r="14" spans="1:29" x14ac:dyDescent="0.25">
      <c r="A14" s="426"/>
      <c r="B14" s="427"/>
      <c r="C14" s="427"/>
      <c r="D14" s="427"/>
      <c r="E14" s="428"/>
      <c r="F14" s="68"/>
      <c r="G14" s="426"/>
      <c r="H14" s="427"/>
      <c r="I14" s="427"/>
      <c r="J14" s="427"/>
      <c r="K14" s="428"/>
      <c r="L14" s="68"/>
      <c r="M14" s="426"/>
      <c r="N14" s="427"/>
      <c r="O14" s="427"/>
      <c r="P14" s="427"/>
      <c r="Q14" s="428"/>
      <c r="R14" s="67"/>
      <c r="S14" s="426"/>
      <c r="T14" s="427"/>
      <c r="U14" s="427"/>
      <c r="V14" s="427"/>
      <c r="W14" s="428"/>
      <c r="X14" s="67"/>
      <c r="Y14" s="67"/>
      <c r="Z14" s="67"/>
      <c r="AA14" s="67"/>
      <c r="AB14" s="67"/>
      <c r="AC14" s="67"/>
    </row>
    <row r="15" spans="1:29" x14ac:dyDescent="0.25">
      <c r="A15" s="426"/>
      <c r="B15" s="427"/>
      <c r="C15" s="427"/>
      <c r="D15" s="427"/>
      <c r="E15" s="428"/>
      <c r="F15" s="68"/>
      <c r="G15" s="426"/>
      <c r="H15" s="427"/>
      <c r="I15" s="427"/>
      <c r="J15" s="427"/>
      <c r="K15" s="428"/>
      <c r="L15" s="68"/>
      <c r="M15" s="426"/>
      <c r="N15" s="427"/>
      <c r="O15" s="427"/>
      <c r="P15" s="427"/>
      <c r="Q15" s="428"/>
      <c r="R15" s="67"/>
      <c r="S15" s="426"/>
      <c r="T15" s="427"/>
      <c r="U15" s="427"/>
      <c r="V15" s="427"/>
      <c r="W15" s="428"/>
      <c r="X15" s="67"/>
      <c r="Y15" s="67"/>
      <c r="Z15" s="67"/>
      <c r="AA15" s="67"/>
      <c r="AB15" s="67"/>
      <c r="AC15" s="67"/>
    </row>
    <row r="16" spans="1:29" x14ac:dyDescent="0.25">
      <c r="A16" s="426"/>
      <c r="B16" s="427"/>
      <c r="C16" s="427"/>
      <c r="D16" s="427"/>
      <c r="E16" s="428"/>
      <c r="F16" s="68"/>
      <c r="G16" s="426"/>
      <c r="H16" s="427"/>
      <c r="I16" s="427"/>
      <c r="J16" s="427"/>
      <c r="K16" s="428"/>
      <c r="L16" s="68"/>
      <c r="M16" s="426"/>
      <c r="N16" s="427"/>
      <c r="O16" s="427"/>
      <c r="P16" s="427"/>
      <c r="Q16" s="428"/>
      <c r="R16" s="67"/>
      <c r="S16" s="426"/>
      <c r="T16" s="427"/>
      <c r="U16" s="427"/>
      <c r="V16" s="427"/>
      <c r="W16" s="428"/>
      <c r="X16" s="67"/>
      <c r="Y16" s="67"/>
      <c r="Z16" s="67"/>
      <c r="AA16" s="67"/>
      <c r="AB16" s="67"/>
      <c r="AC16" s="67"/>
    </row>
    <row r="17" spans="1:29" x14ac:dyDescent="0.25">
      <c r="A17" s="426"/>
      <c r="B17" s="427"/>
      <c r="C17" s="427"/>
      <c r="D17" s="427"/>
      <c r="E17" s="428"/>
      <c r="F17" s="68"/>
      <c r="G17" s="426"/>
      <c r="H17" s="427"/>
      <c r="I17" s="427"/>
      <c r="J17" s="427"/>
      <c r="K17" s="428"/>
      <c r="L17" s="68"/>
      <c r="M17" s="426"/>
      <c r="N17" s="427"/>
      <c r="O17" s="427"/>
      <c r="P17" s="427"/>
      <c r="Q17" s="428"/>
      <c r="R17" s="67"/>
      <c r="S17" s="426"/>
      <c r="T17" s="427"/>
      <c r="U17" s="427"/>
      <c r="V17" s="427"/>
      <c r="W17" s="428"/>
      <c r="X17" s="67"/>
      <c r="Y17" s="67"/>
      <c r="Z17" s="67"/>
      <c r="AA17" s="67"/>
      <c r="AB17" s="67"/>
      <c r="AC17" s="67"/>
    </row>
    <row r="18" spans="1:29" x14ac:dyDescent="0.25">
      <c r="A18" s="429"/>
      <c r="B18" s="430"/>
      <c r="C18" s="430"/>
      <c r="D18" s="430"/>
      <c r="E18" s="431"/>
      <c r="F18" s="68"/>
      <c r="G18" s="429"/>
      <c r="H18" s="430"/>
      <c r="I18" s="430"/>
      <c r="J18" s="430"/>
      <c r="K18" s="431"/>
      <c r="L18" s="68"/>
      <c r="M18" s="429"/>
      <c r="N18" s="430"/>
      <c r="O18" s="430"/>
      <c r="P18" s="430"/>
      <c r="Q18" s="431"/>
      <c r="R18" s="67"/>
      <c r="S18" s="429"/>
      <c r="T18" s="430"/>
      <c r="U18" s="430"/>
      <c r="V18" s="430"/>
      <c r="W18" s="431"/>
      <c r="X18" s="67"/>
      <c r="Y18" s="67"/>
      <c r="Z18" s="67"/>
      <c r="AA18" s="67"/>
      <c r="AB18" s="67"/>
      <c r="AC18" s="67"/>
    </row>
    <row r="19" spans="1:29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</row>
    <row r="20" spans="1:29" x14ac:dyDescent="0.25">
      <c r="A20" s="420" t="s">
        <v>1109</v>
      </c>
      <c r="B20" s="421"/>
      <c r="C20" s="421"/>
      <c r="D20" s="421"/>
      <c r="E20" s="422"/>
      <c r="F20" s="68"/>
      <c r="G20" s="420" t="s">
        <v>1110</v>
      </c>
      <c r="H20" s="421"/>
      <c r="I20" s="421"/>
      <c r="J20" s="421"/>
      <c r="K20" s="422"/>
      <c r="L20" s="68"/>
      <c r="M20" s="420" t="s">
        <v>1111</v>
      </c>
      <c r="N20" s="421"/>
      <c r="O20" s="421"/>
      <c r="P20" s="421"/>
      <c r="Q20" s="422"/>
      <c r="R20" s="67"/>
      <c r="S20" s="420" t="s">
        <v>1112</v>
      </c>
      <c r="T20" s="421"/>
      <c r="U20" s="421"/>
      <c r="V20" s="421"/>
      <c r="W20" s="422"/>
      <c r="X20" s="67"/>
      <c r="Y20" s="67"/>
      <c r="Z20" s="67"/>
      <c r="AA20" s="67"/>
      <c r="AB20" s="67"/>
      <c r="AC20" s="67"/>
    </row>
    <row r="21" spans="1:29" x14ac:dyDescent="0.25">
      <c r="A21" s="423"/>
      <c r="B21" s="424"/>
      <c r="C21" s="424"/>
      <c r="D21" s="424"/>
      <c r="E21" s="425"/>
      <c r="F21" s="68"/>
      <c r="G21" s="423"/>
      <c r="H21" s="424"/>
      <c r="I21" s="424"/>
      <c r="J21" s="424"/>
      <c r="K21" s="425"/>
      <c r="L21" s="68"/>
      <c r="M21" s="423"/>
      <c r="N21" s="424"/>
      <c r="O21" s="424"/>
      <c r="P21" s="424"/>
      <c r="Q21" s="425"/>
      <c r="R21" s="67"/>
      <c r="S21" s="423"/>
      <c r="T21" s="424"/>
      <c r="U21" s="424"/>
      <c r="V21" s="424"/>
      <c r="W21" s="425"/>
      <c r="X21" s="67"/>
      <c r="Y21" s="67"/>
      <c r="Z21" s="67"/>
      <c r="AA21" s="67"/>
      <c r="AB21" s="67"/>
      <c r="AC21" s="67"/>
    </row>
    <row r="22" spans="1:29" x14ac:dyDescent="0.25">
      <c r="A22" s="426"/>
      <c r="B22" s="427"/>
      <c r="C22" s="427"/>
      <c r="D22" s="427"/>
      <c r="E22" s="428"/>
      <c r="F22" s="68"/>
      <c r="G22" s="426"/>
      <c r="H22" s="427"/>
      <c r="I22" s="427"/>
      <c r="J22" s="427"/>
      <c r="K22" s="428"/>
      <c r="L22" s="68"/>
      <c r="M22" s="426"/>
      <c r="N22" s="427"/>
      <c r="O22" s="427"/>
      <c r="P22" s="427"/>
      <c r="Q22" s="428"/>
      <c r="R22" s="67"/>
      <c r="S22" s="426"/>
      <c r="T22" s="427"/>
      <c r="U22" s="427"/>
      <c r="V22" s="427"/>
      <c r="W22" s="428"/>
      <c r="X22" s="67"/>
      <c r="Y22" s="67"/>
      <c r="Z22" s="67"/>
      <c r="AA22" s="67"/>
      <c r="AB22" s="67"/>
      <c r="AC22" s="67"/>
    </row>
    <row r="23" spans="1:29" x14ac:dyDescent="0.25">
      <c r="A23" s="426"/>
      <c r="B23" s="427"/>
      <c r="C23" s="427"/>
      <c r="D23" s="427"/>
      <c r="E23" s="428"/>
      <c r="F23" s="68"/>
      <c r="G23" s="426"/>
      <c r="H23" s="427"/>
      <c r="I23" s="427"/>
      <c r="J23" s="427"/>
      <c r="K23" s="428"/>
      <c r="L23" s="68"/>
      <c r="M23" s="426"/>
      <c r="N23" s="427"/>
      <c r="O23" s="427"/>
      <c r="P23" s="427"/>
      <c r="Q23" s="428"/>
      <c r="R23" s="67"/>
      <c r="S23" s="426"/>
      <c r="T23" s="427"/>
      <c r="U23" s="427"/>
      <c r="V23" s="427"/>
      <c r="W23" s="428"/>
      <c r="X23" s="67"/>
      <c r="Y23" s="67"/>
      <c r="Z23" s="67"/>
      <c r="AA23" s="67"/>
      <c r="AB23" s="67"/>
      <c r="AC23" s="67"/>
    </row>
    <row r="24" spans="1:29" x14ac:dyDescent="0.25">
      <c r="A24" s="426"/>
      <c r="B24" s="427"/>
      <c r="C24" s="427"/>
      <c r="D24" s="427"/>
      <c r="E24" s="428"/>
      <c r="F24" s="68"/>
      <c r="G24" s="426"/>
      <c r="H24" s="427"/>
      <c r="I24" s="427"/>
      <c r="J24" s="427"/>
      <c r="K24" s="428"/>
      <c r="L24" s="68"/>
      <c r="M24" s="426"/>
      <c r="N24" s="427"/>
      <c r="O24" s="427"/>
      <c r="P24" s="427"/>
      <c r="Q24" s="428"/>
      <c r="R24" s="67"/>
      <c r="S24" s="426"/>
      <c r="T24" s="427"/>
      <c r="U24" s="427"/>
      <c r="V24" s="427"/>
      <c r="W24" s="428"/>
      <c r="X24" s="67"/>
      <c r="Y24" s="67"/>
      <c r="Z24" s="67"/>
      <c r="AA24" s="67"/>
      <c r="AB24" s="67"/>
      <c r="AC24" s="67"/>
    </row>
    <row r="25" spans="1:29" x14ac:dyDescent="0.25">
      <c r="A25" s="426"/>
      <c r="B25" s="427"/>
      <c r="C25" s="427"/>
      <c r="D25" s="427"/>
      <c r="E25" s="428"/>
      <c r="F25" s="68"/>
      <c r="G25" s="426"/>
      <c r="H25" s="427"/>
      <c r="I25" s="427"/>
      <c r="J25" s="427"/>
      <c r="K25" s="428"/>
      <c r="L25" s="68"/>
      <c r="M25" s="426"/>
      <c r="N25" s="427"/>
      <c r="O25" s="427"/>
      <c r="P25" s="427"/>
      <c r="Q25" s="428"/>
      <c r="R25" s="67"/>
      <c r="S25" s="426"/>
      <c r="T25" s="427"/>
      <c r="U25" s="427"/>
      <c r="V25" s="427"/>
      <c r="W25" s="428"/>
      <c r="X25" s="67"/>
      <c r="Y25" s="67"/>
      <c r="Z25" s="67"/>
      <c r="AA25" s="67"/>
      <c r="AB25" s="67"/>
      <c r="AC25" s="67"/>
    </row>
    <row r="26" spans="1:29" x14ac:dyDescent="0.25">
      <c r="A26" s="426"/>
      <c r="B26" s="427"/>
      <c r="C26" s="427"/>
      <c r="D26" s="427"/>
      <c r="E26" s="428"/>
      <c r="F26" s="68"/>
      <c r="G26" s="426"/>
      <c r="H26" s="427"/>
      <c r="I26" s="427"/>
      <c r="J26" s="427"/>
      <c r="K26" s="428"/>
      <c r="L26" s="68"/>
      <c r="M26" s="426"/>
      <c r="N26" s="427"/>
      <c r="O26" s="427"/>
      <c r="P26" s="427"/>
      <c r="Q26" s="428"/>
      <c r="R26" s="67"/>
      <c r="S26" s="426"/>
      <c r="T26" s="427"/>
      <c r="U26" s="427"/>
      <c r="V26" s="427"/>
      <c r="W26" s="428"/>
      <c r="X26" s="67"/>
      <c r="Y26" s="67"/>
      <c r="Z26" s="67"/>
      <c r="AA26" s="67"/>
      <c r="AB26" s="67"/>
      <c r="AC26" s="67"/>
    </row>
    <row r="27" spans="1:29" x14ac:dyDescent="0.25">
      <c r="A27" s="426"/>
      <c r="B27" s="427"/>
      <c r="C27" s="427"/>
      <c r="D27" s="427"/>
      <c r="E27" s="428"/>
      <c r="F27" s="68"/>
      <c r="G27" s="426"/>
      <c r="H27" s="427"/>
      <c r="I27" s="427"/>
      <c r="J27" s="427"/>
      <c r="K27" s="428"/>
      <c r="L27" s="68"/>
      <c r="M27" s="426"/>
      <c r="N27" s="427"/>
      <c r="O27" s="427"/>
      <c r="P27" s="427"/>
      <c r="Q27" s="428"/>
      <c r="R27" s="67"/>
      <c r="S27" s="426"/>
      <c r="T27" s="427"/>
      <c r="U27" s="427"/>
      <c r="V27" s="427"/>
      <c r="W27" s="428"/>
      <c r="X27" s="67"/>
      <c r="Y27" s="67"/>
      <c r="Z27" s="67"/>
      <c r="AA27" s="67"/>
      <c r="AB27" s="67"/>
      <c r="AC27" s="67"/>
    </row>
    <row r="28" spans="1:29" x14ac:dyDescent="0.25">
      <c r="A28" s="426"/>
      <c r="B28" s="427"/>
      <c r="C28" s="427"/>
      <c r="D28" s="427"/>
      <c r="E28" s="428"/>
      <c r="F28" s="68"/>
      <c r="G28" s="426"/>
      <c r="H28" s="427"/>
      <c r="I28" s="427"/>
      <c r="J28" s="427"/>
      <c r="K28" s="428"/>
      <c r="L28" s="68"/>
      <c r="M28" s="426"/>
      <c r="N28" s="427"/>
      <c r="O28" s="427"/>
      <c r="P28" s="427"/>
      <c r="Q28" s="428"/>
      <c r="R28" s="67"/>
      <c r="S28" s="426"/>
      <c r="T28" s="427"/>
      <c r="U28" s="427"/>
      <c r="V28" s="427"/>
      <c r="W28" s="428"/>
      <c r="X28" s="67"/>
      <c r="Y28" s="67"/>
      <c r="Z28" s="67"/>
      <c r="AA28" s="67"/>
      <c r="AB28" s="67"/>
      <c r="AC28" s="67"/>
    </row>
    <row r="29" spans="1:29" x14ac:dyDescent="0.25">
      <c r="A29" s="426"/>
      <c r="B29" s="427"/>
      <c r="C29" s="427"/>
      <c r="D29" s="427"/>
      <c r="E29" s="428"/>
      <c r="F29" s="68"/>
      <c r="G29" s="426"/>
      <c r="H29" s="427"/>
      <c r="I29" s="427"/>
      <c r="J29" s="427"/>
      <c r="K29" s="428"/>
      <c r="L29" s="68"/>
      <c r="M29" s="426"/>
      <c r="N29" s="427"/>
      <c r="O29" s="427"/>
      <c r="P29" s="427"/>
      <c r="Q29" s="428"/>
      <c r="R29" s="67"/>
      <c r="S29" s="426"/>
      <c r="T29" s="427"/>
      <c r="U29" s="427"/>
      <c r="V29" s="427"/>
      <c r="W29" s="428"/>
      <c r="X29" s="67"/>
      <c r="Y29" s="67"/>
      <c r="Z29" s="67"/>
      <c r="AA29" s="67"/>
      <c r="AB29" s="67"/>
      <c r="AC29" s="67"/>
    </row>
    <row r="30" spans="1:29" x14ac:dyDescent="0.25">
      <c r="A30" s="426"/>
      <c r="B30" s="427"/>
      <c r="C30" s="427"/>
      <c r="D30" s="427"/>
      <c r="E30" s="428"/>
      <c r="F30" s="68"/>
      <c r="G30" s="426"/>
      <c r="H30" s="427"/>
      <c r="I30" s="427"/>
      <c r="J30" s="427"/>
      <c r="K30" s="428"/>
      <c r="L30" s="68"/>
      <c r="M30" s="426"/>
      <c r="N30" s="427"/>
      <c r="O30" s="427"/>
      <c r="P30" s="427"/>
      <c r="Q30" s="428"/>
      <c r="R30" s="67"/>
      <c r="S30" s="426"/>
      <c r="T30" s="427"/>
      <c r="U30" s="427"/>
      <c r="V30" s="427"/>
      <c r="W30" s="428"/>
      <c r="X30" s="67"/>
      <c r="Y30" s="67"/>
      <c r="Z30" s="67"/>
      <c r="AA30" s="67"/>
      <c r="AB30" s="67"/>
      <c r="AC30" s="67"/>
    </row>
    <row r="31" spans="1:29" x14ac:dyDescent="0.25">
      <c r="A31" s="426"/>
      <c r="B31" s="427"/>
      <c r="C31" s="427"/>
      <c r="D31" s="427"/>
      <c r="E31" s="428"/>
      <c r="F31" s="68"/>
      <c r="G31" s="426"/>
      <c r="H31" s="427"/>
      <c r="I31" s="427"/>
      <c r="J31" s="427"/>
      <c r="K31" s="428"/>
      <c r="L31" s="68"/>
      <c r="M31" s="426"/>
      <c r="N31" s="427"/>
      <c r="O31" s="427"/>
      <c r="P31" s="427"/>
      <c r="Q31" s="428"/>
      <c r="R31" s="67"/>
      <c r="S31" s="426"/>
      <c r="T31" s="427"/>
      <c r="U31" s="427"/>
      <c r="V31" s="427"/>
      <c r="W31" s="428"/>
      <c r="X31" s="67"/>
      <c r="Y31" s="67"/>
      <c r="Z31" s="67"/>
      <c r="AA31" s="67"/>
      <c r="AB31" s="67"/>
      <c r="AC31" s="67"/>
    </row>
    <row r="32" spans="1:29" x14ac:dyDescent="0.25">
      <c r="A32" s="426"/>
      <c r="B32" s="427"/>
      <c r="C32" s="427"/>
      <c r="D32" s="427"/>
      <c r="E32" s="428"/>
      <c r="F32" s="68"/>
      <c r="G32" s="426"/>
      <c r="H32" s="427"/>
      <c r="I32" s="427"/>
      <c r="J32" s="427"/>
      <c r="K32" s="428"/>
      <c r="L32" s="68"/>
      <c r="M32" s="426"/>
      <c r="N32" s="427"/>
      <c r="O32" s="427"/>
      <c r="P32" s="427"/>
      <c r="Q32" s="428"/>
      <c r="R32" s="67"/>
      <c r="S32" s="426"/>
      <c r="T32" s="427"/>
      <c r="U32" s="427"/>
      <c r="V32" s="427"/>
      <c r="W32" s="428"/>
      <c r="X32" s="67"/>
      <c r="Y32" s="67"/>
      <c r="Z32" s="67"/>
      <c r="AA32" s="67"/>
      <c r="AB32" s="67"/>
      <c r="AC32" s="67"/>
    </row>
    <row r="33" spans="1:29" x14ac:dyDescent="0.25">
      <c r="A33" s="426"/>
      <c r="B33" s="427"/>
      <c r="C33" s="427"/>
      <c r="D33" s="427"/>
      <c r="E33" s="428"/>
      <c r="F33" s="68"/>
      <c r="G33" s="426"/>
      <c r="H33" s="427"/>
      <c r="I33" s="427"/>
      <c r="J33" s="427"/>
      <c r="K33" s="428"/>
      <c r="L33" s="68"/>
      <c r="M33" s="426"/>
      <c r="N33" s="427"/>
      <c r="O33" s="427"/>
      <c r="P33" s="427"/>
      <c r="Q33" s="428"/>
      <c r="R33" s="67"/>
      <c r="S33" s="426"/>
      <c r="T33" s="427"/>
      <c r="U33" s="427"/>
      <c r="V33" s="427"/>
      <c r="W33" s="428"/>
      <c r="X33" s="67"/>
      <c r="Y33" s="67"/>
      <c r="Z33" s="67"/>
      <c r="AA33" s="67"/>
      <c r="AB33" s="67"/>
      <c r="AC33" s="67"/>
    </row>
    <row r="34" spans="1:29" x14ac:dyDescent="0.25">
      <c r="A34" s="429"/>
      <c r="B34" s="430"/>
      <c r="C34" s="430"/>
      <c r="D34" s="430"/>
      <c r="E34" s="431"/>
      <c r="F34" s="68"/>
      <c r="G34" s="429"/>
      <c r="H34" s="430"/>
      <c r="I34" s="430"/>
      <c r="J34" s="430"/>
      <c r="K34" s="431"/>
      <c r="L34" s="68"/>
      <c r="M34" s="429"/>
      <c r="N34" s="430"/>
      <c r="O34" s="430"/>
      <c r="P34" s="430"/>
      <c r="Q34" s="431"/>
      <c r="R34" s="67"/>
      <c r="S34" s="429"/>
      <c r="T34" s="430"/>
      <c r="U34" s="430"/>
      <c r="V34" s="430"/>
      <c r="W34" s="431"/>
      <c r="X34" s="67"/>
      <c r="Y34" s="67"/>
      <c r="Z34" s="67"/>
      <c r="AA34" s="67"/>
      <c r="AB34" s="67"/>
      <c r="AC34" s="67"/>
    </row>
    <row r="36" spans="1:29" x14ac:dyDescent="0.25">
      <c r="A36" s="420" t="s">
        <v>1101</v>
      </c>
      <c r="B36" s="421"/>
      <c r="C36" s="421"/>
      <c r="D36" s="421"/>
      <c r="E36" s="422"/>
      <c r="F36" s="68"/>
      <c r="G36" s="420" t="s">
        <v>1102</v>
      </c>
      <c r="H36" s="421"/>
      <c r="I36" s="421"/>
      <c r="J36" s="421"/>
      <c r="K36" s="422"/>
      <c r="L36" s="68"/>
      <c r="M36" s="420" t="s">
        <v>1103</v>
      </c>
      <c r="N36" s="421"/>
      <c r="O36" s="421"/>
      <c r="P36" s="421"/>
      <c r="Q36" s="422"/>
      <c r="R36" s="67"/>
      <c r="S36" s="420" t="s">
        <v>1104</v>
      </c>
      <c r="T36" s="421"/>
      <c r="U36" s="421"/>
      <c r="V36" s="421"/>
      <c r="W36" s="422"/>
      <c r="X36" s="67"/>
      <c r="Y36" s="67"/>
      <c r="Z36" s="67"/>
      <c r="AA36" s="67"/>
      <c r="AB36" s="67"/>
      <c r="AC36" s="67"/>
    </row>
    <row r="37" spans="1:29" x14ac:dyDescent="0.25">
      <c r="A37" s="423"/>
      <c r="B37" s="424"/>
      <c r="C37" s="424"/>
      <c r="D37" s="424"/>
      <c r="E37" s="425"/>
      <c r="F37" s="68"/>
      <c r="G37" s="423"/>
      <c r="H37" s="424"/>
      <c r="I37" s="424"/>
      <c r="J37" s="424"/>
      <c r="K37" s="425"/>
      <c r="L37" s="68"/>
      <c r="M37" s="423"/>
      <c r="N37" s="424"/>
      <c r="O37" s="424"/>
      <c r="P37" s="424"/>
      <c r="Q37" s="425"/>
      <c r="R37" s="67"/>
      <c r="S37" s="423"/>
      <c r="T37" s="424"/>
      <c r="U37" s="424"/>
      <c r="V37" s="424"/>
      <c r="W37" s="425"/>
      <c r="X37" s="67"/>
      <c r="Y37" s="67"/>
      <c r="Z37" s="67"/>
      <c r="AA37" s="67"/>
      <c r="AB37" s="67"/>
      <c r="AC37" s="67"/>
    </row>
    <row r="38" spans="1:29" x14ac:dyDescent="0.25">
      <c r="A38" s="426"/>
      <c r="B38" s="427"/>
      <c r="C38" s="427"/>
      <c r="D38" s="427"/>
      <c r="E38" s="428"/>
      <c r="F38" s="68"/>
      <c r="G38" s="426"/>
      <c r="H38" s="427"/>
      <c r="I38" s="427"/>
      <c r="J38" s="427"/>
      <c r="K38" s="428"/>
      <c r="L38" s="68"/>
      <c r="M38" s="426"/>
      <c r="N38" s="427"/>
      <c r="O38" s="427"/>
      <c r="P38" s="427"/>
      <c r="Q38" s="428"/>
      <c r="R38" s="67"/>
      <c r="S38" s="426"/>
      <c r="T38" s="427"/>
      <c r="U38" s="427"/>
      <c r="V38" s="427"/>
      <c r="W38" s="428"/>
      <c r="X38" s="67"/>
      <c r="Y38" s="67"/>
      <c r="Z38" s="67"/>
      <c r="AA38" s="67"/>
      <c r="AB38" s="67"/>
      <c r="AC38" s="67"/>
    </row>
    <row r="39" spans="1:29" x14ac:dyDescent="0.25">
      <c r="A39" s="426"/>
      <c r="B39" s="427"/>
      <c r="C39" s="427"/>
      <c r="D39" s="427"/>
      <c r="E39" s="428"/>
      <c r="F39" s="68"/>
      <c r="G39" s="426"/>
      <c r="H39" s="427"/>
      <c r="I39" s="427"/>
      <c r="J39" s="427"/>
      <c r="K39" s="428"/>
      <c r="L39" s="68"/>
      <c r="M39" s="426"/>
      <c r="N39" s="427"/>
      <c r="O39" s="427"/>
      <c r="P39" s="427"/>
      <c r="Q39" s="428"/>
      <c r="R39" s="67"/>
      <c r="S39" s="426"/>
      <c r="T39" s="427"/>
      <c r="U39" s="427"/>
      <c r="V39" s="427"/>
      <c r="W39" s="428"/>
      <c r="X39" s="67"/>
      <c r="Y39" s="67"/>
      <c r="Z39" s="67"/>
      <c r="AA39" s="67"/>
      <c r="AB39" s="67"/>
      <c r="AC39" s="67"/>
    </row>
    <row r="40" spans="1:29" x14ac:dyDescent="0.25">
      <c r="A40" s="426"/>
      <c r="B40" s="427"/>
      <c r="C40" s="427"/>
      <c r="D40" s="427"/>
      <c r="E40" s="428"/>
      <c r="F40" s="68"/>
      <c r="G40" s="426"/>
      <c r="H40" s="427"/>
      <c r="I40" s="427"/>
      <c r="J40" s="427"/>
      <c r="K40" s="428"/>
      <c r="L40" s="68"/>
      <c r="M40" s="426"/>
      <c r="N40" s="427"/>
      <c r="O40" s="427"/>
      <c r="P40" s="427"/>
      <c r="Q40" s="428"/>
      <c r="R40" s="67"/>
      <c r="S40" s="426"/>
      <c r="T40" s="427"/>
      <c r="U40" s="427"/>
      <c r="V40" s="427"/>
      <c r="W40" s="428"/>
      <c r="X40" s="67"/>
      <c r="Y40" s="67"/>
      <c r="Z40" s="67"/>
      <c r="AA40" s="67"/>
      <c r="AB40" s="67"/>
      <c r="AC40" s="67"/>
    </row>
    <row r="41" spans="1:29" x14ac:dyDescent="0.25">
      <c r="A41" s="426"/>
      <c r="B41" s="427"/>
      <c r="C41" s="427"/>
      <c r="D41" s="427"/>
      <c r="E41" s="428"/>
      <c r="F41" s="68"/>
      <c r="G41" s="426"/>
      <c r="H41" s="427"/>
      <c r="I41" s="427"/>
      <c r="J41" s="427"/>
      <c r="K41" s="428"/>
      <c r="L41" s="68"/>
      <c r="M41" s="426"/>
      <c r="N41" s="427"/>
      <c r="O41" s="427"/>
      <c r="P41" s="427"/>
      <c r="Q41" s="428"/>
      <c r="R41" s="67"/>
      <c r="S41" s="426"/>
      <c r="T41" s="427"/>
      <c r="U41" s="427"/>
      <c r="V41" s="427"/>
      <c r="W41" s="428"/>
      <c r="X41" s="67"/>
      <c r="Y41" s="67"/>
      <c r="Z41" s="67"/>
      <c r="AA41" s="67"/>
      <c r="AB41" s="67"/>
      <c r="AC41" s="67"/>
    </row>
    <row r="42" spans="1:29" x14ac:dyDescent="0.25">
      <c r="A42" s="426"/>
      <c r="B42" s="427"/>
      <c r="C42" s="427"/>
      <c r="D42" s="427"/>
      <c r="E42" s="428"/>
      <c r="F42" s="68"/>
      <c r="G42" s="426"/>
      <c r="H42" s="427"/>
      <c r="I42" s="427"/>
      <c r="J42" s="427"/>
      <c r="K42" s="428"/>
      <c r="L42" s="68"/>
      <c r="M42" s="426"/>
      <c r="N42" s="427"/>
      <c r="O42" s="427"/>
      <c r="P42" s="427"/>
      <c r="Q42" s="428"/>
      <c r="R42" s="67"/>
      <c r="S42" s="426"/>
      <c r="T42" s="427"/>
      <c r="U42" s="427"/>
      <c r="V42" s="427"/>
      <c r="W42" s="428"/>
      <c r="X42" s="67"/>
      <c r="Y42" s="67"/>
      <c r="Z42" s="67"/>
      <c r="AA42" s="67"/>
      <c r="AB42" s="67"/>
      <c r="AC42" s="67"/>
    </row>
    <row r="43" spans="1:29" x14ac:dyDescent="0.25">
      <c r="A43" s="426"/>
      <c r="B43" s="427"/>
      <c r="C43" s="427"/>
      <c r="D43" s="427"/>
      <c r="E43" s="428"/>
      <c r="F43" s="68"/>
      <c r="G43" s="426"/>
      <c r="H43" s="427"/>
      <c r="I43" s="427"/>
      <c r="J43" s="427"/>
      <c r="K43" s="428"/>
      <c r="L43" s="68"/>
      <c r="M43" s="426"/>
      <c r="N43" s="427"/>
      <c r="O43" s="427"/>
      <c r="P43" s="427"/>
      <c r="Q43" s="428"/>
      <c r="R43" s="67"/>
      <c r="S43" s="426"/>
      <c r="T43" s="427"/>
      <c r="U43" s="427"/>
      <c r="V43" s="427"/>
      <c r="W43" s="428"/>
      <c r="X43" s="67"/>
      <c r="Y43" s="67"/>
      <c r="Z43" s="67"/>
      <c r="AA43" s="67"/>
      <c r="AB43" s="67"/>
      <c r="AC43" s="67"/>
    </row>
    <row r="44" spans="1:29" x14ac:dyDescent="0.25">
      <c r="A44" s="426"/>
      <c r="B44" s="427"/>
      <c r="C44" s="427"/>
      <c r="D44" s="427"/>
      <c r="E44" s="428"/>
      <c r="F44" s="68"/>
      <c r="G44" s="426"/>
      <c r="H44" s="427"/>
      <c r="I44" s="427"/>
      <c r="J44" s="427"/>
      <c r="K44" s="428"/>
      <c r="L44" s="68"/>
      <c r="M44" s="426"/>
      <c r="N44" s="427"/>
      <c r="O44" s="427"/>
      <c r="P44" s="427"/>
      <c r="Q44" s="428"/>
      <c r="R44" s="67"/>
      <c r="S44" s="426"/>
      <c r="T44" s="427"/>
      <c r="U44" s="427"/>
      <c r="V44" s="427"/>
      <c r="W44" s="428"/>
      <c r="X44" s="67"/>
      <c r="Y44" s="67"/>
      <c r="Z44" s="67"/>
      <c r="AA44" s="67"/>
      <c r="AB44" s="67"/>
      <c r="AC44" s="67"/>
    </row>
    <row r="45" spans="1:29" x14ac:dyDescent="0.25">
      <c r="A45" s="426"/>
      <c r="B45" s="427"/>
      <c r="C45" s="427"/>
      <c r="D45" s="427"/>
      <c r="E45" s="428"/>
      <c r="F45" s="68"/>
      <c r="G45" s="426"/>
      <c r="H45" s="427"/>
      <c r="I45" s="427"/>
      <c r="J45" s="427"/>
      <c r="K45" s="428"/>
      <c r="L45" s="68"/>
      <c r="M45" s="426"/>
      <c r="N45" s="427"/>
      <c r="O45" s="427"/>
      <c r="P45" s="427"/>
      <c r="Q45" s="428"/>
      <c r="R45" s="67"/>
      <c r="S45" s="426"/>
      <c r="T45" s="427"/>
      <c r="U45" s="427"/>
      <c r="V45" s="427"/>
      <c r="W45" s="428"/>
      <c r="X45" s="67"/>
      <c r="Y45" s="67"/>
      <c r="Z45" s="67"/>
      <c r="AA45" s="67"/>
      <c r="AB45" s="67"/>
      <c r="AC45" s="67"/>
    </row>
    <row r="46" spans="1:29" x14ac:dyDescent="0.25">
      <c r="A46" s="426"/>
      <c r="B46" s="427"/>
      <c r="C46" s="427"/>
      <c r="D46" s="427"/>
      <c r="E46" s="428"/>
      <c r="F46" s="68"/>
      <c r="G46" s="426"/>
      <c r="H46" s="427"/>
      <c r="I46" s="427"/>
      <c r="J46" s="427"/>
      <c r="K46" s="428"/>
      <c r="L46" s="68"/>
      <c r="M46" s="426"/>
      <c r="N46" s="427"/>
      <c r="O46" s="427"/>
      <c r="P46" s="427"/>
      <c r="Q46" s="428"/>
      <c r="R46" s="67"/>
      <c r="S46" s="426"/>
      <c r="T46" s="427"/>
      <c r="U46" s="427"/>
      <c r="V46" s="427"/>
      <c r="W46" s="428"/>
      <c r="X46" s="67"/>
      <c r="Y46" s="67"/>
      <c r="Z46" s="67"/>
      <c r="AA46" s="67"/>
      <c r="AB46" s="67"/>
      <c r="AC46" s="67"/>
    </row>
    <row r="47" spans="1:29" x14ac:dyDescent="0.25">
      <c r="A47" s="426"/>
      <c r="B47" s="427"/>
      <c r="C47" s="427"/>
      <c r="D47" s="427"/>
      <c r="E47" s="428"/>
      <c r="F47" s="68"/>
      <c r="G47" s="426"/>
      <c r="H47" s="427"/>
      <c r="I47" s="427"/>
      <c r="J47" s="427"/>
      <c r="K47" s="428"/>
      <c r="L47" s="68"/>
      <c r="M47" s="426"/>
      <c r="N47" s="427"/>
      <c r="O47" s="427"/>
      <c r="P47" s="427"/>
      <c r="Q47" s="428"/>
      <c r="R47" s="67"/>
      <c r="S47" s="426"/>
      <c r="T47" s="427"/>
      <c r="U47" s="427"/>
      <c r="V47" s="427"/>
      <c r="W47" s="428"/>
      <c r="X47" s="67"/>
      <c r="Y47" s="67"/>
      <c r="Z47" s="67"/>
      <c r="AA47" s="67"/>
      <c r="AB47" s="67"/>
      <c r="AC47" s="67"/>
    </row>
    <row r="48" spans="1:29" x14ac:dyDescent="0.25">
      <c r="A48" s="426"/>
      <c r="B48" s="427"/>
      <c r="C48" s="427"/>
      <c r="D48" s="427"/>
      <c r="E48" s="428"/>
      <c r="F48" s="68"/>
      <c r="G48" s="426"/>
      <c r="H48" s="427"/>
      <c r="I48" s="427"/>
      <c r="J48" s="427"/>
      <c r="K48" s="428"/>
      <c r="L48" s="68"/>
      <c r="M48" s="426"/>
      <c r="N48" s="427"/>
      <c r="O48" s="427"/>
      <c r="P48" s="427"/>
      <c r="Q48" s="428"/>
      <c r="R48" s="67"/>
      <c r="S48" s="426"/>
      <c r="T48" s="427"/>
      <c r="U48" s="427"/>
      <c r="V48" s="427"/>
      <c r="W48" s="428"/>
      <c r="X48" s="67"/>
      <c r="Y48" s="67"/>
      <c r="Z48" s="67"/>
      <c r="AA48" s="67"/>
      <c r="AB48" s="67"/>
      <c r="AC48" s="67"/>
    </row>
    <row r="49" spans="1:29" x14ac:dyDescent="0.25">
      <c r="A49" s="426"/>
      <c r="B49" s="427"/>
      <c r="C49" s="427"/>
      <c r="D49" s="427"/>
      <c r="E49" s="428"/>
      <c r="F49" s="68"/>
      <c r="G49" s="426"/>
      <c r="H49" s="427"/>
      <c r="I49" s="427"/>
      <c r="J49" s="427"/>
      <c r="K49" s="428"/>
      <c r="L49" s="68"/>
      <c r="M49" s="426"/>
      <c r="N49" s="427"/>
      <c r="O49" s="427"/>
      <c r="P49" s="427"/>
      <c r="Q49" s="428"/>
      <c r="R49" s="67"/>
      <c r="S49" s="426"/>
      <c r="T49" s="427"/>
      <c r="U49" s="427"/>
      <c r="V49" s="427"/>
      <c r="W49" s="428"/>
      <c r="X49" s="67"/>
      <c r="Y49" s="67"/>
      <c r="Z49" s="67"/>
      <c r="AA49" s="67"/>
      <c r="AB49" s="67"/>
      <c r="AC49" s="67"/>
    </row>
    <row r="50" spans="1:29" x14ac:dyDescent="0.25">
      <c r="A50" s="429"/>
      <c r="B50" s="430"/>
      <c r="C50" s="430"/>
      <c r="D50" s="430"/>
      <c r="E50" s="431"/>
      <c r="F50" s="68"/>
      <c r="G50" s="429"/>
      <c r="H50" s="430"/>
      <c r="I50" s="430"/>
      <c r="J50" s="430"/>
      <c r="K50" s="431"/>
      <c r="L50" s="68"/>
      <c r="M50" s="429"/>
      <c r="N50" s="430"/>
      <c r="O50" s="430"/>
      <c r="P50" s="430"/>
      <c r="Q50" s="431"/>
      <c r="R50" s="67"/>
      <c r="S50" s="429"/>
      <c r="T50" s="430"/>
      <c r="U50" s="430"/>
      <c r="V50" s="430"/>
      <c r="W50" s="431"/>
      <c r="X50" s="67"/>
      <c r="Y50" s="67"/>
      <c r="Z50" s="67"/>
      <c r="AA50" s="67"/>
      <c r="AB50" s="67"/>
      <c r="AC50" s="67"/>
    </row>
    <row r="51" spans="1:29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</row>
    <row r="52" spans="1:29" x14ac:dyDescent="0.25">
      <c r="A52" s="420" t="s">
        <v>1105</v>
      </c>
      <c r="B52" s="421"/>
      <c r="C52" s="421"/>
      <c r="D52" s="421"/>
      <c r="E52" s="422"/>
      <c r="F52" s="68"/>
      <c r="G52" s="420" t="s">
        <v>1106</v>
      </c>
      <c r="H52" s="421"/>
      <c r="I52" s="421"/>
      <c r="J52" s="421"/>
      <c r="K52" s="422"/>
      <c r="L52" s="68"/>
      <c r="M52" s="420" t="s">
        <v>1107</v>
      </c>
      <c r="N52" s="421"/>
      <c r="O52" s="421"/>
      <c r="P52" s="421"/>
      <c r="Q52" s="422"/>
      <c r="R52" s="67"/>
      <c r="S52" s="420" t="s">
        <v>1108</v>
      </c>
      <c r="T52" s="421"/>
      <c r="U52" s="421"/>
      <c r="V52" s="421"/>
      <c r="W52" s="422"/>
      <c r="X52" s="67"/>
      <c r="Y52" s="67"/>
      <c r="Z52" s="67"/>
      <c r="AA52" s="67"/>
      <c r="AB52" s="67"/>
      <c r="AC52" s="67"/>
    </row>
    <row r="53" spans="1:29" x14ac:dyDescent="0.25">
      <c r="A53" s="423"/>
      <c r="B53" s="424"/>
      <c r="C53" s="424"/>
      <c r="D53" s="424"/>
      <c r="E53" s="425"/>
      <c r="F53" s="68"/>
      <c r="G53" s="423"/>
      <c r="H53" s="424"/>
      <c r="I53" s="424"/>
      <c r="J53" s="424"/>
      <c r="K53" s="425"/>
      <c r="L53" s="68"/>
      <c r="M53" s="423"/>
      <c r="N53" s="424"/>
      <c r="O53" s="424"/>
      <c r="P53" s="424"/>
      <c r="Q53" s="425"/>
      <c r="R53" s="67"/>
      <c r="S53" s="423"/>
      <c r="T53" s="424"/>
      <c r="U53" s="424"/>
      <c r="V53" s="424"/>
      <c r="W53" s="425"/>
      <c r="X53" s="67"/>
      <c r="Y53" s="67"/>
      <c r="Z53" s="67"/>
      <c r="AA53" s="67"/>
      <c r="AB53" s="67"/>
      <c r="AC53" s="67"/>
    </row>
    <row r="54" spans="1:29" x14ac:dyDescent="0.25">
      <c r="A54" s="426"/>
      <c r="B54" s="427"/>
      <c r="C54" s="427"/>
      <c r="D54" s="427"/>
      <c r="E54" s="428"/>
      <c r="F54" s="68"/>
      <c r="G54" s="426"/>
      <c r="H54" s="427"/>
      <c r="I54" s="427"/>
      <c r="J54" s="427"/>
      <c r="K54" s="428"/>
      <c r="L54" s="68"/>
      <c r="M54" s="426"/>
      <c r="N54" s="427"/>
      <c r="O54" s="427"/>
      <c r="P54" s="427"/>
      <c r="Q54" s="428"/>
      <c r="R54" s="67"/>
      <c r="S54" s="426"/>
      <c r="T54" s="427"/>
      <c r="U54" s="427"/>
      <c r="V54" s="427"/>
      <c r="W54" s="428"/>
      <c r="X54" s="67"/>
      <c r="Y54" s="67"/>
      <c r="Z54" s="67"/>
      <c r="AA54" s="67"/>
      <c r="AB54" s="67"/>
      <c r="AC54" s="67"/>
    </row>
    <row r="55" spans="1:29" x14ac:dyDescent="0.25">
      <c r="A55" s="426"/>
      <c r="B55" s="427"/>
      <c r="C55" s="427"/>
      <c r="D55" s="427"/>
      <c r="E55" s="428"/>
      <c r="F55" s="68"/>
      <c r="G55" s="426"/>
      <c r="H55" s="427"/>
      <c r="I55" s="427"/>
      <c r="J55" s="427"/>
      <c r="K55" s="428"/>
      <c r="L55" s="68"/>
      <c r="M55" s="426"/>
      <c r="N55" s="427"/>
      <c r="O55" s="427"/>
      <c r="P55" s="427"/>
      <c r="Q55" s="428"/>
      <c r="R55" s="67"/>
      <c r="S55" s="426"/>
      <c r="T55" s="427"/>
      <c r="U55" s="427"/>
      <c r="V55" s="427"/>
      <c r="W55" s="428"/>
      <c r="X55" s="67"/>
      <c r="Y55" s="67"/>
      <c r="Z55" s="67"/>
      <c r="AA55" s="67"/>
      <c r="AB55" s="67"/>
      <c r="AC55" s="67"/>
    </row>
    <row r="56" spans="1:29" x14ac:dyDescent="0.25">
      <c r="A56" s="426"/>
      <c r="B56" s="427"/>
      <c r="C56" s="427"/>
      <c r="D56" s="427"/>
      <c r="E56" s="428"/>
      <c r="F56" s="68"/>
      <c r="G56" s="426"/>
      <c r="H56" s="427"/>
      <c r="I56" s="427"/>
      <c r="J56" s="427"/>
      <c r="K56" s="428"/>
      <c r="L56" s="68"/>
      <c r="M56" s="426"/>
      <c r="N56" s="427"/>
      <c r="O56" s="427"/>
      <c r="P56" s="427"/>
      <c r="Q56" s="428"/>
      <c r="R56" s="67"/>
      <c r="S56" s="426"/>
      <c r="T56" s="427"/>
      <c r="U56" s="427"/>
      <c r="V56" s="427"/>
      <c r="W56" s="428"/>
      <c r="X56" s="67"/>
      <c r="Y56" s="67"/>
      <c r="Z56" s="67"/>
      <c r="AA56" s="67"/>
      <c r="AB56" s="67"/>
      <c r="AC56" s="67"/>
    </row>
    <row r="57" spans="1:29" x14ac:dyDescent="0.25">
      <c r="A57" s="426"/>
      <c r="B57" s="427"/>
      <c r="C57" s="427"/>
      <c r="D57" s="427"/>
      <c r="E57" s="428"/>
      <c r="F57" s="68"/>
      <c r="G57" s="426"/>
      <c r="H57" s="427"/>
      <c r="I57" s="427"/>
      <c r="J57" s="427"/>
      <c r="K57" s="428"/>
      <c r="L57" s="68"/>
      <c r="M57" s="426"/>
      <c r="N57" s="427"/>
      <c r="O57" s="427"/>
      <c r="P57" s="427"/>
      <c r="Q57" s="428"/>
      <c r="R57" s="67"/>
      <c r="S57" s="426"/>
      <c r="T57" s="427"/>
      <c r="U57" s="427"/>
      <c r="V57" s="427"/>
      <c r="W57" s="428"/>
      <c r="X57" s="67"/>
      <c r="Y57" s="67"/>
      <c r="Z57" s="67"/>
      <c r="AA57" s="67"/>
      <c r="AB57" s="67"/>
      <c r="AC57" s="67"/>
    </row>
    <row r="58" spans="1:29" x14ac:dyDescent="0.25">
      <c r="A58" s="426"/>
      <c r="B58" s="427"/>
      <c r="C58" s="427"/>
      <c r="D58" s="427"/>
      <c r="E58" s="428"/>
      <c r="F58" s="68"/>
      <c r="G58" s="426"/>
      <c r="H58" s="427"/>
      <c r="I58" s="427"/>
      <c r="J58" s="427"/>
      <c r="K58" s="428"/>
      <c r="L58" s="68"/>
      <c r="M58" s="426"/>
      <c r="N58" s="427"/>
      <c r="O58" s="427"/>
      <c r="P58" s="427"/>
      <c r="Q58" s="428"/>
      <c r="R58" s="67"/>
      <c r="S58" s="426"/>
      <c r="T58" s="427"/>
      <c r="U58" s="427"/>
      <c r="V58" s="427"/>
      <c r="W58" s="428"/>
      <c r="X58" s="67"/>
      <c r="Y58" s="67"/>
      <c r="Z58" s="67"/>
      <c r="AA58" s="67"/>
      <c r="AB58" s="67"/>
      <c r="AC58" s="67"/>
    </row>
    <row r="59" spans="1:29" x14ac:dyDescent="0.25">
      <c r="A59" s="426"/>
      <c r="B59" s="427"/>
      <c r="C59" s="427"/>
      <c r="D59" s="427"/>
      <c r="E59" s="428"/>
      <c r="F59" s="68"/>
      <c r="G59" s="426"/>
      <c r="H59" s="427"/>
      <c r="I59" s="427"/>
      <c r="J59" s="427"/>
      <c r="K59" s="428"/>
      <c r="L59" s="68"/>
      <c r="M59" s="426"/>
      <c r="N59" s="427"/>
      <c r="O59" s="427"/>
      <c r="P59" s="427"/>
      <c r="Q59" s="428"/>
      <c r="R59" s="67"/>
      <c r="S59" s="426"/>
      <c r="T59" s="427"/>
      <c r="U59" s="427"/>
      <c r="V59" s="427"/>
      <c r="W59" s="428"/>
      <c r="X59" s="67"/>
      <c r="Y59" s="67"/>
      <c r="Z59" s="67"/>
      <c r="AA59" s="67"/>
      <c r="AB59" s="67"/>
      <c r="AC59" s="67"/>
    </row>
    <row r="60" spans="1:29" x14ac:dyDescent="0.25">
      <c r="A60" s="426"/>
      <c r="B60" s="427"/>
      <c r="C60" s="427"/>
      <c r="D60" s="427"/>
      <c r="E60" s="428"/>
      <c r="F60" s="68"/>
      <c r="G60" s="426"/>
      <c r="H60" s="427"/>
      <c r="I60" s="427"/>
      <c r="J60" s="427"/>
      <c r="K60" s="428"/>
      <c r="L60" s="68"/>
      <c r="M60" s="426"/>
      <c r="N60" s="427"/>
      <c r="O60" s="427"/>
      <c r="P60" s="427"/>
      <c r="Q60" s="428"/>
      <c r="R60" s="67"/>
      <c r="S60" s="426"/>
      <c r="T60" s="427"/>
      <c r="U60" s="427"/>
      <c r="V60" s="427"/>
      <c r="W60" s="428"/>
      <c r="X60" s="67"/>
      <c r="Y60" s="67"/>
      <c r="Z60" s="67"/>
      <c r="AA60" s="67"/>
      <c r="AB60" s="67"/>
      <c r="AC60" s="67"/>
    </row>
    <row r="61" spans="1:29" x14ac:dyDescent="0.25">
      <c r="A61" s="426"/>
      <c r="B61" s="427"/>
      <c r="C61" s="427"/>
      <c r="D61" s="427"/>
      <c r="E61" s="428"/>
      <c r="F61" s="68"/>
      <c r="G61" s="426"/>
      <c r="H61" s="427"/>
      <c r="I61" s="427"/>
      <c r="J61" s="427"/>
      <c r="K61" s="428"/>
      <c r="L61" s="68"/>
      <c r="M61" s="426"/>
      <c r="N61" s="427"/>
      <c r="O61" s="427"/>
      <c r="P61" s="427"/>
      <c r="Q61" s="428"/>
      <c r="R61" s="67"/>
      <c r="S61" s="426"/>
      <c r="T61" s="427"/>
      <c r="U61" s="427"/>
      <c r="V61" s="427"/>
      <c r="W61" s="428"/>
      <c r="X61" s="67"/>
      <c r="Y61" s="67"/>
      <c r="Z61" s="67"/>
      <c r="AA61" s="67"/>
      <c r="AB61" s="67"/>
      <c r="AC61" s="67"/>
    </row>
    <row r="62" spans="1:29" x14ac:dyDescent="0.25">
      <c r="A62" s="426"/>
      <c r="B62" s="427"/>
      <c r="C62" s="427"/>
      <c r="D62" s="427"/>
      <c r="E62" s="428"/>
      <c r="F62" s="68"/>
      <c r="G62" s="426"/>
      <c r="H62" s="427"/>
      <c r="I62" s="427"/>
      <c r="J62" s="427"/>
      <c r="K62" s="428"/>
      <c r="L62" s="68"/>
      <c r="M62" s="426"/>
      <c r="N62" s="427"/>
      <c r="O62" s="427"/>
      <c r="P62" s="427"/>
      <c r="Q62" s="428"/>
      <c r="R62" s="67"/>
      <c r="S62" s="426"/>
      <c r="T62" s="427"/>
      <c r="U62" s="427"/>
      <c r="V62" s="427"/>
      <c r="W62" s="428"/>
      <c r="X62" s="67"/>
      <c r="Y62" s="67"/>
      <c r="Z62" s="67"/>
      <c r="AA62" s="67"/>
      <c r="AB62" s="67"/>
      <c r="AC62" s="67"/>
    </row>
    <row r="63" spans="1:29" x14ac:dyDescent="0.25">
      <c r="A63" s="426"/>
      <c r="B63" s="427"/>
      <c r="C63" s="427"/>
      <c r="D63" s="427"/>
      <c r="E63" s="428"/>
      <c r="F63" s="68"/>
      <c r="G63" s="426"/>
      <c r="H63" s="427"/>
      <c r="I63" s="427"/>
      <c r="J63" s="427"/>
      <c r="K63" s="428"/>
      <c r="L63" s="68"/>
      <c r="M63" s="426"/>
      <c r="N63" s="427"/>
      <c r="O63" s="427"/>
      <c r="P63" s="427"/>
      <c r="Q63" s="428"/>
      <c r="R63" s="67"/>
      <c r="S63" s="426"/>
      <c r="T63" s="427"/>
      <c r="U63" s="427"/>
      <c r="V63" s="427"/>
      <c r="W63" s="428"/>
      <c r="X63" s="67"/>
      <c r="Y63" s="67"/>
      <c r="Z63" s="67"/>
      <c r="AA63" s="67"/>
      <c r="AB63" s="67"/>
      <c r="AC63" s="67"/>
    </row>
    <row r="64" spans="1:29" x14ac:dyDescent="0.25">
      <c r="A64" s="426"/>
      <c r="B64" s="427"/>
      <c r="C64" s="427"/>
      <c r="D64" s="427"/>
      <c r="E64" s="428"/>
      <c r="F64" s="68"/>
      <c r="G64" s="426"/>
      <c r="H64" s="427"/>
      <c r="I64" s="427"/>
      <c r="J64" s="427"/>
      <c r="K64" s="428"/>
      <c r="L64" s="68"/>
      <c r="M64" s="426"/>
      <c r="N64" s="427"/>
      <c r="O64" s="427"/>
      <c r="P64" s="427"/>
      <c r="Q64" s="428"/>
      <c r="R64" s="67"/>
      <c r="S64" s="426"/>
      <c r="T64" s="427"/>
      <c r="U64" s="427"/>
      <c r="V64" s="427"/>
      <c r="W64" s="428"/>
      <c r="X64" s="67"/>
      <c r="Y64" s="67"/>
      <c r="Z64" s="67"/>
      <c r="AA64" s="67"/>
      <c r="AB64" s="67"/>
      <c r="AC64" s="67"/>
    </row>
    <row r="65" spans="1:29" x14ac:dyDescent="0.25">
      <c r="A65" s="426"/>
      <c r="B65" s="427"/>
      <c r="C65" s="427"/>
      <c r="D65" s="427"/>
      <c r="E65" s="428"/>
      <c r="F65" s="68"/>
      <c r="G65" s="426"/>
      <c r="H65" s="427"/>
      <c r="I65" s="427"/>
      <c r="J65" s="427"/>
      <c r="K65" s="428"/>
      <c r="L65" s="68"/>
      <c r="M65" s="426"/>
      <c r="N65" s="427"/>
      <c r="O65" s="427"/>
      <c r="P65" s="427"/>
      <c r="Q65" s="428"/>
      <c r="R65" s="67"/>
      <c r="S65" s="426"/>
      <c r="T65" s="427"/>
      <c r="U65" s="427"/>
      <c r="V65" s="427"/>
      <c r="W65" s="428"/>
      <c r="X65" s="67"/>
      <c r="Y65" s="67"/>
      <c r="Z65" s="67"/>
      <c r="AA65" s="67"/>
      <c r="AB65" s="67"/>
      <c r="AC65" s="67"/>
    </row>
    <row r="66" spans="1:29" x14ac:dyDescent="0.25">
      <c r="A66" s="429"/>
      <c r="B66" s="430"/>
      <c r="C66" s="430"/>
      <c r="D66" s="430"/>
      <c r="E66" s="431"/>
      <c r="F66" s="68"/>
      <c r="G66" s="429"/>
      <c r="H66" s="430"/>
      <c r="I66" s="430"/>
      <c r="J66" s="430"/>
      <c r="K66" s="431"/>
      <c r="L66" s="68"/>
      <c r="M66" s="429"/>
      <c r="N66" s="430"/>
      <c r="O66" s="430"/>
      <c r="P66" s="430"/>
      <c r="Q66" s="431"/>
      <c r="R66" s="67"/>
      <c r="S66" s="429"/>
      <c r="T66" s="430"/>
      <c r="U66" s="430"/>
      <c r="V66" s="430"/>
      <c r="W66" s="431"/>
      <c r="X66" s="67"/>
      <c r="Y66" s="67"/>
      <c r="Z66" s="67"/>
      <c r="AA66" s="67"/>
      <c r="AB66" s="67"/>
      <c r="AC66" s="67"/>
    </row>
    <row r="67" spans="1:29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</row>
  </sheetData>
  <mergeCells count="33">
    <mergeCell ref="A21:E34"/>
    <mergeCell ref="G21:K34"/>
    <mergeCell ref="M21:Q34"/>
    <mergeCell ref="S21:W34"/>
    <mergeCell ref="A52:E52"/>
    <mergeCell ref="G52:K52"/>
    <mergeCell ref="M52:Q52"/>
    <mergeCell ref="S52:W52"/>
    <mergeCell ref="A53:E66"/>
    <mergeCell ref="G53:K66"/>
    <mergeCell ref="M53:Q66"/>
    <mergeCell ref="S53:W66"/>
    <mergeCell ref="A36:E36"/>
    <mergeCell ref="G36:K36"/>
    <mergeCell ref="M36:Q36"/>
    <mergeCell ref="S36:W36"/>
    <mergeCell ref="A37:E50"/>
    <mergeCell ref="G37:K50"/>
    <mergeCell ref="M37:Q50"/>
    <mergeCell ref="S37:W50"/>
    <mergeCell ref="A20:E20"/>
    <mergeCell ref="G20:K20"/>
    <mergeCell ref="M20:Q20"/>
    <mergeCell ref="S20:W20"/>
    <mergeCell ref="J1:N2"/>
    <mergeCell ref="A4:E4"/>
    <mergeCell ref="G4:K4"/>
    <mergeCell ref="M4:Q4"/>
    <mergeCell ref="S4:W4"/>
    <mergeCell ref="A5:E18"/>
    <mergeCell ref="G5:K18"/>
    <mergeCell ref="M5:Q18"/>
    <mergeCell ref="S5:W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5"/>
  <sheetViews>
    <sheetView zoomScale="20" zoomScaleNormal="20" workbookViewId="0">
      <selection activeCell="BD14" sqref="BD14"/>
    </sheetView>
  </sheetViews>
  <sheetFormatPr defaultRowHeight="15" x14ac:dyDescent="0.25"/>
  <sheetData>
    <row r="1" spans="2:14" x14ac:dyDescent="0.25">
      <c r="H1" s="69"/>
      <c r="I1" s="70"/>
    </row>
    <row r="2" spans="2:14" x14ac:dyDescent="0.25">
      <c r="B2" s="466" t="s">
        <v>612</v>
      </c>
      <c r="C2" s="467"/>
      <c r="D2" s="467"/>
      <c r="E2" s="467"/>
      <c r="F2" s="468"/>
      <c r="H2" s="69"/>
      <c r="I2" s="70"/>
      <c r="J2" s="472" t="s">
        <v>613</v>
      </c>
      <c r="K2" s="473"/>
      <c r="L2" s="473"/>
      <c r="M2" s="473"/>
      <c r="N2" s="474"/>
    </row>
    <row r="3" spans="2:14" x14ac:dyDescent="0.25">
      <c r="B3" s="469"/>
      <c r="C3" s="470"/>
      <c r="D3" s="470"/>
      <c r="E3" s="470"/>
      <c r="F3" s="471"/>
      <c r="H3" s="69"/>
      <c r="I3" s="70"/>
      <c r="J3" s="475"/>
      <c r="K3" s="476"/>
      <c r="L3" s="476"/>
      <c r="M3" s="476"/>
      <c r="N3" s="477"/>
    </row>
    <row r="4" spans="2:14" x14ac:dyDescent="0.25">
      <c r="B4" s="71"/>
      <c r="C4" s="72"/>
      <c r="D4" s="73"/>
      <c r="E4" s="72"/>
      <c r="F4" s="74"/>
      <c r="H4" s="69"/>
      <c r="I4" s="70"/>
      <c r="J4" s="478"/>
      <c r="K4" s="479"/>
      <c r="L4" s="479"/>
      <c r="M4" s="479"/>
      <c r="N4" s="480"/>
    </row>
    <row r="5" spans="2:14" x14ac:dyDescent="0.25">
      <c r="H5" s="69"/>
      <c r="I5" s="70"/>
    </row>
    <row r="6" spans="2:14" x14ac:dyDescent="0.25">
      <c r="B6" s="75" t="s">
        <v>614</v>
      </c>
      <c r="C6" s="481" t="s">
        <v>615</v>
      </c>
      <c r="D6" s="482"/>
      <c r="E6" s="456"/>
      <c r="F6" s="456"/>
      <c r="H6" s="69"/>
      <c r="I6" s="70"/>
      <c r="J6" s="457" t="s">
        <v>616</v>
      </c>
      <c r="K6" s="458"/>
      <c r="L6" s="458"/>
      <c r="M6" s="458"/>
      <c r="N6" s="459"/>
    </row>
    <row r="7" spans="2:14" x14ac:dyDescent="0.25">
      <c r="B7" s="483" t="s">
        <v>617</v>
      </c>
      <c r="C7" s="484"/>
      <c r="D7" s="484"/>
      <c r="E7" s="484"/>
      <c r="F7" s="485"/>
      <c r="H7" s="69"/>
      <c r="I7" s="70"/>
      <c r="J7" s="483" t="s">
        <v>617</v>
      </c>
      <c r="K7" s="484"/>
      <c r="L7" s="484"/>
      <c r="M7" s="484"/>
      <c r="N7" s="485"/>
    </row>
    <row r="8" spans="2:14" x14ac:dyDescent="0.25">
      <c r="B8" s="486"/>
      <c r="C8" s="487"/>
      <c r="D8" s="487"/>
      <c r="E8" s="487"/>
      <c r="F8" s="488"/>
      <c r="H8" s="69"/>
      <c r="I8" s="70"/>
      <c r="J8" s="486"/>
      <c r="K8" s="487"/>
      <c r="L8" s="487"/>
      <c r="M8" s="487"/>
      <c r="N8" s="488"/>
    </row>
    <row r="9" spans="2:14" x14ac:dyDescent="0.25">
      <c r="B9" s="486"/>
      <c r="C9" s="487"/>
      <c r="D9" s="487"/>
      <c r="E9" s="487"/>
      <c r="F9" s="488"/>
      <c r="H9" s="69"/>
      <c r="I9" s="70"/>
      <c r="J9" s="486"/>
      <c r="K9" s="487"/>
      <c r="L9" s="487"/>
      <c r="M9" s="487"/>
      <c r="N9" s="488"/>
    </row>
    <row r="10" spans="2:14" x14ac:dyDescent="0.25">
      <c r="B10" s="486"/>
      <c r="C10" s="487"/>
      <c r="D10" s="487"/>
      <c r="E10" s="487"/>
      <c r="F10" s="488"/>
      <c r="H10" s="69"/>
      <c r="I10" s="70"/>
      <c r="J10" s="486"/>
      <c r="K10" s="487"/>
      <c r="L10" s="487"/>
      <c r="M10" s="487"/>
      <c r="N10" s="488"/>
    </row>
    <row r="11" spans="2:14" x14ac:dyDescent="0.25">
      <c r="B11" s="486"/>
      <c r="C11" s="487"/>
      <c r="D11" s="487"/>
      <c r="E11" s="487"/>
      <c r="F11" s="488"/>
      <c r="H11" s="69"/>
      <c r="I11" s="70"/>
      <c r="J11" s="486"/>
      <c r="K11" s="487"/>
      <c r="L11" s="487"/>
      <c r="M11" s="487"/>
      <c r="N11" s="488"/>
    </row>
    <row r="12" spans="2:14" x14ac:dyDescent="0.25">
      <c r="B12" s="486"/>
      <c r="C12" s="487"/>
      <c r="D12" s="487"/>
      <c r="E12" s="487"/>
      <c r="F12" s="488"/>
      <c r="H12" s="69"/>
      <c r="I12" s="70"/>
      <c r="J12" s="486"/>
      <c r="K12" s="487"/>
      <c r="L12" s="487"/>
      <c r="M12" s="487"/>
      <c r="N12" s="488"/>
    </row>
    <row r="13" spans="2:14" x14ac:dyDescent="0.25">
      <c r="B13" s="486"/>
      <c r="C13" s="487"/>
      <c r="D13" s="487"/>
      <c r="E13" s="487"/>
      <c r="F13" s="488"/>
      <c r="H13" s="69"/>
      <c r="I13" s="70"/>
      <c r="J13" s="486"/>
      <c r="K13" s="487"/>
      <c r="L13" s="487"/>
      <c r="M13" s="487"/>
      <c r="N13" s="488"/>
    </row>
    <row r="14" spans="2:14" x14ac:dyDescent="0.25">
      <c r="B14" s="486"/>
      <c r="C14" s="487"/>
      <c r="D14" s="487"/>
      <c r="E14" s="487"/>
      <c r="F14" s="488"/>
      <c r="H14" s="69"/>
      <c r="I14" s="70"/>
      <c r="J14" s="486"/>
      <c r="K14" s="487"/>
      <c r="L14" s="487"/>
      <c r="M14" s="487"/>
      <c r="N14" s="488"/>
    </row>
    <row r="15" spans="2:14" x14ac:dyDescent="0.25">
      <c r="B15" s="486"/>
      <c r="C15" s="487"/>
      <c r="D15" s="487"/>
      <c r="E15" s="487"/>
      <c r="F15" s="488"/>
      <c r="H15" s="69"/>
      <c r="I15" s="70"/>
      <c r="J15" s="486"/>
      <c r="K15" s="487"/>
      <c r="L15" s="487"/>
      <c r="M15" s="487"/>
      <c r="N15" s="488"/>
    </row>
    <row r="16" spans="2:14" x14ac:dyDescent="0.25">
      <c r="B16" s="486"/>
      <c r="C16" s="487"/>
      <c r="D16" s="487"/>
      <c r="E16" s="487"/>
      <c r="F16" s="488"/>
      <c r="H16" s="69"/>
      <c r="I16" s="70"/>
      <c r="J16" s="486"/>
      <c r="K16" s="487"/>
      <c r="L16" s="487"/>
      <c r="M16" s="487"/>
      <c r="N16" s="488"/>
    </row>
    <row r="17" spans="2:14" x14ac:dyDescent="0.25">
      <c r="B17" s="486"/>
      <c r="C17" s="487"/>
      <c r="D17" s="487"/>
      <c r="E17" s="487"/>
      <c r="F17" s="488"/>
      <c r="H17" s="69"/>
      <c r="I17" s="70"/>
      <c r="J17" s="486"/>
      <c r="K17" s="487"/>
      <c r="L17" s="487"/>
      <c r="M17" s="487"/>
      <c r="N17" s="488"/>
    </row>
    <row r="18" spans="2:14" x14ac:dyDescent="0.25">
      <c r="B18" s="486"/>
      <c r="C18" s="487"/>
      <c r="D18" s="487"/>
      <c r="E18" s="487"/>
      <c r="F18" s="488"/>
      <c r="H18" s="69"/>
      <c r="I18" s="70"/>
      <c r="J18" s="486"/>
      <c r="K18" s="487"/>
      <c r="L18" s="487"/>
      <c r="M18" s="487"/>
      <c r="N18" s="488"/>
    </row>
    <row r="19" spans="2:14" x14ac:dyDescent="0.25">
      <c r="B19" s="486"/>
      <c r="C19" s="487"/>
      <c r="D19" s="487"/>
      <c r="E19" s="487"/>
      <c r="F19" s="488"/>
      <c r="H19" s="69"/>
      <c r="I19" s="70"/>
      <c r="J19" s="486"/>
      <c r="K19" s="487"/>
      <c r="L19" s="487"/>
      <c r="M19" s="487"/>
      <c r="N19" s="488"/>
    </row>
    <row r="20" spans="2:14" x14ac:dyDescent="0.25">
      <c r="B20" s="489"/>
      <c r="C20" s="490"/>
      <c r="D20" s="490"/>
      <c r="E20" s="490"/>
      <c r="F20" s="491"/>
      <c r="H20" s="69"/>
      <c r="I20" s="70"/>
      <c r="J20" s="489"/>
      <c r="K20" s="490"/>
      <c r="L20" s="490"/>
      <c r="M20" s="490"/>
      <c r="N20" s="491"/>
    </row>
    <row r="21" spans="2:14" x14ac:dyDescent="0.25">
      <c r="H21" s="69"/>
      <c r="I21" s="70"/>
    </row>
    <row r="22" spans="2:14" x14ac:dyDescent="0.25">
      <c r="H22" s="69"/>
      <c r="I22" s="70"/>
    </row>
    <row r="23" spans="2:14" x14ac:dyDescent="0.25">
      <c r="B23" s="456" t="s">
        <v>618</v>
      </c>
      <c r="C23" s="456"/>
      <c r="D23" s="456"/>
      <c r="E23" s="456"/>
      <c r="F23" s="456"/>
      <c r="H23" s="69"/>
      <c r="I23" s="70"/>
      <c r="J23" s="457" t="s">
        <v>618</v>
      </c>
      <c r="K23" s="458"/>
      <c r="L23" s="458"/>
      <c r="M23" s="458"/>
      <c r="N23" s="459"/>
    </row>
    <row r="24" spans="2:14" x14ac:dyDescent="0.25">
      <c r="B24" s="460" t="s">
        <v>1120</v>
      </c>
      <c r="C24" s="461"/>
      <c r="D24" s="461"/>
      <c r="E24" s="461"/>
      <c r="F24" s="462"/>
      <c r="H24" s="69"/>
      <c r="I24" s="70"/>
      <c r="J24" s="460" t="s">
        <v>1117</v>
      </c>
      <c r="K24" s="461"/>
      <c r="L24" s="461"/>
      <c r="M24" s="461"/>
      <c r="N24" s="462"/>
    </row>
    <row r="25" spans="2:14" x14ac:dyDescent="0.25">
      <c r="B25" s="463"/>
      <c r="C25" s="464"/>
      <c r="D25" s="464"/>
      <c r="E25" s="464"/>
      <c r="F25" s="465"/>
      <c r="H25" s="69"/>
      <c r="I25" s="70"/>
      <c r="J25" s="463"/>
      <c r="K25" s="464"/>
      <c r="L25" s="464"/>
      <c r="M25" s="464"/>
      <c r="N25" s="465"/>
    </row>
    <row r="26" spans="2:14" x14ac:dyDescent="0.25">
      <c r="H26" s="69"/>
      <c r="I26" s="70"/>
    </row>
    <row r="27" spans="2:14" x14ac:dyDescent="0.25">
      <c r="H27" s="69"/>
      <c r="I27" s="70"/>
    </row>
    <row r="28" spans="2:14" x14ac:dyDescent="0.25">
      <c r="H28" s="69"/>
      <c r="I28" s="70"/>
    </row>
    <row r="29" spans="2:14" x14ac:dyDescent="0.25">
      <c r="H29" s="69"/>
      <c r="I29" s="70"/>
    </row>
    <row r="30" spans="2:14" x14ac:dyDescent="0.25">
      <c r="B30" s="75" t="s">
        <v>619</v>
      </c>
      <c r="C30" s="481" t="s">
        <v>615</v>
      </c>
      <c r="D30" s="482"/>
      <c r="E30" s="456"/>
      <c r="F30" s="456"/>
      <c r="H30" s="69"/>
      <c r="I30" s="70"/>
      <c r="J30" s="457" t="s">
        <v>620</v>
      </c>
      <c r="K30" s="458"/>
      <c r="L30" s="458"/>
      <c r="M30" s="458"/>
      <c r="N30" s="459"/>
    </row>
    <row r="31" spans="2:14" x14ac:dyDescent="0.25">
      <c r="B31" s="483" t="s">
        <v>617</v>
      </c>
      <c r="C31" s="484"/>
      <c r="D31" s="484"/>
      <c r="E31" s="484"/>
      <c r="F31" s="485"/>
      <c r="H31" s="69"/>
      <c r="I31" s="70"/>
      <c r="J31" s="483" t="s">
        <v>617</v>
      </c>
      <c r="K31" s="484"/>
      <c r="L31" s="484"/>
      <c r="M31" s="484"/>
      <c r="N31" s="485"/>
    </row>
    <row r="32" spans="2:14" x14ac:dyDescent="0.25">
      <c r="B32" s="486"/>
      <c r="C32" s="487"/>
      <c r="D32" s="487"/>
      <c r="E32" s="487"/>
      <c r="F32" s="488"/>
      <c r="H32" s="69"/>
      <c r="I32" s="70"/>
      <c r="J32" s="486"/>
      <c r="K32" s="487"/>
      <c r="L32" s="487"/>
      <c r="M32" s="487"/>
      <c r="N32" s="488"/>
    </row>
    <row r="33" spans="2:14" x14ac:dyDescent="0.25">
      <c r="B33" s="486"/>
      <c r="C33" s="487"/>
      <c r="D33" s="487"/>
      <c r="E33" s="487"/>
      <c r="F33" s="488"/>
      <c r="H33" s="69"/>
      <c r="I33" s="70"/>
      <c r="J33" s="486"/>
      <c r="K33" s="487"/>
      <c r="L33" s="487"/>
      <c r="M33" s="487"/>
      <c r="N33" s="488"/>
    </row>
    <row r="34" spans="2:14" x14ac:dyDescent="0.25">
      <c r="B34" s="486"/>
      <c r="C34" s="487"/>
      <c r="D34" s="487"/>
      <c r="E34" s="487"/>
      <c r="F34" s="488"/>
      <c r="H34" s="69"/>
      <c r="I34" s="70"/>
      <c r="J34" s="486"/>
      <c r="K34" s="487"/>
      <c r="L34" s="487"/>
      <c r="M34" s="487"/>
      <c r="N34" s="488"/>
    </row>
    <row r="35" spans="2:14" x14ac:dyDescent="0.25">
      <c r="B35" s="486"/>
      <c r="C35" s="487"/>
      <c r="D35" s="487"/>
      <c r="E35" s="487"/>
      <c r="F35" s="488"/>
      <c r="H35" s="69"/>
      <c r="I35" s="70"/>
      <c r="J35" s="486"/>
      <c r="K35" s="487"/>
      <c r="L35" s="487"/>
      <c r="M35" s="487"/>
      <c r="N35" s="488"/>
    </row>
    <row r="36" spans="2:14" x14ac:dyDescent="0.25">
      <c r="B36" s="486"/>
      <c r="C36" s="487"/>
      <c r="D36" s="487"/>
      <c r="E36" s="487"/>
      <c r="F36" s="488"/>
      <c r="H36" s="69"/>
      <c r="I36" s="70"/>
      <c r="J36" s="486"/>
      <c r="K36" s="487"/>
      <c r="L36" s="487"/>
      <c r="M36" s="487"/>
      <c r="N36" s="488"/>
    </row>
    <row r="37" spans="2:14" x14ac:dyDescent="0.25">
      <c r="B37" s="486"/>
      <c r="C37" s="487"/>
      <c r="D37" s="487"/>
      <c r="E37" s="487"/>
      <c r="F37" s="488"/>
      <c r="H37" s="69"/>
      <c r="I37" s="70"/>
      <c r="J37" s="486"/>
      <c r="K37" s="487"/>
      <c r="L37" s="487"/>
      <c r="M37" s="487"/>
      <c r="N37" s="488"/>
    </row>
    <row r="38" spans="2:14" x14ac:dyDescent="0.25">
      <c r="B38" s="486"/>
      <c r="C38" s="487"/>
      <c r="D38" s="487"/>
      <c r="E38" s="487"/>
      <c r="F38" s="488"/>
      <c r="H38" s="69"/>
      <c r="I38" s="70"/>
      <c r="J38" s="486"/>
      <c r="K38" s="487"/>
      <c r="L38" s="487"/>
      <c r="M38" s="487"/>
      <c r="N38" s="488"/>
    </row>
    <row r="39" spans="2:14" x14ac:dyDescent="0.25">
      <c r="B39" s="486"/>
      <c r="C39" s="487"/>
      <c r="D39" s="487"/>
      <c r="E39" s="487"/>
      <c r="F39" s="488"/>
      <c r="H39" s="69"/>
      <c r="I39" s="70"/>
      <c r="J39" s="486"/>
      <c r="K39" s="487"/>
      <c r="L39" s="487"/>
      <c r="M39" s="487"/>
      <c r="N39" s="488"/>
    </row>
    <row r="40" spans="2:14" x14ac:dyDescent="0.25">
      <c r="B40" s="486"/>
      <c r="C40" s="487"/>
      <c r="D40" s="487"/>
      <c r="E40" s="487"/>
      <c r="F40" s="488"/>
      <c r="H40" s="69"/>
      <c r="I40" s="70"/>
      <c r="J40" s="486"/>
      <c r="K40" s="487"/>
      <c r="L40" s="487"/>
      <c r="M40" s="487"/>
      <c r="N40" s="488"/>
    </row>
    <row r="41" spans="2:14" x14ac:dyDescent="0.25">
      <c r="B41" s="486"/>
      <c r="C41" s="487"/>
      <c r="D41" s="487"/>
      <c r="E41" s="487"/>
      <c r="F41" s="488"/>
      <c r="H41" s="69"/>
      <c r="I41" s="70"/>
      <c r="J41" s="486"/>
      <c r="K41" s="487"/>
      <c r="L41" s="487"/>
      <c r="M41" s="487"/>
      <c r="N41" s="488"/>
    </row>
    <row r="42" spans="2:14" x14ac:dyDescent="0.25">
      <c r="B42" s="486"/>
      <c r="C42" s="487"/>
      <c r="D42" s="487"/>
      <c r="E42" s="487"/>
      <c r="F42" s="488"/>
      <c r="H42" s="69"/>
      <c r="I42" s="70"/>
      <c r="J42" s="486"/>
      <c r="K42" s="487"/>
      <c r="L42" s="487"/>
      <c r="M42" s="487"/>
      <c r="N42" s="488"/>
    </row>
    <row r="43" spans="2:14" x14ac:dyDescent="0.25">
      <c r="B43" s="486"/>
      <c r="C43" s="487"/>
      <c r="D43" s="487"/>
      <c r="E43" s="487"/>
      <c r="F43" s="488"/>
      <c r="H43" s="69"/>
      <c r="I43" s="70"/>
      <c r="J43" s="486"/>
      <c r="K43" s="487"/>
      <c r="L43" s="487"/>
      <c r="M43" s="487"/>
      <c r="N43" s="488"/>
    </row>
    <row r="44" spans="2:14" x14ac:dyDescent="0.25">
      <c r="B44" s="489"/>
      <c r="C44" s="490"/>
      <c r="D44" s="490"/>
      <c r="E44" s="490"/>
      <c r="F44" s="491"/>
      <c r="H44" s="69"/>
      <c r="I44" s="70"/>
      <c r="J44" s="489"/>
      <c r="K44" s="490"/>
      <c r="L44" s="490"/>
      <c r="M44" s="490"/>
      <c r="N44" s="491"/>
    </row>
    <row r="45" spans="2:14" x14ac:dyDescent="0.25">
      <c r="H45" s="69"/>
      <c r="I45" s="70"/>
    </row>
    <row r="46" spans="2:14" x14ac:dyDescent="0.25">
      <c r="H46" s="69"/>
      <c r="I46" s="70"/>
    </row>
    <row r="47" spans="2:14" x14ac:dyDescent="0.25">
      <c r="B47" s="456" t="s">
        <v>618</v>
      </c>
      <c r="C47" s="456"/>
      <c r="D47" s="456"/>
      <c r="E47" s="456"/>
      <c r="F47" s="456"/>
      <c r="H47" s="69"/>
      <c r="I47" s="70"/>
      <c r="J47" s="457" t="s">
        <v>618</v>
      </c>
      <c r="K47" s="458"/>
      <c r="L47" s="458"/>
      <c r="M47" s="458"/>
      <c r="N47" s="459"/>
    </row>
    <row r="48" spans="2:14" x14ac:dyDescent="0.25">
      <c r="B48" s="460" t="s">
        <v>1128</v>
      </c>
      <c r="C48" s="461"/>
      <c r="D48" s="461"/>
      <c r="E48" s="461"/>
      <c r="F48" s="462"/>
      <c r="H48" s="69"/>
      <c r="I48" s="70"/>
      <c r="J48" s="460" t="s">
        <v>1117</v>
      </c>
      <c r="K48" s="461"/>
      <c r="L48" s="461"/>
      <c r="M48" s="461"/>
      <c r="N48" s="462"/>
    </row>
    <row r="49" spans="2:14" x14ac:dyDescent="0.25">
      <c r="B49" s="463"/>
      <c r="C49" s="464"/>
      <c r="D49" s="464"/>
      <c r="E49" s="464"/>
      <c r="F49" s="465"/>
      <c r="H49" s="69"/>
      <c r="I49" s="70"/>
      <c r="J49" s="463"/>
      <c r="K49" s="464"/>
      <c r="L49" s="464"/>
      <c r="M49" s="464"/>
      <c r="N49" s="465"/>
    </row>
    <row r="50" spans="2:14" x14ac:dyDescent="0.25">
      <c r="H50" s="69"/>
      <c r="I50" s="70"/>
    </row>
    <row r="51" spans="2:14" x14ac:dyDescent="0.25">
      <c r="H51" s="69"/>
      <c r="I51" s="70"/>
    </row>
    <row r="52" spans="2:14" x14ac:dyDescent="0.25">
      <c r="H52" s="69"/>
      <c r="I52" s="70"/>
    </row>
    <row r="53" spans="2:14" x14ac:dyDescent="0.25">
      <c r="H53" s="69"/>
      <c r="I53" s="70"/>
    </row>
    <row r="54" spans="2:14" x14ac:dyDescent="0.25">
      <c r="B54" s="75" t="s">
        <v>621</v>
      </c>
      <c r="C54" s="481" t="s">
        <v>615</v>
      </c>
      <c r="D54" s="482"/>
      <c r="E54" s="456"/>
      <c r="F54" s="456"/>
      <c r="H54" s="69"/>
      <c r="I54" s="70"/>
      <c r="J54" s="457" t="s">
        <v>622</v>
      </c>
      <c r="K54" s="458"/>
      <c r="L54" s="458"/>
      <c r="M54" s="458"/>
      <c r="N54" s="459"/>
    </row>
    <row r="55" spans="2:14" x14ac:dyDescent="0.25">
      <c r="B55" s="483" t="s">
        <v>617</v>
      </c>
      <c r="C55" s="484"/>
      <c r="D55" s="484"/>
      <c r="E55" s="484"/>
      <c r="F55" s="485"/>
      <c r="H55" s="69"/>
      <c r="I55" s="70"/>
      <c r="J55" s="483" t="s">
        <v>617</v>
      </c>
      <c r="K55" s="484"/>
      <c r="L55" s="484"/>
      <c r="M55" s="484"/>
      <c r="N55" s="485"/>
    </row>
    <row r="56" spans="2:14" x14ac:dyDescent="0.25">
      <c r="B56" s="486"/>
      <c r="C56" s="487"/>
      <c r="D56" s="487"/>
      <c r="E56" s="487"/>
      <c r="F56" s="488"/>
      <c r="H56" s="69"/>
      <c r="I56" s="70"/>
      <c r="J56" s="486"/>
      <c r="K56" s="487"/>
      <c r="L56" s="487"/>
      <c r="M56" s="487"/>
      <c r="N56" s="488"/>
    </row>
    <row r="57" spans="2:14" x14ac:dyDescent="0.25">
      <c r="B57" s="486"/>
      <c r="C57" s="487"/>
      <c r="D57" s="487"/>
      <c r="E57" s="487"/>
      <c r="F57" s="488"/>
      <c r="H57" s="69"/>
      <c r="I57" s="70"/>
      <c r="J57" s="486"/>
      <c r="K57" s="487"/>
      <c r="L57" s="487"/>
      <c r="M57" s="487"/>
      <c r="N57" s="488"/>
    </row>
    <row r="58" spans="2:14" x14ac:dyDescent="0.25">
      <c r="B58" s="486"/>
      <c r="C58" s="487"/>
      <c r="D58" s="487"/>
      <c r="E58" s="487"/>
      <c r="F58" s="488"/>
      <c r="H58" s="69"/>
      <c r="I58" s="70"/>
      <c r="J58" s="486"/>
      <c r="K58" s="487"/>
      <c r="L58" s="487"/>
      <c r="M58" s="487"/>
      <c r="N58" s="488"/>
    </row>
    <row r="59" spans="2:14" x14ac:dyDescent="0.25">
      <c r="B59" s="486"/>
      <c r="C59" s="487"/>
      <c r="D59" s="487"/>
      <c r="E59" s="487"/>
      <c r="F59" s="488"/>
      <c r="H59" s="69"/>
      <c r="I59" s="70"/>
      <c r="J59" s="486"/>
      <c r="K59" s="487"/>
      <c r="L59" s="487"/>
      <c r="M59" s="487"/>
      <c r="N59" s="488"/>
    </row>
    <row r="60" spans="2:14" x14ac:dyDescent="0.25">
      <c r="B60" s="486"/>
      <c r="C60" s="487"/>
      <c r="D60" s="487"/>
      <c r="E60" s="487"/>
      <c r="F60" s="488"/>
      <c r="H60" s="69"/>
      <c r="I60" s="70"/>
      <c r="J60" s="486"/>
      <c r="K60" s="487"/>
      <c r="L60" s="487"/>
      <c r="M60" s="487"/>
      <c r="N60" s="488"/>
    </row>
    <row r="61" spans="2:14" x14ac:dyDescent="0.25">
      <c r="B61" s="486"/>
      <c r="C61" s="487"/>
      <c r="D61" s="487"/>
      <c r="E61" s="487"/>
      <c r="F61" s="488"/>
      <c r="H61" s="69"/>
      <c r="I61" s="70"/>
      <c r="J61" s="486"/>
      <c r="K61" s="487"/>
      <c r="L61" s="487"/>
      <c r="M61" s="487"/>
      <c r="N61" s="488"/>
    </row>
    <row r="62" spans="2:14" x14ac:dyDescent="0.25">
      <c r="B62" s="486"/>
      <c r="C62" s="487"/>
      <c r="D62" s="487"/>
      <c r="E62" s="487"/>
      <c r="F62" s="488"/>
      <c r="H62" s="69"/>
      <c r="I62" s="70"/>
      <c r="J62" s="486"/>
      <c r="K62" s="487"/>
      <c r="L62" s="487"/>
      <c r="M62" s="487"/>
      <c r="N62" s="488"/>
    </row>
    <row r="63" spans="2:14" x14ac:dyDescent="0.25">
      <c r="B63" s="486"/>
      <c r="C63" s="487"/>
      <c r="D63" s="487"/>
      <c r="E63" s="487"/>
      <c r="F63" s="488"/>
      <c r="H63" s="69"/>
      <c r="I63" s="70"/>
      <c r="J63" s="486"/>
      <c r="K63" s="487"/>
      <c r="L63" s="487"/>
      <c r="M63" s="487"/>
      <c r="N63" s="488"/>
    </row>
    <row r="64" spans="2:14" x14ac:dyDescent="0.25">
      <c r="B64" s="486"/>
      <c r="C64" s="487"/>
      <c r="D64" s="487"/>
      <c r="E64" s="487"/>
      <c r="F64" s="488"/>
      <c r="H64" s="69"/>
      <c r="I64" s="70"/>
      <c r="J64" s="486"/>
      <c r="K64" s="487"/>
      <c r="L64" s="487"/>
      <c r="M64" s="487"/>
      <c r="N64" s="488"/>
    </row>
    <row r="65" spans="2:14" x14ac:dyDescent="0.25">
      <c r="B65" s="486"/>
      <c r="C65" s="487"/>
      <c r="D65" s="487"/>
      <c r="E65" s="487"/>
      <c r="F65" s="488"/>
      <c r="H65" s="69"/>
      <c r="I65" s="70"/>
      <c r="J65" s="486"/>
      <c r="K65" s="487"/>
      <c r="L65" s="487"/>
      <c r="M65" s="487"/>
      <c r="N65" s="488"/>
    </row>
    <row r="66" spans="2:14" x14ac:dyDescent="0.25">
      <c r="B66" s="486"/>
      <c r="C66" s="487"/>
      <c r="D66" s="487"/>
      <c r="E66" s="487"/>
      <c r="F66" s="488"/>
      <c r="H66" s="69"/>
      <c r="I66" s="70"/>
      <c r="J66" s="486"/>
      <c r="K66" s="487"/>
      <c r="L66" s="487"/>
      <c r="M66" s="487"/>
      <c r="N66" s="488"/>
    </row>
    <row r="67" spans="2:14" x14ac:dyDescent="0.25">
      <c r="B67" s="486"/>
      <c r="C67" s="487"/>
      <c r="D67" s="487"/>
      <c r="E67" s="487"/>
      <c r="F67" s="488"/>
      <c r="H67" s="69"/>
      <c r="I67" s="70"/>
      <c r="J67" s="486"/>
      <c r="K67" s="487"/>
      <c r="L67" s="487"/>
      <c r="M67" s="487"/>
      <c r="N67" s="488"/>
    </row>
    <row r="68" spans="2:14" x14ac:dyDescent="0.25">
      <c r="B68" s="489"/>
      <c r="C68" s="490"/>
      <c r="D68" s="490"/>
      <c r="E68" s="490"/>
      <c r="F68" s="491"/>
      <c r="H68" s="69"/>
      <c r="I68" s="70"/>
      <c r="J68" s="489"/>
      <c r="K68" s="490"/>
      <c r="L68" s="490"/>
      <c r="M68" s="490"/>
      <c r="N68" s="491"/>
    </row>
    <row r="69" spans="2:14" x14ac:dyDescent="0.25">
      <c r="H69" s="69"/>
      <c r="I69" s="70"/>
    </row>
    <row r="70" spans="2:14" x14ac:dyDescent="0.25">
      <c r="H70" s="69"/>
      <c r="I70" s="70"/>
    </row>
    <row r="71" spans="2:14" x14ac:dyDescent="0.25">
      <c r="B71" s="456" t="s">
        <v>618</v>
      </c>
      <c r="C71" s="456"/>
      <c r="D71" s="456"/>
      <c r="E71" s="456"/>
      <c r="F71" s="456"/>
      <c r="H71" s="69"/>
      <c r="I71" s="70"/>
      <c r="J71" s="457" t="s">
        <v>618</v>
      </c>
      <c r="K71" s="458"/>
      <c r="L71" s="458"/>
      <c r="M71" s="458"/>
      <c r="N71" s="459"/>
    </row>
    <row r="72" spans="2:14" ht="14.45" customHeight="1" x14ac:dyDescent="0.25">
      <c r="B72" s="460" t="s">
        <v>1120</v>
      </c>
      <c r="C72" s="461"/>
      <c r="D72" s="461"/>
      <c r="E72" s="461"/>
      <c r="F72" s="462"/>
      <c r="H72" s="69"/>
      <c r="I72" s="70"/>
      <c r="J72" s="460" t="s">
        <v>1117</v>
      </c>
      <c r="K72" s="461"/>
      <c r="L72" s="461"/>
      <c r="M72" s="461"/>
      <c r="N72" s="462"/>
    </row>
    <row r="73" spans="2:14" x14ac:dyDescent="0.25">
      <c r="B73" s="463"/>
      <c r="C73" s="464"/>
      <c r="D73" s="464"/>
      <c r="E73" s="464"/>
      <c r="F73" s="465"/>
      <c r="H73" s="69"/>
      <c r="I73" s="70"/>
      <c r="J73" s="463"/>
      <c r="K73" s="464"/>
      <c r="L73" s="464"/>
      <c r="M73" s="464"/>
      <c r="N73" s="465"/>
    </row>
    <row r="74" spans="2:14" x14ac:dyDescent="0.25">
      <c r="H74" s="69"/>
      <c r="I74" s="70"/>
    </row>
    <row r="75" spans="2:14" x14ac:dyDescent="0.25">
      <c r="H75" s="69"/>
      <c r="I75" s="70"/>
    </row>
    <row r="76" spans="2:14" x14ac:dyDescent="0.25">
      <c r="H76" s="69"/>
      <c r="I76" s="70"/>
    </row>
    <row r="77" spans="2:14" x14ac:dyDescent="0.25">
      <c r="H77" s="69"/>
      <c r="I77" s="70"/>
    </row>
    <row r="78" spans="2:14" x14ac:dyDescent="0.25">
      <c r="B78" s="75" t="s">
        <v>623</v>
      </c>
      <c r="C78" s="481" t="s">
        <v>615</v>
      </c>
      <c r="D78" s="482"/>
      <c r="E78" s="456"/>
      <c r="F78" s="456"/>
      <c r="H78" s="69"/>
      <c r="I78" s="70"/>
      <c r="J78" s="457" t="s">
        <v>624</v>
      </c>
      <c r="K78" s="458"/>
      <c r="L78" s="458"/>
      <c r="M78" s="458"/>
      <c r="N78" s="459"/>
    </row>
    <row r="79" spans="2:14" x14ac:dyDescent="0.25">
      <c r="B79" s="483" t="s">
        <v>617</v>
      </c>
      <c r="C79" s="484"/>
      <c r="D79" s="484"/>
      <c r="E79" s="484"/>
      <c r="F79" s="485"/>
      <c r="H79" s="69"/>
      <c r="I79" s="70"/>
      <c r="J79" s="483" t="s">
        <v>617</v>
      </c>
      <c r="K79" s="484"/>
      <c r="L79" s="484"/>
      <c r="M79" s="484"/>
      <c r="N79" s="485"/>
    </row>
    <row r="80" spans="2:14" x14ac:dyDescent="0.25">
      <c r="B80" s="486"/>
      <c r="C80" s="487"/>
      <c r="D80" s="487"/>
      <c r="E80" s="487"/>
      <c r="F80" s="488"/>
      <c r="H80" s="69"/>
      <c r="I80" s="70"/>
      <c r="J80" s="486"/>
      <c r="K80" s="487"/>
      <c r="L80" s="487"/>
      <c r="M80" s="487"/>
      <c r="N80" s="488"/>
    </row>
    <row r="81" spans="2:14" x14ac:dyDescent="0.25">
      <c r="B81" s="486"/>
      <c r="C81" s="487"/>
      <c r="D81" s="487"/>
      <c r="E81" s="487"/>
      <c r="F81" s="488"/>
      <c r="H81" s="69"/>
      <c r="I81" s="70"/>
      <c r="J81" s="486"/>
      <c r="K81" s="487"/>
      <c r="L81" s="487"/>
      <c r="M81" s="487"/>
      <c r="N81" s="488"/>
    </row>
    <row r="82" spans="2:14" x14ac:dyDescent="0.25">
      <c r="B82" s="486"/>
      <c r="C82" s="487"/>
      <c r="D82" s="487"/>
      <c r="E82" s="487"/>
      <c r="F82" s="488"/>
      <c r="H82" s="69"/>
      <c r="I82" s="70"/>
      <c r="J82" s="486"/>
      <c r="K82" s="487"/>
      <c r="L82" s="487"/>
      <c r="M82" s="487"/>
      <c r="N82" s="488"/>
    </row>
    <row r="83" spans="2:14" x14ac:dyDescent="0.25">
      <c r="B83" s="486"/>
      <c r="C83" s="487"/>
      <c r="D83" s="487"/>
      <c r="E83" s="487"/>
      <c r="F83" s="488"/>
      <c r="H83" s="69"/>
      <c r="I83" s="70"/>
      <c r="J83" s="486"/>
      <c r="K83" s="487"/>
      <c r="L83" s="487"/>
      <c r="M83" s="487"/>
      <c r="N83" s="488"/>
    </row>
    <row r="84" spans="2:14" x14ac:dyDescent="0.25">
      <c r="B84" s="486"/>
      <c r="C84" s="487"/>
      <c r="D84" s="487"/>
      <c r="E84" s="487"/>
      <c r="F84" s="488"/>
      <c r="H84" s="69"/>
      <c r="I84" s="70"/>
      <c r="J84" s="486"/>
      <c r="K84" s="487"/>
      <c r="L84" s="487"/>
      <c r="M84" s="487"/>
      <c r="N84" s="488"/>
    </row>
    <row r="85" spans="2:14" x14ac:dyDescent="0.25">
      <c r="B85" s="486"/>
      <c r="C85" s="487"/>
      <c r="D85" s="487"/>
      <c r="E85" s="487"/>
      <c r="F85" s="488"/>
      <c r="H85" s="69"/>
      <c r="I85" s="70"/>
      <c r="J85" s="486"/>
      <c r="K85" s="487"/>
      <c r="L85" s="487"/>
      <c r="M85" s="487"/>
      <c r="N85" s="488"/>
    </row>
    <row r="86" spans="2:14" x14ac:dyDescent="0.25">
      <c r="B86" s="486"/>
      <c r="C86" s="487"/>
      <c r="D86" s="487"/>
      <c r="E86" s="487"/>
      <c r="F86" s="488"/>
      <c r="H86" s="69"/>
      <c r="I86" s="70"/>
      <c r="J86" s="486"/>
      <c r="K86" s="487"/>
      <c r="L86" s="487"/>
      <c r="M86" s="487"/>
      <c r="N86" s="488"/>
    </row>
    <row r="87" spans="2:14" x14ac:dyDescent="0.25">
      <c r="B87" s="486"/>
      <c r="C87" s="487"/>
      <c r="D87" s="487"/>
      <c r="E87" s="487"/>
      <c r="F87" s="488"/>
      <c r="H87" s="69"/>
      <c r="I87" s="70"/>
      <c r="J87" s="486"/>
      <c r="K87" s="487"/>
      <c r="L87" s="487"/>
      <c r="M87" s="487"/>
      <c r="N87" s="488"/>
    </row>
    <row r="88" spans="2:14" x14ac:dyDescent="0.25">
      <c r="B88" s="486"/>
      <c r="C88" s="487"/>
      <c r="D88" s="487"/>
      <c r="E88" s="487"/>
      <c r="F88" s="488"/>
      <c r="H88" s="69"/>
      <c r="I88" s="70"/>
      <c r="J88" s="486"/>
      <c r="K88" s="487"/>
      <c r="L88" s="487"/>
      <c r="M88" s="487"/>
      <c r="N88" s="488"/>
    </row>
    <row r="89" spans="2:14" x14ac:dyDescent="0.25">
      <c r="B89" s="486"/>
      <c r="C89" s="487"/>
      <c r="D89" s="487"/>
      <c r="E89" s="487"/>
      <c r="F89" s="488"/>
      <c r="H89" s="69"/>
      <c r="I89" s="70"/>
      <c r="J89" s="486"/>
      <c r="K89" s="487"/>
      <c r="L89" s="487"/>
      <c r="M89" s="487"/>
      <c r="N89" s="488"/>
    </row>
    <row r="90" spans="2:14" x14ac:dyDescent="0.25">
      <c r="B90" s="486"/>
      <c r="C90" s="487"/>
      <c r="D90" s="487"/>
      <c r="E90" s="487"/>
      <c r="F90" s="488"/>
      <c r="H90" s="69"/>
      <c r="I90" s="70"/>
      <c r="J90" s="486"/>
      <c r="K90" s="487"/>
      <c r="L90" s="487"/>
      <c r="M90" s="487"/>
      <c r="N90" s="488"/>
    </row>
    <row r="91" spans="2:14" x14ac:dyDescent="0.25">
      <c r="B91" s="486"/>
      <c r="C91" s="487"/>
      <c r="D91" s="487"/>
      <c r="E91" s="487"/>
      <c r="F91" s="488"/>
      <c r="H91" s="69"/>
      <c r="I91" s="70"/>
      <c r="J91" s="486"/>
      <c r="K91" s="487"/>
      <c r="L91" s="487"/>
      <c r="M91" s="487"/>
      <c r="N91" s="488"/>
    </row>
    <row r="92" spans="2:14" x14ac:dyDescent="0.25">
      <c r="B92" s="489"/>
      <c r="C92" s="490"/>
      <c r="D92" s="490"/>
      <c r="E92" s="490"/>
      <c r="F92" s="491"/>
      <c r="H92" s="69"/>
      <c r="I92" s="70"/>
      <c r="J92" s="489"/>
      <c r="K92" s="490"/>
      <c r="L92" s="490"/>
      <c r="M92" s="490"/>
      <c r="N92" s="491"/>
    </row>
    <row r="93" spans="2:14" x14ac:dyDescent="0.25">
      <c r="H93" s="69"/>
      <c r="I93" s="70"/>
    </row>
    <row r="94" spans="2:14" x14ac:dyDescent="0.25">
      <c r="H94" s="69"/>
      <c r="I94" s="70"/>
    </row>
    <row r="95" spans="2:14" x14ac:dyDescent="0.25">
      <c r="B95" s="456" t="s">
        <v>618</v>
      </c>
      <c r="C95" s="456"/>
      <c r="D95" s="456"/>
      <c r="E95" s="456"/>
      <c r="F95" s="456"/>
      <c r="H95" s="69"/>
      <c r="I95" s="70"/>
      <c r="J95" s="457" t="s">
        <v>618</v>
      </c>
      <c r="K95" s="458"/>
      <c r="L95" s="458"/>
      <c r="M95" s="458"/>
      <c r="N95" s="459"/>
    </row>
    <row r="96" spans="2:14" x14ac:dyDescent="0.25">
      <c r="B96" s="460" t="s">
        <v>1118</v>
      </c>
      <c r="C96" s="461"/>
      <c r="D96" s="461"/>
      <c r="E96" s="461"/>
      <c r="F96" s="462"/>
      <c r="H96" s="69"/>
      <c r="I96" s="70"/>
      <c r="J96" s="460" t="s">
        <v>1117</v>
      </c>
      <c r="K96" s="461"/>
      <c r="L96" s="461"/>
      <c r="M96" s="461"/>
      <c r="N96" s="462"/>
    </row>
    <row r="97" spans="2:14" x14ac:dyDescent="0.25">
      <c r="B97" s="463"/>
      <c r="C97" s="464"/>
      <c r="D97" s="464"/>
      <c r="E97" s="464"/>
      <c r="F97" s="465"/>
      <c r="H97" s="69"/>
      <c r="I97" s="70"/>
      <c r="J97" s="463"/>
      <c r="K97" s="464"/>
      <c r="L97" s="464"/>
      <c r="M97" s="464"/>
      <c r="N97" s="465"/>
    </row>
    <row r="98" spans="2:14" x14ac:dyDescent="0.25">
      <c r="H98" s="69"/>
      <c r="I98" s="70"/>
    </row>
    <row r="99" spans="2:14" x14ac:dyDescent="0.25">
      <c r="H99" s="69"/>
      <c r="I99" s="70"/>
    </row>
    <row r="100" spans="2:14" x14ac:dyDescent="0.25">
      <c r="H100" s="69"/>
      <c r="I100" s="70"/>
    </row>
    <row r="101" spans="2:14" x14ac:dyDescent="0.25">
      <c r="H101" s="69"/>
      <c r="I101" s="70"/>
    </row>
    <row r="102" spans="2:14" x14ac:dyDescent="0.25">
      <c r="B102" s="75" t="s">
        <v>625</v>
      </c>
      <c r="C102" s="481" t="s">
        <v>615</v>
      </c>
      <c r="D102" s="482"/>
      <c r="E102" s="456"/>
      <c r="F102" s="456"/>
      <c r="H102" s="69"/>
      <c r="I102" s="70"/>
      <c r="J102" s="457" t="s">
        <v>626</v>
      </c>
      <c r="K102" s="458"/>
      <c r="L102" s="458"/>
      <c r="M102" s="458"/>
      <c r="N102" s="459"/>
    </row>
    <row r="103" spans="2:14" x14ac:dyDescent="0.25">
      <c r="B103" s="483" t="s">
        <v>617</v>
      </c>
      <c r="C103" s="484"/>
      <c r="D103" s="484"/>
      <c r="E103" s="484"/>
      <c r="F103" s="485"/>
      <c r="H103" s="69"/>
      <c r="I103" s="70"/>
      <c r="J103" s="483" t="s">
        <v>617</v>
      </c>
      <c r="K103" s="484"/>
      <c r="L103" s="484"/>
      <c r="M103" s="484"/>
      <c r="N103" s="485"/>
    </row>
    <row r="104" spans="2:14" x14ac:dyDescent="0.25">
      <c r="B104" s="486"/>
      <c r="C104" s="487"/>
      <c r="D104" s="487"/>
      <c r="E104" s="487"/>
      <c r="F104" s="488"/>
      <c r="H104" s="69"/>
      <c r="I104" s="70"/>
      <c r="J104" s="486"/>
      <c r="K104" s="487"/>
      <c r="L104" s="487"/>
      <c r="M104" s="487"/>
      <c r="N104" s="488"/>
    </row>
    <row r="105" spans="2:14" x14ac:dyDescent="0.25">
      <c r="B105" s="486"/>
      <c r="C105" s="487"/>
      <c r="D105" s="487"/>
      <c r="E105" s="487"/>
      <c r="F105" s="488"/>
      <c r="H105" s="69"/>
      <c r="I105" s="70"/>
      <c r="J105" s="486"/>
      <c r="K105" s="487"/>
      <c r="L105" s="487"/>
      <c r="M105" s="487"/>
      <c r="N105" s="488"/>
    </row>
    <row r="106" spans="2:14" x14ac:dyDescent="0.25">
      <c r="B106" s="486"/>
      <c r="C106" s="487"/>
      <c r="D106" s="487"/>
      <c r="E106" s="487"/>
      <c r="F106" s="488"/>
      <c r="H106" s="69"/>
      <c r="I106" s="70"/>
      <c r="J106" s="486"/>
      <c r="K106" s="487"/>
      <c r="L106" s="487"/>
      <c r="M106" s="487"/>
      <c r="N106" s="488"/>
    </row>
    <row r="107" spans="2:14" x14ac:dyDescent="0.25">
      <c r="B107" s="486"/>
      <c r="C107" s="487"/>
      <c r="D107" s="487"/>
      <c r="E107" s="487"/>
      <c r="F107" s="488"/>
      <c r="H107" s="69"/>
      <c r="I107" s="70"/>
      <c r="J107" s="486"/>
      <c r="K107" s="487"/>
      <c r="L107" s="487"/>
      <c r="M107" s="487"/>
      <c r="N107" s="488"/>
    </row>
    <row r="108" spans="2:14" x14ac:dyDescent="0.25">
      <c r="B108" s="486"/>
      <c r="C108" s="487"/>
      <c r="D108" s="487"/>
      <c r="E108" s="487"/>
      <c r="F108" s="488"/>
      <c r="H108" s="69"/>
      <c r="I108" s="70"/>
      <c r="J108" s="486"/>
      <c r="K108" s="487"/>
      <c r="L108" s="487"/>
      <c r="M108" s="487"/>
      <c r="N108" s="488"/>
    </row>
    <row r="109" spans="2:14" x14ac:dyDescent="0.25">
      <c r="B109" s="486"/>
      <c r="C109" s="487"/>
      <c r="D109" s="487"/>
      <c r="E109" s="487"/>
      <c r="F109" s="488"/>
      <c r="H109" s="69"/>
      <c r="I109" s="70"/>
      <c r="J109" s="486"/>
      <c r="K109" s="487"/>
      <c r="L109" s="487"/>
      <c r="M109" s="487"/>
      <c r="N109" s="488"/>
    </row>
    <row r="110" spans="2:14" x14ac:dyDescent="0.25">
      <c r="B110" s="486"/>
      <c r="C110" s="487"/>
      <c r="D110" s="487"/>
      <c r="E110" s="487"/>
      <c r="F110" s="488"/>
      <c r="H110" s="69"/>
      <c r="I110" s="70"/>
      <c r="J110" s="486"/>
      <c r="K110" s="487"/>
      <c r="L110" s="487"/>
      <c r="M110" s="487"/>
      <c r="N110" s="488"/>
    </row>
    <row r="111" spans="2:14" x14ac:dyDescent="0.25">
      <c r="B111" s="486"/>
      <c r="C111" s="487"/>
      <c r="D111" s="487"/>
      <c r="E111" s="487"/>
      <c r="F111" s="488"/>
      <c r="H111" s="69"/>
      <c r="I111" s="70"/>
      <c r="J111" s="486"/>
      <c r="K111" s="487"/>
      <c r="L111" s="487"/>
      <c r="M111" s="487"/>
      <c r="N111" s="488"/>
    </row>
    <row r="112" spans="2:14" x14ac:dyDescent="0.25">
      <c r="B112" s="486"/>
      <c r="C112" s="487"/>
      <c r="D112" s="487"/>
      <c r="E112" s="487"/>
      <c r="F112" s="488"/>
      <c r="H112" s="69"/>
      <c r="I112" s="70"/>
      <c r="J112" s="486"/>
      <c r="K112" s="487"/>
      <c r="L112" s="487"/>
      <c r="M112" s="487"/>
      <c r="N112" s="488"/>
    </row>
    <row r="113" spans="2:14" x14ac:dyDescent="0.25">
      <c r="B113" s="486"/>
      <c r="C113" s="487"/>
      <c r="D113" s="487"/>
      <c r="E113" s="487"/>
      <c r="F113" s="488"/>
      <c r="H113" s="69"/>
      <c r="I113" s="70"/>
      <c r="J113" s="486"/>
      <c r="K113" s="487"/>
      <c r="L113" s="487"/>
      <c r="M113" s="487"/>
      <c r="N113" s="488"/>
    </row>
    <row r="114" spans="2:14" x14ac:dyDescent="0.25">
      <c r="B114" s="486"/>
      <c r="C114" s="487"/>
      <c r="D114" s="487"/>
      <c r="E114" s="487"/>
      <c r="F114" s="488"/>
      <c r="H114" s="69"/>
      <c r="I114" s="70"/>
      <c r="J114" s="486"/>
      <c r="K114" s="487"/>
      <c r="L114" s="487"/>
      <c r="M114" s="487"/>
      <c r="N114" s="488"/>
    </row>
    <row r="115" spans="2:14" x14ac:dyDescent="0.25">
      <c r="B115" s="486"/>
      <c r="C115" s="487"/>
      <c r="D115" s="487"/>
      <c r="E115" s="487"/>
      <c r="F115" s="488"/>
      <c r="H115" s="69"/>
      <c r="I115" s="70"/>
      <c r="J115" s="486"/>
      <c r="K115" s="487"/>
      <c r="L115" s="487"/>
      <c r="M115" s="487"/>
      <c r="N115" s="488"/>
    </row>
    <row r="116" spans="2:14" x14ac:dyDescent="0.25">
      <c r="B116" s="489"/>
      <c r="C116" s="490"/>
      <c r="D116" s="490"/>
      <c r="E116" s="490"/>
      <c r="F116" s="491"/>
      <c r="H116" s="69"/>
      <c r="I116" s="70"/>
      <c r="J116" s="489"/>
      <c r="K116" s="490"/>
      <c r="L116" s="490"/>
      <c r="M116" s="490"/>
      <c r="N116" s="491"/>
    </row>
    <row r="117" spans="2:14" x14ac:dyDescent="0.25">
      <c r="H117" s="69"/>
      <c r="I117" s="70"/>
    </row>
    <row r="118" spans="2:14" x14ac:dyDescent="0.25">
      <c r="H118" s="69"/>
      <c r="I118" s="70"/>
    </row>
    <row r="119" spans="2:14" x14ac:dyDescent="0.25">
      <c r="B119" s="456" t="s">
        <v>618</v>
      </c>
      <c r="C119" s="456"/>
      <c r="D119" s="456"/>
      <c r="E119" s="456"/>
      <c r="F119" s="456"/>
      <c r="H119" s="69"/>
      <c r="I119" s="70"/>
      <c r="J119" s="457" t="s">
        <v>618</v>
      </c>
      <c r="K119" s="458"/>
      <c r="L119" s="458"/>
      <c r="M119" s="458"/>
      <c r="N119" s="459"/>
    </row>
    <row r="120" spans="2:14" x14ac:dyDescent="0.25">
      <c r="B120" s="460" t="s">
        <v>1124</v>
      </c>
      <c r="C120" s="461"/>
      <c r="D120" s="461"/>
      <c r="E120" s="461"/>
      <c r="F120" s="462"/>
      <c r="H120" s="69"/>
      <c r="I120" s="70"/>
      <c r="J120" s="460" t="s">
        <v>1117</v>
      </c>
      <c r="K120" s="461"/>
      <c r="L120" s="461"/>
      <c r="M120" s="461"/>
      <c r="N120" s="462"/>
    </row>
    <row r="121" spans="2:14" x14ac:dyDescent="0.25">
      <c r="B121" s="463"/>
      <c r="C121" s="464"/>
      <c r="D121" s="464"/>
      <c r="E121" s="464"/>
      <c r="F121" s="465"/>
      <c r="H121" s="69"/>
      <c r="I121" s="70"/>
      <c r="J121" s="463"/>
      <c r="K121" s="464"/>
      <c r="L121" s="464"/>
      <c r="M121" s="464"/>
      <c r="N121" s="465"/>
    </row>
    <row r="122" spans="2:14" x14ac:dyDescent="0.25">
      <c r="H122" s="69"/>
      <c r="I122" s="70"/>
    </row>
    <row r="123" spans="2:14" x14ac:dyDescent="0.25">
      <c r="H123" s="69"/>
      <c r="I123" s="70"/>
    </row>
    <row r="124" spans="2:14" x14ac:dyDescent="0.25">
      <c r="H124" s="69"/>
      <c r="I124" s="70"/>
    </row>
    <row r="125" spans="2:14" x14ac:dyDescent="0.25">
      <c r="H125" s="69"/>
      <c r="I125" s="70"/>
    </row>
    <row r="126" spans="2:14" x14ac:dyDescent="0.25">
      <c r="B126" s="75" t="s">
        <v>627</v>
      </c>
      <c r="C126" s="481" t="s">
        <v>615</v>
      </c>
      <c r="D126" s="482"/>
      <c r="E126" s="456"/>
      <c r="F126" s="456"/>
      <c r="H126" s="69"/>
      <c r="I126" s="70"/>
      <c r="J126" s="457" t="s">
        <v>628</v>
      </c>
      <c r="K126" s="458"/>
      <c r="L126" s="458"/>
      <c r="M126" s="458"/>
      <c r="N126" s="459"/>
    </row>
    <row r="127" spans="2:14" x14ac:dyDescent="0.25">
      <c r="B127" s="483" t="s">
        <v>617</v>
      </c>
      <c r="C127" s="484"/>
      <c r="D127" s="484"/>
      <c r="E127" s="484"/>
      <c r="F127" s="485"/>
      <c r="H127" s="69"/>
      <c r="I127" s="70"/>
      <c r="J127" s="483" t="s">
        <v>617</v>
      </c>
      <c r="K127" s="484"/>
      <c r="L127" s="484"/>
      <c r="M127" s="484"/>
      <c r="N127" s="485"/>
    </row>
    <row r="128" spans="2:14" x14ac:dyDescent="0.25">
      <c r="B128" s="486"/>
      <c r="C128" s="487"/>
      <c r="D128" s="487"/>
      <c r="E128" s="487"/>
      <c r="F128" s="488"/>
      <c r="H128" s="69"/>
      <c r="I128" s="70"/>
      <c r="J128" s="486"/>
      <c r="K128" s="487"/>
      <c r="L128" s="487"/>
      <c r="M128" s="487"/>
      <c r="N128" s="488"/>
    </row>
    <row r="129" spans="2:14" x14ac:dyDescent="0.25">
      <c r="B129" s="486"/>
      <c r="C129" s="487"/>
      <c r="D129" s="487"/>
      <c r="E129" s="487"/>
      <c r="F129" s="488"/>
      <c r="H129" s="69"/>
      <c r="I129" s="70"/>
      <c r="J129" s="486"/>
      <c r="K129" s="487"/>
      <c r="L129" s="487"/>
      <c r="M129" s="487"/>
      <c r="N129" s="488"/>
    </row>
    <row r="130" spans="2:14" x14ac:dyDescent="0.25">
      <c r="B130" s="486"/>
      <c r="C130" s="487"/>
      <c r="D130" s="487"/>
      <c r="E130" s="487"/>
      <c r="F130" s="488"/>
      <c r="H130" s="69"/>
      <c r="I130" s="70"/>
      <c r="J130" s="486"/>
      <c r="K130" s="487"/>
      <c r="L130" s="487"/>
      <c r="M130" s="487"/>
      <c r="N130" s="488"/>
    </row>
    <row r="131" spans="2:14" x14ac:dyDescent="0.25">
      <c r="B131" s="486"/>
      <c r="C131" s="487"/>
      <c r="D131" s="487"/>
      <c r="E131" s="487"/>
      <c r="F131" s="488"/>
      <c r="H131" s="69"/>
      <c r="I131" s="70"/>
      <c r="J131" s="486"/>
      <c r="K131" s="487"/>
      <c r="L131" s="487"/>
      <c r="M131" s="487"/>
      <c r="N131" s="488"/>
    </row>
    <row r="132" spans="2:14" x14ac:dyDescent="0.25">
      <c r="B132" s="486"/>
      <c r="C132" s="487"/>
      <c r="D132" s="487"/>
      <c r="E132" s="487"/>
      <c r="F132" s="488"/>
      <c r="H132" s="69"/>
      <c r="I132" s="70"/>
      <c r="J132" s="486"/>
      <c r="K132" s="487"/>
      <c r="L132" s="487"/>
      <c r="M132" s="487"/>
      <c r="N132" s="488"/>
    </row>
    <row r="133" spans="2:14" x14ac:dyDescent="0.25">
      <c r="B133" s="486"/>
      <c r="C133" s="487"/>
      <c r="D133" s="487"/>
      <c r="E133" s="487"/>
      <c r="F133" s="488"/>
      <c r="H133" s="69"/>
      <c r="I133" s="70"/>
      <c r="J133" s="486"/>
      <c r="K133" s="487"/>
      <c r="L133" s="487"/>
      <c r="M133" s="487"/>
      <c r="N133" s="488"/>
    </row>
    <row r="134" spans="2:14" x14ac:dyDescent="0.25">
      <c r="B134" s="486"/>
      <c r="C134" s="487"/>
      <c r="D134" s="487"/>
      <c r="E134" s="487"/>
      <c r="F134" s="488"/>
      <c r="H134" s="69"/>
      <c r="I134" s="70"/>
      <c r="J134" s="486"/>
      <c r="K134" s="487"/>
      <c r="L134" s="487"/>
      <c r="M134" s="487"/>
      <c r="N134" s="488"/>
    </row>
    <row r="135" spans="2:14" x14ac:dyDescent="0.25">
      <c r="B135" s="486"/>
      <c r="C135" s="487"/>
      <c r="D135" s="487"/>
      <c r="E135" s="487"/>
      <c r="F135" s="488"/>
      <c r="H135" s="69"/>
      <c r="I135" s="70"/>
      <c r="J135" s="486"/>
      <c r="K135" s="487"/>
      <c r="L135" s="487"/>
      <c r="M135" s="487"/>
      <c r="N135" s="488"/>
    </row>
    <row r="136" spans="2:14" x14ac:dyDescent="0.25">
      <c r="B136" s="486"/>
      <c r="C136" s="487"/>
      <c r="D136" s="487"/>
      <c r="E136" s="487"/>
      <c r="F136" s="488"/>
      <c r="H136" s="69"/>
      <c r="I136" s="70"/>
      <c r="J136" s="486"/>
      <c r="K136" s="487"/>
      <c r="L136" s="487"/>
      <c r="M136" s="487"/>
      <c r="N136" s="488"/>
    </row>
    <row r="137" spans="2:14" x14ac:dyDescent="0.25">
      <c r="B137" s="486"/>
      <c r="C137" s="487"/>
      <c r="D137" s="487"/>
      <c r="E137" s="487"/>
      <c r="F137" s="488"/>
      <c r="H137" s="69"/>
      <c r="I137" s="70"/>
      <c r="J137" s="486"/>
      <c r="K137" s="487"/>
      <c r="L137" s="487"/>
      <c r="M137" s="487"/>
      <c r="N137" s="488"/>
    </row>
    <row r="138" spans="2:14" x14ac:dyDescent="0.25">
      <c r="B138" s="486"/>
      <c r="C138" s="487"/>
      <c r="D138" s="487"/>
      <c r="E138" s="487"/>
      <c r="F138" s="488"/>
      <c r="H138" s="69"/>
      <c r="I138" s="70"/>
      <c r="J138" s="486"/>
      <c r="K138" s="487"/>
      <c r="L138" s="487"/>
      <c r="M138" s="487"/>
      <c r="N138" s="488"/>
    </row>
    <row r="139" spans="2:14" x14ac:dyDescent="0.25">
      <c r="B139" s="486"/>
      <c r="C139" s="487"/>
      <c r="D139" s="487"/>
      <c r="E139" s="487"/>
      <c r="F139" s="488"/>
      <c r="H139" s="69"/>
      <c r="I139" s="70"/>
      <c r="J139" s="486"/>
      <c r="K139" s="487"/>
      <c r="L139" s="487"/>
      <c r="M139" s="487"/>
      <c r="N139" s="488"/>
    </row>
    <row r="140" spans="2:14" x14ac:dyDescent="0.25">
      <c r="B140" s="489"/>
      <c r="C140" s="490"/>
      <c r="D140" s="490"/>
      <c r="E140" s="490"/>
      <c r="F140" s="491"/>
      <c r="H140" s="69"/>
      <c r="I140" s="70"/>
      <c r="J140" s="489"/>
      <c r="K140" s="490"/>
      <c r="L140" s="490"/>
      <c r="M140" s="490"/>
      <c r="N140" s="491"/>
    </row>
    <row r="141" spans="2:14" x14ac:dyDescent="0.25">
      <c r="H141" s="69"/>
      <c r="I141" s="70"/>
    </row>
    <row r="142" spans="2:14" x14ac:dyDescent="0.25">
      <c r="H142" s="69"/>
      <c r="I142" s="70"/>
    </row>
    <row r="143" spans="2:14" x14ac:dyDescent="0.25">
      <c r="B143" s="456" t="s">
        <v>618</v>
      </c>
      <c r="C143" s="456"/>
      <c r="D143" s="456"/>
      <c r="E143" s="456"/>
      <c r="F143" s="456"/>
      <c r="H143" s="69"/>
      <c r="I143" s="70"/>
      <c r="J143" s="457" t="s">
        <v>618</v>
      </c>
      <c r="K143" s="458"/>
      <c r="L143" s="458"/>
      <c r="M143" s="458"/>
      <c r="N143" s="459"/>
    </row>
    <row r="144" spans="2:14" x14ac:dyDescent="0.25">
      <c r="B144" s="460" t="s">
        <v>1120</v>
      </c>
      <c r="C144" s="461"/>
      <c r="D144" s="461"/>
      <c r="E144" s="461"/>
      <c r="F144" s="462"/>
      <c r="H144" s="69"/>
      <c r="I144" s="70"/>
      <c r="J144" s="460" t="s">
        <v>1117</v>
      </c>
      <c r="K144" s="461"/>
      <c r="L144" s="461"/>
      <c r="M144" s="461"/>
      <c r="N144" s="462"/>
    </row>
    <row r="145" spans="2:14" x14ac:dyDescent="0.25">
      <c r="B145" s="463"/>
      <c r="C145" s="464"/>
      <c r="D145" s="464"/>
      <c r="E145" s="464"/>
      <c r="F145" s="465"/>
      <c r="H145" s="69"/>
      <c r="I145" s="70"/>
      <c r="J145" s="463"/>
      <c r="K145" s="464"/>
      <c r="L145" s="464"/>
      <c r="M145" s="464"/>
      <c r="N145" s="465"/>
    </row>
    <row r="146" spans="2:14" x14ac:dyDescent="0.25">
      <c r="H146" s="69"/>
      <c r="I146" s="70"/>
    </row>
    <row r="147" spans="2:14" x14ac:dyDescent="0.25">
      <c r="H147" s="69"/>
      <c r="I147" s="70"/>
    </row>
    <row r="148" spans="2:14" x14ac:dyDescent="0.25">
      <c r="H148" s="69"/>
      <c r="I148" s="70"/>
    </row>
    <row r="149" spans="2:14" x14ac:dyDescent="0.25">
      <c r="H149" s="69"/>
      <c r="I149" s="70"/>
    </row>
    <row r="150" spans="2:14" x14ac:dyDescent="0.25">
      <c r="B150" s="75" t="s">
        <v>629</v>
      </c>
      <c r="C150" s="481" t="s">
        <v>615</v>
      </c>
      <c r="D150" s="482"/>
      <c r="E150" s="456"/>
      <c r="F150" s="456"/>
      <c r="H150" s="69"/>
      <c r="I150" s="70"/>
      <c r="J150" s="457" t="s">
        <v>630</v>
      </c>
      <c r="K150" s="458"/>
      <c r="L150" s="458"/>
      <c r="M150" s="458"/>
      <c r="N150" s="459"/>
    </row>
    <row r="151" spans="2:14" x14ac:dyDescent="0.25">
      <c r="B151" s="483" t="s">
        <v>617</v>
      </c>
      <c r="C151" s="484"/>
      <c r="D151" s="484"/>
      <c r="E151" s="484"/>
      <c r="F151" s="485"/>
      <c r="H151" s="69"/>
      <c r="I151" s="70"/>
      <c r="J151" s="483" t="s">
        <v>617</v>
      </c>
      <c r="K151" s="484"/>
      <c r="L151" s="484"/>
      <c r="M151" s="484"/>
      <c r="N151" s="485"/>
    </row>
    <row r="152" spans="2:14" x14ac:dyDescent="0.25">
      <c r="B152" s="486"/>
      <c r="C152" s="487"/>
      <c r="D152" s="487"/>
      <c r="E152" s="487"/>
      <c r="F152" s="488"/>
      <c r="H152" s="69"/>
      <c r="I152" s="70"/>
      <c r="J152" s="486"/>
      <c r="K152" s="487"/>
      <c r="L152" s="487"/>
      <c r="M152" s="487"/>
      <c r="N152" s="488"/>
    </row>
    <row r="153" spans="2:14" x14ac:dyDescent="0.25">
      <c r="B153" s="486"/>
      <c r="C153" s="487"/>
      <c r="D153" s="487"/>
      <c r="E153" s="487"/>
      <c r="F153" s="488"/>
      <c r="H153" s="69"/>
      <c r="I153" s="70"/>
      <c r="J153" s="486"/>
      <c r="K153" s="487"/>
      <c r="L153" s="487"/>
      <c r="M153" s="487"/>
      <c r="N153" s="488"/>
    </row>
    <row r="154" spans="2:14" x14ac:dyDescent="0.25">
      <c r="B154" s="486"/>
      <c r="C154" s="487"/>
      <c r="D154" s="487"/>
      <c r="E154" s="487"/>
      <c r="F154" s="488"/>
      <c r="H154" s="69"/>
      <c r="I154" s="70"/>
      <c r="J154" s="486"/>
      <c r="K154" s="487"/>
      <c r="L154" s="487"/>
      <c r="M154" s="487"/>
      <c r="N154" s="488"/>
    </row>
    <row r="155" spans="2:14" x14ac:dyDescent="0.25">
      <c r="B155" s="486"/>
      <c r="C155" s="487"/>
      <c r="D155" s="487"/>
      <c r="E155" s="487"/>
      <c r="F155" s="488"/>
      <c r="H155" s="69"/>
      <c r="I155" s="70"/>
      <c r="J155" s="486"/>
      <c r="K155" s="487"/>
      <c r="L155" s="487"/>
      <c r="M155" s="487"/>
      <c r="N155" s="488"/>
    </row>
    <row r="156" spans="2:14" x14ac:dyDescent="0.25">
      <c r="B156" s="486"/>
      <c r="C156" s="487"/>
      <c r="D156" s="487"/>
      <c r="E156" s="487"/>
      <c r="F156" s="488"/>
      <c r="H156" s="69"/>
      <c r="I156" s="70"/>
      <c r="J156" s="486"/>
      <c r="K156" s="487"/>
      <c r="L156" s="487"/>
      <c r="M156" s="487"/>
      <c r="N156" s="488"/>
    </row>
    <row r="157" spans="2:14" x14ac:dyDescent="0.25">
      <c r="B157" s="486"/>
      <c r="C157" s="487"/>
      <c r="D157" s="487"/>
      <c r="E157" s="487"/>
      <c r="F157" s="488"/>
      <c r="H157" s="69"/>
      <c r="I157" s="70"/>
      <c r="J157" s="486"/>
      <c r="K157" s="487"/>
      <c r="L157" s="487"/>
      <c r="M157" s="487"/>
      <c r="N157" s="488"/>
    </row>
    <row r="158" spans="2:14" x14ac:dyDescent="0.25">
      <c r="B158" s="486"/>
      <c r="C158" s="487"/>
      <c r="D158" s="487"/>
      <c r="E158" s="487"/>
      <c r="F158" s="488"/>
      <c r="H158" s="69"/>
      <c r="I158" s="70"/>
      <c r="J158" s="486"/>
      <c r="K158" s="487"/>
      <c r="L158" s="487"/>
      <c r="M158" s="487"/>
      <c r="N158" s="488"/>
    </row>
    <row r="159" spans="2:14" x14ac:dyDescent="0.25">
      <c r="B159" s="486"/>
      <c r="C159" s="487"/>
      <c r="D159" s="487"/>
      <c r="E159" s="487"/>
      <c r="F159" s="488"/>
      <c r="H159" s="69"/>
      <c r="I159" s="70"/>
      <c r="J159" s="486"/>
      <c r="K159" s="487"/>
      <c r="L159" s="487"/>
      <c r="M159" s="487"/>
      <c r="N159" s="488"/>
    </row>
    <row r="160" spans="2:14" x14ac:dyDescent="0.25">
      <c r="B160" s="486"/>
      <c r="C160" s="487"/>
      <c r="D160" s="487"/>
      <c r="E160" s="487"/>
      <c r="F160" s="488"/>
      <c r="H160" s="69"/>
      <c r="I160" s="70"/>
      <c r="J160" s="486"/>
      <c r="K160" s="487"/>
      <c r="L160" s="487"/>
      <c r="M160" s="487"/>
      <c r="N160" s="488"/>
    </row>
    <row r="161" spans="2:14" x14ac:dyDescent="0.25">
      <c r="B161" s="486"/>
      <c r="C161" s="487"/>
      <c r="D161" s="487"/>
      <c r="E161" s="487"/>
      <c r="F161" s="488"/>
      <c r="H161" s="69"/>
      <c r="I161" s="70"/>
      <c r="J161" s="486"/>
      <c r="K161" s="487"/>
      <c r="L161" s="487"/>
      <c r="M161" s="487"/>
      <c r="N161" s="488"/>
    </row>
    <row r="162" spans="2:14" x14ac:dyDescent="0.25">
      <c r="B162" s="486"/>
      <c r="C162" s="487"/>
      <c r="D162" s="487"/>
      <c r="E162" s="487"/>
      <c r="F162" s="488"/>
      <c r="H162" s="69"/>
      <c r="I162" s="70"/>
      <c r="J162" s="486"/>
      <c r="K162" s="487"/>
      <c r="L162" s="487"/>
      <c r="M162" s="487"/>
      <c r="N162" s="488"/>
    </row>
    <row r="163" spans="2:14" x14ac:dyDescent="0.25">
      <c r="B163" s="486"/>
      <c r="C163" s="487"/>
      <c r="D163" s="487"/>
      <c r="E163" s="487"/>
      <c r="F163" s="488"/>
      <c r="H163" s="69"/>
      <c r="I163" s="70"/>
      <c r="J163" s="486"/>
      <c r="K163" s="487"/>
      <c r="L163" s="487"/>
      <c r="M163" s="487"/>
      <c r="N163" s="488"/>
    </row>
    <row r="164" spans="2:14" x14ac:dyDescent="0.25">
      <c r="B164" s="489"/>
      <c r="C164" s="490"/>
      <c r="D164" s="490"/>
      <c r="E164" s="490"/>
      <c r="F164" s="491"/>
      <c r="H164" s="69"/>
      <c r="I164" s="70"/>
      <c r="J164" s="489"/>
      <c r="K164" s="490"/>
      <c r="L164" s="490"/>
      <c r="M164" s="490"/>
      <c r="N164" s="491"/>
    </row>
    <row r="165" spans="2:14" x14ac:dyDescent="0.25">
      <c r="H165" s="69"/>
      <c r="I165" s="70"/>
    </row>
    <row r="166" spans="2:14" x14ac:dyDescent="0.25">
      <c r="H166" s="69"/>
      <c r="I166" s="70"/>
    </row>
    <row r="167" spans="2:14" x14ac:dyDescent="0.25">
      <c r="B167" s="456" t="s">
        <v>618</v>
      </c>
      <c r="C167" s="456"/>
      <c r="D167" s="456"/>
      <c r="E167" s="456"/>
      <c r="F167" s="456"/>
      <c r="H167" s="69"/>
      <c r="I167" s="70"/>
      <c r="J167" s="457" t="s">
        <v>618</v>
      </c>
      <c r="K167" s="458"/>
      <c r="L167" s="458"/>
      <c r="M167" s="458"/>
      <c r="N167" s="459"/>
    </row>
    <row r="168" spans="2:14" x14ac:dyDescent="0.25">
      <c r="B168" s="460" t="s">
        <v>1124</v>
      </c>
      <c r="C168" s="461"/>
      <c r="D168" s="461"/>
      <c r="E168" s="461"/>
      <c r="F168" s="462"/>
      <c r="H168" s="69"/>
      <c r="I168" s="70"/>
      <c r="J168" s="460" t="s">
        <v>1125</v>
      </c>
      <c r="K168" s="461"/>
      <c r="L168" s="461"/>
      <c r="M168" s="461"/>
      <c r="N168" s="462"/>
    </row>
    <row r="169" spans="2:14" x14ac:dyDescent="0.25">
      <c r="B169" s="463"/>
      <c r="C169" s="464"/>
      <c r="D169" s="464"/>
      <c r="E169" s="464"/>
      <c r="F169" s="465"/>
      <c r="H169" s="69"/>
      <c r="I169" s="70"/>
      <c r="J169" s="463"/>
      <c r="K169" s="464"/>
      <c r="L169" s="464"/>
      <c r="M169" s="464"/>
      <c r="N169" s="465"/>
    </row>
    <row r="170" spans="2:14" x14ac:dyDescent="0.25">
      <c r="H170" s="69"/>
      <c r="I170" s="70"/>
    </row>
    <row r="171" spans="2:14" x14ac:dyDescent="0.25">
      <c r="H171" s="69"/>
      <c r="I171" s="70"/>
    </row>
    <row r="172" spans="2:14" x14ac:dyDescent="0.25">
      <c r="H172" s="69"/>
      <c r="I172" s="70"/>
    </row>
    <row r="173" spans="2:14" x14ac:dyDescent="0.25">
      <c r="H173" s="69"/>
      <c r="I173" s="70"/>
    </row>
    <row r="174" spans="2:14" x14ac:dyDescent="0.25">
      <c r="B174" s="315" t="s">
        <v>1087</v>
      </c>
      <c r="C174" s="481" t="s">
        <v>615</v>
      </c>
      <c r="D174" s="482"/>
      <c r="E174" s="456"/>
      <c r="F174" s="456"/>
      <c r="H174" s="69"/>
      <c r="I174" s="70"/>
      <c r="J174" s="457" t="s">
        <v>1088</v>
      </c>
      <c r="K174" s="458"/>
      <c r="L174" s="458"/>
      <c r="M174" s="458"/>
      <c r="N174" s="459"/>
    </row>
    <row r="175" spans="2:14" x14ac:dyDescent="0.25">
      <c r="B175" s="483" t="s">
        <v>617</v>
      </c>
      <c r="C175" s="484"/>
      <c r="D175" s="484"/>
      <c r="E175" s="484"/>
      <c r="F175" s="485"/>
      <c r="H175" s="69"/>
      <c r="I175" s="70"/>
      <c r="J175" s="483" t="s">
        <v>617</v>
      </c>
      <c r="K175" s="484"/>
      <c r="L175" s="484"/>
      <c r="M175" s="484"/>
      <c r="N175" s="485"/>
    </row>
    <row r="176" spans="2:14" x14ac:dyDescent="0.25">
      <c r="B176" s="486"/>
      <c r="C176" s="487"/>
      <c r="D176" s="487"/>
      <c r="E176" s="487"/>
      <c r="F176" s="488"/>
      <c r="H176" s="69"/>
      <c r="I176" s="70"/>
      <c r="J176" s="486"/>
      <c r="K176" s="487"/>
      <c r="L176" s="487"/>
      <c r="M176" s="487"/>
      <c r="N176" s="488"/>
    </row>
    <row r="177" spans="2:14" x14ac:dyDescent="0.25">
      <c r="B177" s="486"/>
      <c r="C177" s="487"/>
      <c r="D177" s="487"/>
      <c r="E177" s="487"/>
      <c r="F177" s="488"/>
      <c r="H177" s="69"/>
      <c r="I177" s="70"/>
      <c r="J177" s="486"/>
      <c r="K177" s="487"/>
      <c r="L177" s="487"/>
      <c r="M177" s="487"/>
      <c r="N177" s="488"/>
    </row>
    <row r="178" spans="2:14" x14ac:dyDescent="0.25">
      <c r="B178" s="486"/>
      <c r="C178" s="487"/>
      <c r="D178" s="487"/>
      <c r="E178" s="487"/>
      <c r="F178" s="488"/>
      <c r="H178" s="69"/>
      <c r="I178" s="70"/>
      <c r="J178" s="486"/>
      <c r="K178" s="487"/>
      <c r="L178" s="487"/>
      <c r="M178" s="487"/>
      <c r="N178" s="488"/>
    </row>
    <row r="179" spans="2:14" x14ac:dyDescent="0.25">
      <c r="B179" s="486"/>
      <c r="C179" s="487"/>
      <c r="D179" s="487"/>
      <c r="E179" s="487"/>
      <c r="F179" s="488"/>
      <c r="H179" s="69"/>
      <c r="I179" s="70"/>
      <c r="J179" s="486"/>
      <c r="K179" s="487"/>
      <c r="L179" s="487"/>
      <c r="M179" s="487"/>
      <c r="N179" s="488"/>
    </row>
    <row r="180" spans="2:14" x14ac:dyDescent="0.25">
      <c r="B180" s="486"/>
      <c r="C180" s="487"/>
      <c r="D180" s="487"/>
      <c r="E180" s="487"/>
      <c r="F180" s="488"/>
      <c r="H180" s="69"/>
      <c r="I180" s="70"/>
      <c r="J180" s="486"/>
      <c r="K180" s="487"/>
      <c r="L180" s="487"/>
      <c r="M180" s="487"/>
      <c r="N180" s="488"/>
    </row>
    <row r="181" spans="2:14" x14ac:dyDescent="0.25">
      <c r="B181" s="486"/>
      <c r="C181" s="487"/>
      <c r="D181" s="487"/>
      <c r="E181" s="487"/>
      <c r="F181" s="488"/>
      <c r="H181" s="69"/>
      <c r="I181" s="70"/>
      <c r="J181" s="486"/>
      <c r="K181" s="487"/>
      <c r="L181" s="487"/>
      <c r="M181" s="487"/>
      <c r="N181" s="488"/>
    </row>
    <row r="182" spans="2:14" x14ac:dyDescent="0.25">
      <c r="B182" s="486"/>
      <c r="C182" s="487"/>
      <c r="D182" s="487"/>
      <c r="E182" s="487"/>
      <c r="F182" s="488"/>
      <c r="H182" s="69"/>
      <c r="I182" s="70"/>
      <c r="J182" s="486"/>
      <c r="K182" s="487"/>
      <c r="L182" s="487"/>
      <c r="M182" s="487"/>
      <c r="N182" s="488"/>
    </row>
    <row r="183" spans="2:14" x14ac:dyDescent="0.25">
      <c r="B183" s="486"/>
      <c r="C183" s="487"/>
      <c r="D183" s="487"/>
      <c r="E183" s="487"/>
      <c r="F183" s="488"/>
      <c r="H183" s="69"/>
      <c r="I183" s="70"/>
      <c r="J183" s="486"/>
      <c r="K183" s="487"/>
      <c r="L183" s="487"/>
      <c r="M183" s="487"/>
      <c r="N183" s="488"/>
    </row>
    <row r="184" spans="2:14" x14ac:dyDescent="0.25">
      <c r="B184" s="486"/>
      <c r="C184" s="487"/>
      <c r="D184" s="487"/>
      <c r="E184" s="487"/>
      <c r="F184" s="488"/>
      <c r="H184" s="69"/>
      <c r="I184" s="70"/>
      <c r="J184" s="486"/>
      <c r="K184" s="487"/>
      <c r="L184" s="487"/>
      <c r="M184" s="487"/>
      <c r="N184" s="488"/>
    </row>
    <row r="185" spans="2:14" x14ac:dyDescent="0.25">
      <c r="B185" s="486"/>
      <c r="C185" s="487"/>
      <c r="D185" s="487"/>
      <c r="E185" s="487"/>
      <c r="F185" s="488"/>
      <c r="H185" s="69"/>
      <c r="I185" s="70"/>
      <c r="J185" s="486"/>
      <c r="K185" s="487"/>
      <c r="L185" s="487"/>
      <c r="M185" s="487"/>
      <c r="N185" s="488"/>
    </row>
    <row r="186" spans="2:14" x14ac:dyDescent="0.25">
      <c r="B186" s="486"/>
      <c r="C186" s="487"/>
      <c r="D186" s="487"/>
      <c r="E186" s="487"/>
      <c r="F186" s="488"/>
      <c r="H186" s="69"/>
      <c r="I186" s="70"/>
      <c r="J186" s="486"/>
      <c r="K186" s="487"/>
      <c r="L186" s="487"/>
      <c r="M186" s="487"/>
      <c r="N186" s="488"/>
    </row>
    <row r="187" spans="2:14" x14ac:dyDescent="0.25">
      <c r="B187" s="486"/>
      <c r="C187" s="487"/>
      <c r="D187" s="487"/>
      <c r="E187" s="487"/>
      <c r="F187" s="488"/>
      <c r="H187" s="69"/>
      <c r="I187" s="70"/>
      <c r="J187" s="486"/>
      <c r="K187" s="487"/>
      <c r="L187" s="487"/>
      <c r="M187" s="487"/>
      <c r="N187" s="488"/>
    </row>
    <row r="188" spans="2:14" x14ac:dyDescent="0.25">
      <c r="B188" s="489"/>
      <c r="C188" s="490"/>
      <c r="D188" s="490"/>
      <c r="E188" s="490"/>
      <c r="F188" s="491"/>
      <c r="H188" s="69"/>
      <c r="I188" s="70"/>
      <c r="J188" s="489"/>
      <c r="K188" s="490"/>
      <c r="L188" s="490"/>
      <c r="M188" s="490"/>
      <c r="N188" s="491"/>
    </row>
    <row r="189" spans="2:14" x14ac:dyDescent="0.25">
      <c r="H189" s="69"/>
      <c r="I189" s="70"/>
    </row>
    <row r="190" spans="2:14" x14ac:dyDescent="0.25">
      <c r="H190" s="69"/>
      <c r="I190" s="70"/>
    </row>
    <row r="191" spans="2:14" x14ac:dyDescent="0.25">
      <c r="B191" s="456" t="s">
        <v>618</v>
      </c>
      <c r="C191" s="456"/>
      <c r="D191" s="456"/>
      <c r="E191" s="456"/>
      <c r="F191" s="456"/>
      <c r="H191" s="69"/>
      <c r="I191" s="70"/>
      <c r="J191" s="457" t="s">
        <v>618</v>
      </c>
      <c r="K191" s="458"/>
      <c r="L191" s="458"/>
      <c r="M191" s="458"/>
      <c r="N191" s="459"/>
    </row>
    <row r="192" spans="2:14" x14ac:dyDescent="0.25">
      <c r="B192" s="460" t="s">
        <v>1124</v>
      </c>
      <c r="C192" s="461"/>
      <c r="D192" s="461"/>
      <c r="E192" s="461"/>
      <c r="F192" s="462"/>
      <c r="H192" s="69"/>
      <c r="I192" s="70"/>
      <c r="J192" s="460" t="s">
        <v>1125</v>
      </c>
      <c r="K192" s="461"/>
      <c r="L192" s="461"/>
      <c r="M192" s="461"/>
      <c r="N192" s="462"/>
    </row>
    <row r="193" spans="2:14" x14ac:dyDescent="0.25">
      <c r="B193" s="463"/>
      <c r="C193" s="464"/>
      <c r="D193" s="464"/>
      <c r="E193" s="464"/>
      <c r="F193" s="465"/>
      <c r="H193" s="69"/>
      <c r="I193" s="70"/>
      <c r="J193" s="463"/>
      <c r="K193" s="464"/>
      <c r="L193" s="464"/>
      <c r="M193" s="464"/>
      <c r="N193" s="465"/>
    </row>
    <row r="194" spans="2:14" x14ac:dyDescent="0.25">
      <c r="H194" s="69"/>
      <c r="I194" s="70"/>
    </row>
    <row r="195" spans="2:14" x14ac:dyDescent="0.25">
      <c r="H195" s="69"/>
      <c r="I195" s="70"/>
    </row>
    <row r="196" spans="2:14" x14ac:dyDescent="0.25">
      <c r="H196" s="69"/>
      <c r="I196" s="70"/>
    </row>
    <row r="197" spans="2:14" x14ac:dyDescent="0.25">
      <c r="H197" s="69"/>
      <c r="I197" s="70"/>
    </row>
    <row r="198" spans="2:14" x14ac:dyDescent="0.25">
      <c r="B198" s="315" t="s">
        <v>1089</v>
      </c>
      <c r="C198" s="481" t="s">
        <v>615</v>
      </c>
      <c r="D198" s="482"/>
      <c r="E198" s="456"/>
      <c r="F198" s="456"/>
      <c r="H198" s="69"/>
      <c r="I198" s="70"/>
      <c r="J198" s="457" t="s">
        <v>1090</v>
      </c>
      <c r="K198" s="458"/>
      <c r="L198" s="458"/>
      <c r="M198" s="458"/>
      <c r="N198" s="459"/>
    </row>
    <row r="199" spans="2:14" x14ac:dyDescent="0.25">
      <c r="B199" s="483" t="s">
        <v>617</v>
      </c>
      <c r="C199" s="484"/>
      <c r="D199" s="484"/>
      <c r="E199" s="484"/>
      <c r="F199" s="485"/>
      <c r="H199" s="69"/>
      <c r="I199" s="70"/>
      <c r="J199" s="483" t="s">
        <v>617</v>
      </c>
      <c r="K199" s="484"/>
      <c r="L199" s="484"/>
      <c r="M199" s="484"/>
      <c r="N199" s="485"/>
    </row>
    <row r="200" spans="2:14" x14ac:dyDescent="0.25">
      <c r="B200" s="486"/>
      <c r="C200" s="487"/>
      <c r="D200" s="487"/>
      <c r="E200" s="487"/>
      <c r="F200" s="488"/>
      <c r="H200" s="69"/>
      <c r="I200" s="70"/>
      <c r="J200" s="486"/>
      <c r="K200" s="487"/>
      <c r="L200" s="487"/>
      <c r="M200" s="487"/>
      <c r="N200" s="488"/>
    </row>
    <row r="201" spans="2:14" x14ac:dyDescent="0.25">
      <c r="B201" s="486"/>
      <c r="C201" s="487"/>
      <c r="D201" s="487"/>
      <c r="E201" s="487"/>
      <c r="F201" s="488"/>
      <c r="H201" s="69"/>
      <c r="I201" s="70"/>
      <c r="J201" s="486"/>
      <c r="K201" s="487"/>
      <c r="L201" s="487"/>
      <c r="M201" s="487"/>
      <c r="N201" s="488"/>
    </row>
    <row r="202" spans="2:14" x14ac:dyDescent="0.25">
      <c r="B202" s="486"/>
      <c r="C202" s="487"/>
      <c r="D202" s="487"/>
      <c r="E202" s="487"/>
      <c r="F202" s="488"/>
      <c r="H202" s="69"/>
      <c r="I202" s="70"/>
      <c r="J202" s="486"/>
      <c r="K202" s="487"/>
      <c r="L202" s="487"/>
      <c r="M202" s="487"/>
      <c r="N202" s="488"/>
    </row>
    <row r="203" spans="2:14" x14ac:dyDescent="0.25">
      <c r="B203" s="486"/>
      <c r="C203" s="487"/>
      <c r="D203" s="487"/>
      <c r="E203" s="487"/>
      <c r="F203" s="488"/>
      <c r="H203" s="69"/>
      <c r="I203" s="70"/>
      <c r="J203" s="486"/>
      <c r="K203" s="487"/>
      <c r="L203" s="487"/>
      <c r="M203" s="487"/>
      <c r="N203" s="488"/>
    </row>
    <row r="204" spans="2:14" x14ac:dyDescent="0.25">
      <c r="B204" s="486"/>
      <c r="C204" s="487"/>
      <c r="D204" s="487"/>
      <c r="E204" s="487"/>
      <c r="F204" s="488"/>
      <c r="H204" s="69"/>
      <c r="I204" s="70"/>
      <c r="J204" s="486"/>
      <c r="K204" s="487"/>
      <c r="L204" s="487"/>
      <c r="M204" s="487"/>
      <c r="N204" s="488"/>
    </row>
    <row r="205" spans="2:14" x14ac:dyDescent="0.25">
      <c r="B205" s="486"/>
      <c r="C205" s="487"/>
      <c r="D205" s="487"/>
      <c r="E205" s="487"/>
      <c r="F205" s="488"/>
      <c r="H205" s="69"/>
      <c r="I205" s="70"/>
      <c r="J205" s="486"/>
      <c r="K205" s="487"/>
      <c r="L205" s="487"/>
      <c r="M205" s="487"/>
      <c r="N205" s="488"/>
    </row>
    <row r="206" spans="2:14" x14ac:dyDescent="0.25">
      <c r="B206" s="486"/>
      <c r="C206" s="487"/>
      <c r="D206" s="487"/>
      <c r="E206" s="487"/>
      <c r="F206" s="488"/>
      <c r="H206" s="69"/>
      <c r="I206" s="70"/>
      <c r="J206" s="486"/>
      <c r="K206" s="487"/>
      <c r="L206" s="487"/>
      <c r="M206" s="487"/>
      <c r="N206" s="488"/>
    </row>
    <row r="207" spans="2:14" x14ac:dyDescent="0.25">
      <c r="B207" s="486"/>
      <c r="C207" s="487"/>
      <c r="D207" s="487"/>
      <c r="E207" s="487"/>
      <c r="F207" s="488"/>
      <c r="H207" s="69"/>
      <c r="I207" s="70"/>
      <c r="J207" s="486"/>
      <c r="K207" s="487"/>
      <c r="L207" s="487"/>
      <c r="M207" s="487"/>
      <c r="N207" s="488"/>
    </row>
    <row r="208" spans="2:14" x14ac:dyDescent="0.25">
      <c r="B208" s="486"/>
      <c r="C208" s="487"/>
      <c r="D208" s="487"/>
      <c r="E208" s="487"/>
      <c r="F208" s="488"/>
      <c r="H208" s="69"/>
      <c r="I208" s="70"/>
      <c r="J208" s="486"/>
      <c r="K208" s="487"/>
      <c r="L208" s="487"/>
      <c r="M208" s="487"/>
      <c r="N208" s="488"/>
    </row>
    <row r="209" spans="2:14" x14ac:dyDescent="0.25">
      <c r="B209" s="486"/>
      <c r="C209" s="487"/>
      <c r="D209" s="487"/>
      <c r="E209" s="487"/>
      <c r="F209" s="488"/>
      <c r="H209" s="69"/>
      <c r="I209" s="70"/>
      <c r="J209" s="486"/>
      <c r="K209" s="487"/>
      <c r="L209" s="487"/>
      <c r="M209" s="487"/>
      <c r="N209" s="488"/>
    </row>
    <row r="210" spans="2:14" x14ac:dyDescent="0.25">
      <c r="B210" s="486"/>
      <c r="C210" s="487"/>
      <c r="D210" s="487"/>
      <c r="E210" s="487"/>
      <c r="F210" s="488"/>
      <c r="H210" s="69"/>
      <c r="I210" s="70"/>
      <c r="J210" s="486"/>
      <c r="K210" s="487"/>
      <c r="L210" s="487"/>
      <c r="M210" s="487"/>
      <c r="N210" s="488"/>
    </row>
    <row r="211" spans="2:14" x14ac:dyDescent="0.25">
      <c r="B211" s="486"/>
      <c r="C211" s="487"/>
      <c r="D211" s="487"/>
      <c r="E211" s="487"/>
      <c r="F211" s="488"/>
      <c r="H211" s="69"/>
      <c r="I211" s="70"/>
      <c r="J211" s="486"/>
      <c r="K211" s="487"/>
      <c r="L211" s="487"/>
      <c r="M211" s="487"/>
      <c r="N211" s="488"/>
    </row>
    <row r="212" spans="2:14" x14ac:dyDescent="0.25">
      <c r="B212" s="489"/>
      <c r="C212" s="490"/>
      <c r="D212" s="490"/>
      <c r="E212" s="490"/>
      <c r="F212" s="491"/>
      <c r="H212" s="69"/>
      <c r="I212" s="70"/>
      <c r="J212" s="489"/>
      <c r="K212" s="490"/>
      <c r="L212" s="490"/>
      <c r="M212" s="490"/>
      <c r="N212" s="491"/>
    </row>
    <row r="213" spans="2:14" x14ac:dyDescent="0.25">
      <c r="H213" s="69"/>
      <c r="I213" s="70"/>
    </row>
    <row r="214" spans="2:14" x14ac:dyDescent="0.25">
      <c r="H214" s="69"/>
      <c r="I214" s="70"/>
    </row>
    <row r="215" spans="2:14" x14ac:dyDescent="0.25">
      <c r="B215" s="456" t="s">
        <v>618</v>
      </c>
      <c r="C215" s="456"/>
      <c r="D215" s="456"/>
      <c r="E215" s="456"/>
      <c r="F215" s="456"/>
      <c r="H215" s="69"/>
      <c r="I215" s="70"/>
      <c r="J215" s="457" t="s">
        <v>618</v>
      </c>
      <c r="K215" s="458"/>
      <c r="L215" s="458"/>
      <c r="M215" s="458"/>
      <c r="N215" s="459"/>
    </row>
    <row r="216" spans="2:14" x14ac:dyDescent="0.25">
      <c r="B216" s="460" t="s">
        <v>1126</v>
      </c>
      <c r="C216" s="461"/>
      <c r="D216" s="461"/>
      <c r="E216" s="461"/>
      <c r="F216" s="462"/>
      <c r="H216" s="69"/>
      <c r="I216" s="70"/>
      <c r="J216" s="460" t="s">
        <v>1127</v>
      </c>
      <c r="K216" s="461"/>
      <c r="L216" s="461"/>
      <c r="M216" s="461"/>
      <c r="N216" s="462"/>
    </row>
    <row r="217" spans="2:14" x14ac:dyDescent="0.25">
      <c r="B217" s="463"/>
      <c r="C217" s="464"/>
      <c r="D217" s="464"/>
      <c r="E217" s="464"/>
      <c r="F217" s="465"/>
      <c r="H217" s="69"/>
      <c r="I217" s="70"/>
      <c r="J217" s="463"/>
      <c r="K217" s="464"/>
      <c r="L217" s="464"/>
      <c r="M217" s="464"/>
      <c r="N217" s="465"/>
    </row>
    <row r="218" spans="2:14" x14ac:dyDescent="0.25">
      <c r="H218" s="69"/>
      <c r="I218" s="70"/>
    </row>
    <row r="219" spans="2:14" x14ac:dyDescent="0.25">
      <c r="H219" s="69"/>
      <c r="I219" s="70"/>
    </row>
    <row r="220" spans="2:14" x14ac:dyDescent="0.25">
      <c r="H220" s="69"/>
      <c r="I220" s="70"/>
    </row>
    <row r="221" spans="2:14" x14ac:dyDescent="0.25">
      <c r="H221" s="69"/>
      <c r="I221" s="70"/>
    </row>
    <row r="222" spans="2:14" x14ac:dyDescent="0.25">
      <c r="B222" s="315" t="s">
        <v>1091</v>
      </c>
      <c r="C222" s="481" t="s">
        <v>615</v>
      </c>
      <c r="D222" s="482"/>
      <c r="E222" s="456"/>
      <c r="F222" s="456"/>
      <c r="H222" s="69"/>
      <c r="I222" s="70"/>
      <c r="J222" s="457" t="s">
        <v>1092</v>
      </c>
      <c r="K222" s="458"/>
      <c r="L222" s="458"/>
      <c r="M222" s="458"/>
      <c r="N222" s="459"/>
    </row>
    <row r="223" spans="2:14" x14ac:dyDescent="0.25">
      <c r="B223" s="483" t="s">
        <v>617</v>
      </c>
      <c r="C223" s="484"/>
      <c r="D223" s="484"/>
      <c r="E223" s="484"/>
      <c r="F223" s="485"/>
      <c r="H223" s="69"/>
      <c r="I223" s="70"/>
      <c r="J223" s="483" t="s">
        <v>617</v>
      </c>
      <c r="K223" s="484"/>
      <c r="L223" s="484"/>
      <c r="M223" s="484"/>
      <c r="N223" s="485"/>
    </row>
    <row r="224" spans="2:14" x14ac:dyDescent="0.25">
      <c r="B224" s="486"/>
      <c r="C224" s="487"/>
      <c r="D224" s="487"/>
      <c r="E224" s="487"/>
      <c r="F224" s="488"/>
      <c r="H224" s="69"/>
      <c r="I224" s="70"/>
      <c r="J224" s="486"/>
      <c r="K224" s="487"/>
      <c r="L224" s="487"/>
      <c r="M224" s="487"/>
      <c r="N224" s="488"/>
    </row>
    <row r="225" spans="2:14" x14ac:dyDescent="0.25">
      <c r="B225" s="486"/>
      <c r="C225" s="487"/>
      <c r="D225" s="487"/>
      <c r="E225" s="487"/>
      <c r="F225" s="488"/>
      <c r="H225" s="69"/>
      <c r="I225" s="70"/>
      <c r="J225" s="486"/>
      <c r="K225" s="487"/>
      <c r="L225" s="487"/>
      <c r="M225" s="487"/>
      <c r="N225" s="488"/>
    </row>
    <row r="226" spans="2:14" x14ac:dyDescent="0.25">
      <c r="B226" s="486"/>
      <c r="C226" s="487"/>
      <c r="D226" s="487"/>
      <c r="E226" s="487"/>
      <c r="F226" s="488"/>
      <c r="H226" s="69"/>
      <c r="I226" s="70"/>
      <c r="J226" s="486"/>
      <c r="K226" s="487"/>
      <c r="L226" s="487"/>
      <c r="M226" s="487"/>
      <c r="N226" s="488"/>
    </row>
    <row r="227" spans="2:14" x14ac:dyDescent="0.25">
      <c r="B227" s="486"/>
      <c r="C227" s="487"/>
      <c r="D227" s="487"/>
      <c r="E227" s="487"/>
      <c r="F227" s="488"/>
      <c r="H227" s="69"/>
      <c r="I227" s="70"/>
      <c r="J227" s="486"/>
      <c r="K227" s="487"/>
      <c r="L227" s="487"/>
      <c r="M227" s="487"/>
      <c r="N227" s="488"/>
    </row>
    <row r="228" spans="2:14" x14ac:dyDescent="0.25">
      <c r="B228" s="486"/>
      <c r="C228" s="487"/>
      <c r="D228" s="487"/>
      <c r="E228" s="487"/>
      <c r="F228" s="488"/>
      <c r="H228" s="69"/>
      <c r="I228" s="70"/>
      <c r="J228" s="486"/>
      <c r="K228" s="487"/>
      <c r="L228" s="487"/>
      <c r="M228" s="487"/>
      <c r="N228" s="488"/>
    </row>
    <row r="229" spans="2:14" x14ac:dyDescent="0.25">
      <c r="B229" s="486"/>
      <c r="C229" s="487"/>
      <c r="D229" s="487"/>
      <c r="E229" s="487"/>
      <c r="F229" s="488"/>
      <c r="H229" s="69"/>
      <c r="I229" s="70"/>
      <c r="J229" s="486"/>
      <c r="K229" s="487"/>
      <c r="L229" s="487"/>
      <c r="M229" s="487"/>
      <c r="N229" s="488"/>
    </row>
    <row r="230" spans="2:14" x14ac:dyDescent="0.25">
      <c r="B230" s="486"/>
      <c r="C230" s="487"/>
      <c r="D230" s="487"/>
      <c r="E230" s="487"/>
      <c r="F230" s="488"/>
      <c r="H230" s="69"/>
      <c r="I230" s="70"/>
      <c r="J230" s="486"/>
      <c r="K230" s="487"/>
      <c r="L230" s="487"/>
      <c r="M230" s="487"/>
      <c r="N230" s="488"/>
    </row>
    <row r="231" spans="2:14" x14ac:dyDescent="0.25">
      <c r="B231" s="486"/>
      <c r="C231" s="487"/>
      <c r="D231" s="487"/>
      <c r="E231" s="487"/>
      <c r="F231" s="488"/>
      <c r="H231" s="69"/>
      <c r="I231" s="70"/>
      <c r="J231" s="486"/>
      <c r="K231" s="487"/>
      <c r="L231" s="487"/>
      <c r="M231" s="487"/>
      <c r="N231" s="488"/>
    </row>
    <row r="232" spans="2:14" x14ac:dyDescent="0.25">
      <c r="B232" s="486"/>
      <c r="C232" s="487"/>
      <c r="D232" s="487"/>
      <c r="E232" s="487"/>
      <c r="F232" s="488"/>
      <c r="H232" s="69"/>
      <c r="I232" s="70"/>
      <c r="J232" s="486"/>
      <c r="K232" s="487"/>
      <c r="L232" s="487"/>
      <c r="M232" s="487"/>
      <c r="N232" s="488"/>
    </row>
    <row r="233" spans="2:14" x14ac:dyDescent="0.25">
      <c r="B233" s="486"/>
      <c r="C233" s="487"/>
      <c r="D233" s="487"/>
      <c r="E233" s="487"/>
      <c r="F233" s="488"/>
      <c r="H233" s="69"/>
      <c r="I233" s="70"/>
      <c r="J233" s="486"/>
      <c r="K233" s="487"/>
      <c r="L233" s="487"/>
      <c r="M233" s="487"/>
      <c r="N233" s="488"/>
    </row>
    <row r="234" spans="2:14" x14ac:dyDescent="0.25">
      <c r="B234" s="486"/>
      <c r="C234" s="487"/>
      <c r="D234" s="487"/>
      <c r="E234" s="487"/>
      <c r="F234" s="488"/>
      <c r="H234" s="69"/>
      <c r="I234" s="70"/>
      <c r="J234" s="486"/>
      <c r="K234" s="487"/>
      <c r="L234" s="487"/>
      <c r="M234" s="487"/>
      <c r="N234" s="488"/>
    </row>
    <row r="235" spans="2:14" x14ac:dyDescent="0.25">
      <c r="B235" s="486"/>
      <c r="C235" s="487"/>
      <c r="D235" s="487"/>
      <c r="E235" s="487"/>
      <c r="F235" s="488"/>
      <c r="H235" s="69"/>
      <c r="I235" s="70"/>
      <c r="J235" s="486"/>
      <c r="K235" s="487"/>
      <c r="L235" s="487"/>
      <c r="M235" s="487"/>
      <c r="N235" s="488"/>
    </row>
    <row r="236" spans="2:14" x14ac:dyDescent="0.25">
      <c r="B236" s="489"/>
      <c r="C236" s="490"/>
      <c r="D236" s="490"/>
      <c r="E236" s="490"/>
      <c r="F236" s="491"/>
      <c r="H236" s="69"/>
      <c r="I236" s="70"/>
      <c r="J236" s="489"/>
      <c r="K236" s="490"/>
      <c r="L236" s="490"/>
      <c r="M236" s="490"/>
      <c r="N236" s="491"/>
    </row>
    <row r="237" spans="2:14" x14ac:dyDescent="0.25">
      <c r="H237" s="69"/>
      <c r="I237" s="70"/>
    </row>
    <row r="238" spans="2:14" x14ac:dyDescent="0.25">
      <c r="H238" s="69"/>
      <c r="I238" s="70"/>
    </row>
    <row r="239" spans="2:14" x14ac:dyDescent="0.25">
      <c r="B239" s="456" t="s">
        <v>618</v>
      </c>
      <c r="C239" s="456"/>
      <c r="D239" s="456"/>
      <c r="E239" s="456"/>
      <c r="F239" s="456"/>
      <c r="H239" s="69"/>
      <c r="I239" s="70"/>
      <c r="J239" s="457" t="s">
        <v>618</v>
      </c>
      <c r="K239" s="458"/>
      <c r="L239" s="458"/>
      <c r="M239" s="458"/>
      <c r="N239" s="459"/>
    </row>
    <row r="240" spans="2:14" x14ac:dyDescent="0.25">
      <c r="B240" s="460" t="s">
        <v>1126</v>
      </c>
      <c r="C240" s="461"/>
      <c r="D240" s="461"/>
      <c r="E240" s="461"/>
      <c r="F240" s="462"/>
      <c r="H240" s="69"/>
      <c r="I240" s="70"/>
      <c r="J240" s="460" t="s">
        <v>1127</v>
      </c>
      <c r="K240" s="461"/>
      <c r="L240" s="461"/>
      <c r="M240" s="461"/>
      <c r="N240" s="462"/>
    </row>
    <row r="241" spans="2:14" x14ac:dyDescent="0.25">
      <c r="B241" s="463"/>
      <c r="C241" s="464"/>
      <c r="D241" s="464"/>
      <c r="E241" s="464"/>
      <c r="F241" s="465"/>
      <c r="H241" s="69"/>
      <c r="I241" s="70"/>
      <c r="J241" s="463"/>
      <c r="K241" s="464"/>
      <c r="L241" s="464"/>
      <c r="M241" s="464"/>
      <c r="N241" s="465"/>
    </row>
    <row r="242" spans="2:14" x14ac:dyDescent="0.25">
      <c r="H242" s="69"/>
      <c r="I242" s="70"/>
    </row>
    <row r="243" spans="2:14" x14ac:dyDescent="0.25">
      <c r="H243" s="69"/>
      <c r="I243" s="70"/>
    </row>
    <row r="244" spans="2:14" x14ac:dyDescent="0.25">
      <c r="H244" s="69"/>
      <c r="I244" s="70"/>
    </row>
    <row r="245" spans="2:14" x14ac:dyDescent="0.25">
      <c r="H245" s="69"/>
      <c r="I245" s="70"/>
    </row>
    <row r="246" spans="2:14" x14ac:dyDescent="0.25">
      <c r="B246" s="315" t="s">
        <v>1093</v>
      </c>
      <c r="C246" s="481" t="s">
        <v>615</v>
      </c>
      <c r="D246" s="482"/>
      <c r="E246" s="456"/>
      <c r="F246" s="456"/>
      <c r="H246" s="69"/>
      <c r="I246" s="70"/>
      <c r="J246" s="457" t="s">
        <v>1094</v>
      </c>
      <c r="K246" s="458"/>
      <c r="L246" s="458"/>
      <c r="M246" s="458"/>
      <c r="N246" s="459"/>
    </row>
    <row r="247" spans="2:14" x14ac:dyDescent="0.25">
      <c r="B247" s="483" t="s">
        <v>617</v>
      </c>
      <c r="C247" s="484"/>
      <c r="D247" s="484"/>
      <c r="E247" s="484"/>
      <c r="F247" s="485"/>
      <c r="H247" s="69"/>
      <c r="I247" s="70"/>
      <c r="J247" s="483" t="s">
        <v>617</v>
      </c>
      <c r="K247" s="484"/>
      <c r="L247" s="484"/>
      <c r="M247" s="484"/>
      <c r="N247" s="485"/>
    </row>
    <row r="248" spans="2:14" x14ac:dyDescent="0.25">
      <c r="B248" s="486"/>
      <c r="C248" s="487"/>
      <c r="D248" s="487"/>
      <c r="E248" s="487"/>
      <c r="F248" s="488"/>
      <c r="H248" s="69"/>
      <c r="I248" s="70"/>
      <c r="J248" s="486"/>
      <c r="K248" s="487"/>
      <c r="L248" s="487"/>
      <c r="M248" s="487"/>
      <c r="N248" s="488"/>
    </row>
    <row r="249" spans="2:14" x14ac:dyDescent="0.25">
      <c r="B249" s="486"/>
      <c r="C249" s="487"/>
      <c r="D249" s="487"/>
      <c r="E249" s="487"/>
      <c r="F249" s="488"/>
      <c r="H249" s="69"/>
      <c r="I249" s="70"/>
      <c r="J249" s="486"/>
      <c r="K249" s="487"/>
      <c r="L249" s="487"/>
      <c r="M249" s="487"/>
      <c r="N249" s="488"/>
    </row>
    <row r="250" spans="2:14" x14ac:dyDescent="0.25">
      <c r="B250" s="486"/>
      <c r="C250" s="487"/>
      <c r="D250" s="487"/>
      <c r="E250" s="487"/>
      <c r="F250" s="488"/>
      <c r="H250" s="69"/>
      <c r="I250" s="70"/>
      <c r="J250" s="486"/>
      <c r="K250" s="487"/>
      <c r="L250" s="487"/>
      <c r="M250" s="487"/>
      <c r="N250" s="488"/>
    </row>
    <row r="251" spans="2:14" x14ac:dyDescent="0.25">
      <c r="B251" s="486"/>
      <c r="C251" s="487"/>
      <c r="D251" s="487"/>
      <c r="E251" s="487"/>
      <c r="F251" s="488"/>
      <c r="H251" s="69"/>
      <c r="I251" s="70"/>
      <c r="J251" s="486"/>
      <c r="K251" s="487"/>
      <c r="L251" s="487"/>
      <c r="M251" s="487"/>
      <c r="N251" s="488"/>
    </row>
    <row r="252" spans="2:14" x14ac:dyDescent="0.25">
      <c r="B252" s="486"/>
      <c r="C252" s="487"/>
      <c r="D252" s="487"/>
      <c r="E252" s="487"/>
      <c r="F252" s="488"/>
      <c r="H252" s="69"/>
      <c r="I252" s="70"/>
      <c r="J252" s="486"/>
      <c r="K252" s="487"/>
      <c r="L252" s="487"/>
      <c r="M252" s="487"/>
      <c r="N252" s="488"/>
    </row>
    <row r="253" spans="2:14" x14ac:dyDescent="0.25">
      <c r="B253" s="486"/>
      <c r="C253" s="487"/>
      <c r="D253" s="487"/>
      <c r="E253" s="487"/>
      <c r="F253" s="488"/>
      <c r="H253" s="69"/>
      <c r="I253" s="70"/>
      <c r="J253" s="486"/>
      <c r="K253" s="487"/>
      <c r="L253" s="487"/>
      <c r="M253" s="487"/>
      <c r="N253" s="488"/>
    </row>
    <row r="254" spans="2:14" x14ac:dyDescent="0.25">
      <c r="B254" s="486"/>
      <c r="C254" s="487"/>
      <c r="D254" s="487"/>
      <c r="E254" s="487"/>
      <c r="F254" s="488"/>
      <c r="H254" s="69"/>
      <c r="I254" s="70"/>
      <c r="J254" s="486"/>
      <c r="K254" s="487"/>
      <c r="L254" s="487"/>
      <c r="M254" s="487"/>
      <c r="N254" s="488"/>
    </row>
    <row r="255" spans="2:14" x14ac:dyDescent="0.25">
      <c r="B255" s="486"/>
      <c r="C255" s="487"/>
      <c r="D255" s="487"/>
      <c r="E255" s="487"/>
      <c r="F255" s="488"/>
      <c r="H255" s="69"/>
      <c r="I255" s="70"/>
      <c r="J255" s="486"/>
      <c r="K255" s="487"/>
      <c r="L255" s="487"/>
      <c r="M255" s="487"/>
      <c r="N255" s="488"/>
    </row>
    <row r="256" spans="2:14" x14ac:dyDescent="0.25">
      <c r="B256" s="486"/>
      <c r="C256" s="487"/>
      <c r="D256" s="487"/>
      <c r="E256" s="487"/>
      <c r="F256" s="488"/>
      <c r="H256" s="69"/>
      <c r="I256" s="70"/>
      <c r="J256" s="486"/>
      <c r="K256" s="487"/>
      <c r="L256" s="487"/>
      <c r="M256" s="487"/>
      <c r="N256" s="488"/>
    </row>
    <row r="257" spans="2:14" x14ac:dyDescent="0.25">
      <c r="B257" s="486"/>
      <c r="C257" s="487"/>
      <c r="D257" s="487"/>
      <c r="E257" s="487"/>
      <c r="F257" s="488"/>
      <c r="H257" s="69"/>
      <c r="I257" s="70"/>
      <c r="J257" s="486"/>
      <c r="K257" s="487"/>
      <c r="L257" s="487"/>
      <c r="M257" s="487"/>
      <c r="N257" s="488"/>
    </row>
    <row r="258" spans="2:14" x14ac:dyDescent="0.25">
      <c r="B258" s="486"/>
      <c r="C258" s="487"/>
      <c r="D258" s="487"/>
      <c r="E258" s="487"/>
      <c r="F258" s="488"/>
      <c r="H258" s="69"/>
      <c r="I258" s="70"/>
      <c r="J258" s="486"/>
      <c r="K258" s="487"/>
      <c r="L258" s="487"/>
      <c r="M258" s="487"/>
      <c r="N258" s="488"/>
    </row>
    <row r="259" spans="2:14" x14ac:dyDescent="0.25">
      <c r="B259" s="486"/>
      <c r="C259" s="487"/>
      <c r="D259" s="487"/>
      <c r="E259" s="487"/>
      <c r="F259" s="488"/>
      <c r="H259" s="69"/>
      <c r="I259" s="70"/>
      <c r="J259" s="486"/>
      <c r="K259" s="487"/>
      <c r="L259" s="487"/>
      <c r="M259" s="487"/>
      <c r="N259" s="488"/>
    </row>
    <row r="260" spans="2:14" x14ac:dyDescent="0.25">
      <c r="B260" s="489"/>
      <c r="C260" s="490"/>
      <c r="D260" s="490"/>
      <c r="E260" s="490"/>
      <c r="F260" s="491"/>
      <c r="H260" s="69"/>
      <c r="I260" s="70"/>
      <c r="J260" s="489"/>
      <c r="K260" s="490"/>
      <c r="L260" s="490"/>
      <c r="M260" s="490"/>
      <c r="N260" s="491"/>
    </row>
    <row r="261" spans="2:14" x14ac:dyDescent="0.25">
      <c r="H261" s="69"/>
      <c r="I261" s="70"/>
    </row>
    <row r="262" spans="2:14" x14ac:dyDescent="0.25">
      <c r="H262" s="69"/>
      <c r="I262" s="70"/>
    </row>
    <row r="263" spans="2:14" x14ac:dyDescent="0.25">
      <c r="B263" s="456" t="s">
        <v>618</v>
      </c>
      <c r="C263" s="456"/>
      <c r="D263" s="456"/>
      <c r="E263" s="456"/>
      <c r="F263" s="456"/>
      <c r="H263" s="69"/>
      <c r="I263" s="70"/>
      <c r="J263" s="457" t="s">
        <v>618</v>
      </c>
      <c r="K263" s="458"/>
      <c r="L263" s="458"/>
      <c r="M263" s="458"/>
      <c r="N263" s="459"/>
    </row>
    <row r="264" spans="2:14" x14ac:dyDescent="0.25">
      <c r="B264" s="460"/>
      <c r="C264" s="461"/>
      <c r="D264" s="461"/>
      <c r="E264" s="461"/>
      <c r="F264" s="462"/>
      <c r="H264" s="69"/>
      <c r="I264" s="70"/>
      <c r="J264" s="460"/>
      <c r="K264" s="461"/>
      <c r="L264" s="461"/>
      <c r="M264" s="461"/>
      <c r="N264" s="462"/>
    </row>
    <row r="265" spans="2:14" x14ac:dyDescent="0.25">
      <c r="B265" s="463"/>
      <c r="C265" s="464"/>
      <c r="D265" s="464"/>
      <c r="E265" s="464"/>
      <c r="F265" s="465"/>
      <c r="H265" s="69"/>
      <c r="I265" s="70"/>
      <c r="J265" s="463"/>
      <c r="K265" s="464"/>
      <c r="L265" s="464"/>
      <c r="M265" s="464"/>
      <c r="N265" s="465"/>
    </row>
    <row r="266" spans="2:14" x14ac:dyDescent="0.25">
      <c r="H266" s="69"/>
      <c r="I266" s="70"/>
    </row>
    <row r="267" spans="2:14" x14ac:dyDescent="0.25">
      <c r="H267" s="69"/>
      <c r="I267" s="70"/>
    </row>
    <row r="268" spans="2:14" x14ac:dyDescent="0.25">
      <c r="H268" s="69"/>
      <c r="I268" s="70"/>
    </row>
    <row r="269" spans="2:14" x14ac:dyDescent="0.25">
      <c r="H269" s="69"/>
      <c r="I269" s="70"/>
    </row>
    <row r="270" spans="2:14" x14ac:dyDescent="0.25">
      <c r="B270" s="316" t="s">
        <v>1095</v>
      </c>
      <c r="C270" s="481" t="s">
        <v>615</v>
      </c>
      <c r="D270" s="482"/>
      <c r="E270" s="456"/>
      <c r="F270" s="456"/>
      <c r="H270" s="69"/>
      <c r="I270" s="70"/>
      <c r="J270" s="457" t="s">
        <v>1096</v>
      </c>
      <c r="K270" s="458"/>
      <c r="L270" s="458"/>
      <c r="M270" s="458"/>
      <c r="N270" s="459"/>
    </row>
    <row r="271" spans="2:14" x14ac:dyDescent="0.25">
      <c r="B271" s="483" t="s">
        <v>617</v>
      </c>
      <c r="C271" s="484"/>
      <c r="D271" s="484"/>
      <c r="E271" s="484"/>
      <c r="F271" s="485"/>
      <c r="H271" s="69"/>
      <c r="I271" s="70"/>
      <c r="J271" s="483" t="s">
        <v>617</v>
      </c>
      <c r="K271" s="484"/>
      <c r="L271" s="484"/>
      <c r="M271" s="484"/>
      <c r="N271" s="485"/>
    </row>
    <row r="272" spans="2:14" x14ac:dyDescent="0.25">
      <c r="B272" s="486"/>
      <c r="C272" s="487"/>
      <c r="D272" s="487"/>
      <c r="E272" s="487"/>
      <c r="F272" s="488"/>
      <c r="H272" s="69"/>
      <c r="I272" s="70"/>
      <c r="J272" s="486"/>
      <c r="K272" s="487"/>
      <c r="L272" s="487"/>
      <c r="M272" s="487"/>
      <c r="N272" s="488"/>
    </row>
    <row r="273" spans="2:14" x14ac:dyDescent="0.25">
      <c r="B273" s="486"/>
      <c r="C273" s="487"/>
      <c r="D273" s="487"/>
      <c r="E273" s="487"/>
      <c r="F273" s="488"/>
      <c r="H273" s="69"/>
      <c r="I273" s="70"/>
      <c r="J273" s="486"/>
      <c r="K273" s="487"/>
      <c r="L273" s="487"/>
      <c r="M273" s="487"/>
      <c r="N273" s="488"/>
    </row>
    <row r="274" spans="2:14" x14ac:dyDescent="0.25">
      <c r="B274" s="486"/>
      <c r="C274" s="487"/>
      <c r="D274" s="487"/>
      <c r="E274" s="487"/>
      <c r="F274" s="488"/>
      <c r="H274" s="69"/>
      <c r="I274" s="70"/>
      <c r="J274" s="486"/>
      <c r="K274" s="487"/>
      <c r="L274" s="487"/>
      <c r="M274" s="487"/>
      <c r="N274" s="488"/>
    </row>
    <row r="275" spans="2:14" x14ac:dyDescent="0.25">
      <c r="B275" s="486"/>
      <c r="C275" s="487"/>
      <c r="D275" s="487"/>
      <c r="E275" s="487"/>
      <c r="F275" s="488"/>
      <c r="H275" s="69"/>
      <c r="I275" s="70"/>
      <c r="J275" s="486"/>
      <c r="K275" s="487"/>
      <c r="L275" s="487"/>
      <c r="M275" s="487"/>
      <c r="N275" s="488"/>
    </row>
    <row r="276" spans="2:14" x14ac:dyDescent="0.25">
      <c r="B276" s="486"/>
      <c r="C276" s="487"/>
      <c r="D276" s="487"/>
      <c r="E276" s="487"/>
      <c r="F276" s="488"/>
      <c r="H276" s="69"/>
      <c r="I276" s="70"/>
      <c r="J276" s="486"/>
      <c r="K276" s="487"/>
      <c r="L276" s="487"/>
      <c r="M276" s="487"/>
      <c r="N276" s="488"/>
    </row>
    <row r="277" spans="2:14" x14ac:dyDescent="0.25">
      <c r="B277" s="486"/>
      <c r="C277" s="487"/>
      <c r="D277" s="487"/>
      <c r="E277" s="487"/>
      <c r="F277" s="488"/>
      <c r="H277" s="69"/>
      <c r="I277" s="70"/>
      <c r="J277" s="486"/>
      <c r="K277" s="487"/>
      <c r="L277" s="487"/>
      <c r="M277" s="487"/>
      <c r="N277" s="488"/>
    </row>
    <row r="278" spans="2:14" x14ac:dyDescent="0.25">
      <c r="B278" s="486"/>
      <c r="C278" s="487"/>
      <c r="D278" s="487"/>
      <c r="E278" s="487"/>
      <c r="F278" s="488"/>
      <c r="H278" s="69"/>
      <c r="I278" s="70"/>
      <c r="J278" s="486"/>
      <c r="K278" s="487"/>
      <c r="L278" s="487"/>
      <c r="M278" s="487"/>
      <c r="N278" s="488"/>
    </row>
    <row r="279" spans="2:14" x14ac:dyDescent="0.25">
      <c r="B279" s="486"/>
      <c r="C279" s="487"/>
      <c r="D279" s="487"/>
      <c r="E279" s="487"/>
      <c r="F279" s="488"/>
      <c r="H279" s="69"/>
      <c r="I279" s="70"/>
      <c r="J279" s="486"/>
      <c r="K279" s="487"/>
      <c r="L279" s="487"/>
      <c r="M279" s="487"/>
      <c r="N279" s="488"/>
    </row>
    <row r="280" spans="2:14" x14ac:dyDescent="0.25">
      <c r="B280" s="486"/>
      <c r="C280" s="487"/>
      <c r="D280" s="487"/>
      <c r="E280" s="487"/>
      <c r="F280" s="488"/>
      <c r="H280" s="69"/>
      <c r="I280" s="70"/>
      <c r="J280" s="486"/>
      <c r="K280" s="487"/>
      <c r="L280" s="487"/>
      <c r="M280" s="487"/>
      <c r="N280" s="488"/>
    </row>
    <row r="281" spans="2:14" x14ac:dyDescent="0.25">
      <c r="B281" s="486"/>
      <c r="C281" s="487"/>
      <c r="D281" s="487"/>
      <c r="E281" s="487"/>
      <c r="F281" s="488"/>
      <c r="H281" s="69"/>
      <c r="I281" s="70"/>
      <c r="J281" s="486"/>
      <c r="K281" s="487"/>
      <c r="L281" s="487"/>
      <c r="M281" s="487"/>
      <c r="N281" s="488"/>
    </row>
    <row r="282" spans="2:14" x14ac:dyDescent="0.25">
      <c r="B282" s="486"/>
      <c r="C282" s="487"/>
      <c r="D282" s="487"/>
      <c r="E282" s="487"/>
      <c r="F282" s="488"/>
      <c r="H282" s="69"/>
      <c r="I282" s="70"/>
      <c r="J282" s="486"/>
      <c r="K282" s="487"/>
      <c r="L282" s="487"/>
      <c r="M282" s="487"/>
      <c r="N282" s="488"/>
    </row>
    <row r="283" spans="2:14" x14ac:dyDescent="0.25">
      <c r="B283" s="486"/>
      <c r="C283" s="487"/>
      <c r="D283" s="487"/>
      <c r="E283" s="487"/>
      <c r="F283" s="488"/>
      <c r="H283" s="69"/>
      <c r="I283" s="70"/>
      <c r="J283" s="486"/>
      <c r="K283" s="487"/>
      <c r="L283" s="487"/>
      <c r="M283" s="487"/>
      <c r="N283" s="488"/>
    </row>
    <row r="284" spans="2:14" x14ac:dyDescent="0.25">
      <c r="B284" s="489"/>
      <c r="C284" s="490"/>
      <c r="D284" s="490"/>
      <c r="E284" s="490"/>
      <c r="F284" s="491"/>
      <c r="H284" s="69"/>
      <c r="I284" s="70"/>
      <c r="J284" s="489"/>
      <c r="K284" s="490"/>
      <c r="L284" s="490"/>
      <c r="M284" s="490"/>
      <c r="N284" s="491"/>
    </row>
    <row r="285" spans="2:14" x14ac:dyDescent="0.25">
      <c r="H285" s="69"/>
      <c r="I285" s="70"/>
    </row>
    <row r="286" spans="2:14" x14ac:dyDescent="0.25">
      <c r="H286" s="69"/>
      <c r="I286" s="70"/>
    </row>
    <row r="287" spans="2:14" x14ac:dyDescent="0.25">
      <c r="B287" s="456" t="s">
        <v>618</v>
      </c>
      <c r="C287" s="456"/>
      <c r="D287" s="456"/>
      <c r="E287" s="456"/>
      <c r="F287" s="456"/>
      <c r="H287" s="69"/>
      <c r="I287" s="70"/>
      <c r="J287" s="457" t="s">
        <v>618</v>
      </c>
      <c r="K287" s="458"/>
      <c r="L287" s="458"/>
      <c r="M287" s="458"/>
      <c r="N287" s="459"/>
    </row>
    <row r="288" spans="2:14" x14ac:dyDescent="0.25">
      <c r="B288" s="460"/>
      <c r="C288" s="461"/>
      <c r="D288" s="461"/>
      <c r="E288" s="461"/>
      <c r="F288" s="462"/>
      <c r="H288" s="69"/>
      <c r="I288" s="70"/>
      <c r="J288" s="460"/>
      <c r="K288" s="461"/>
      <c r="L288" s="461"/>
      <c r="M288" s="461"/>
      <c r="N288" s="462"/>
    </row>
    <row r="289" spans="2:14" x14ac:dyDescent="0.25">
      <c r="B289" s="463"/>
      <c r="C289" s="464"/>
      <c r="D289" s="464"/>
      <c r="E289" s="464"/>
      <c r="F289" s="465"/>
      <c r="H289" s="69"/>
      <c r="I289" s="70"/>
      <c r="J289" s="463"/>
      <c r="K289" s="464"/>
      <c r="L289" s="464"/>
      <c r="M289" s="464"/>
      <c r="N289" s="465"/>
    </row>
    <row r="295" spans="2:14" ht="15" customHeight="1" x14ac:dyDescent="0.25"/>
    <row r="312" ht="15" customHeight="1" x14ac:dyDescent="0.25"/>
    <row r="319" ht="15" customHeight="1" x14ac:dyDescent="0.25"/>
    <row r="343" ht="15" customHeight="1" x14ac:dyDescent="0.25"/>
    <row r="360" ht="15" customHeight="1" x14ac:dyDescent="0.25"/>
    <row r="367" ht="15" customHeight="1" x14ac:dyDescent="0.25"/>
    <row r="384" spans="2:14" x14ac:dyDescent="0.25">
      <c r="B384" s="460"/>
      <c r="C384" s="461"/>
      <c r="D384" s="461"/>
      <c r="E384" s="461"/>
      <c r="F384" s="462"/>
      <c r="H384" s="69"/>
      <c r="I384" s="70"/>
      <c r="J384" s="460"/>
      <c r="K384" s="461"/>
      <c r="L384" s="461"/>
      <c r="M384" s="461"/>
      <c r="N384" s="462"/>
    </row>
    <row r="385" spans="2:14" x14ac:dyDescent="0.25">
      <c r="B385" s="463"/>
      <c r="C385" s="464"/>
      <c r="D385" s="464"/>
      <c r="E385" s="464"/>
      <c r="F385" s="465"/>
      <c r="H385" s="69"/>
      <c r="I385" s="70"/>
      <c r="J385" s="463"/>
      <c r="K385" s="464"/>
      <c r="L385" s="464"/>
      <c r="M385" s="464"/>
      <c r="N385" s="465"/>
    </row>
  </sheetData>
  <mergeCells count="112">
    <mergeCell ref="B247:F260"/>
    <mergeCell ref="J247:N260"/>
    <mergeCell ref="B263:F263"/>
    <mergeCell ref="J263:N263"/>
    <mergeCell ref="B264:F265"/>
    <mergeCell ref="J264:N265"/>
    <mergeCell ref="B239:F239"/>
    <mergeCell ref="J239:N239"/>
    <mergeCell ref="B240:F241"/>
    <mergeCell ref="J240:N241"/>
    <mergeCell ref="C246:D246"/>
    <mergeCell ref="E246:F246"/>
    <mergeCell ref="J246:N246"/>
    <mergeCell ref="C222:D222"/>
    <mergeCell ref="E222:F222"/>
    <mergeCell ref="J222:N222"/>
    <mergeCell ref="B223:F236"/>
    <mergeCell ref="J223:N236"/>
    <mergeCell ref="B199:F212"/>
    <mergeCell ref="J199:N212"/>
    <mergeCell ref="B215:F215"/>
    <mergeCell ref="J215:N215"/>
    <mergeCell ref="B216:F217"/>
    <mergeCell ref="J216:N217"/>
    <mergeCell ref="B191:F191"/>
    <mergeCell ref="J191:N191"/>
    <mergeCell ref="B192:F193"/>
    <mergeCell ref="J192:N193"/>
    <mergeCell ref="C198:D198"/>
    <mergeCell ref="E198:F198"/>
    <mergeCell ref="J198:N198"/>
    <mergeCell ref="C174:D174"/>
    <mergeCell ref="E174:F174"/>
    <mergeCell ref="J174:N174"/>
    <mergeCell ref="B175:F188"/>
    <mergeCell ref="J175:N188"/>
    <mergeCell ref="B167:F167"/>
    <mergeCell ref="J167:N167"/>
    <mergeCell ref="B168:F169"/>
    <mergeCell ref="J168:N169"/>
    <mergeCell ref="B144:F145"/>
    <mergeCell ref="J144:N145"/>
    <mergeCell ref="C150:D150"/>
    <mergeCell ref="E150:F150"/>
    <mergeCell ref="J150:N150"/>
    <mergeCell ref="B151:F164"/>
    <mergeCell ref="J151:N164"/>
    <mergeCell ref="B143:F143"/>
    <mergeCell ref="J143:N143"/>
    <mergeCell ref="B103:F116"/>
    <mergeCell ref="J103:N116"/>
    <mergeCell ref="B119:F119"/>
    <mergeCell ref="J119:N119"/>
    <mergeCell ref="B120:F121"/>
    <mergeCell ref="J120:N121"/>
    <mergeCell ref="C126:D126"/>
    <mergeCell ref="E126:F126"/>
    <mergeCell ref="J126:N126"/>
    <mergeCell ref="B127:F140"/>
    <mergeCell ref="J127:N140"/>
    <mergeCell ref="B95:F95"/>
    <mergeCell ref="J95:N95"/>
    <mergeCell ref="B96:F97"/>
    <mergeCell ref="J96:N97"/>
    <mergeCell ref="C102:D102"/>
    <mergeCell ref="E102:F102"/>
    <mergeCell ref="J102:N102"/>
    <mergeCell ref="B79:F92"/>
    <mergeCell ref="J79:N92"/>
    <mergeCell ref="J7:N20"/>
    <mergeCell ref="C78:D78"/>
    <mergeCell ref="E78:F78"/>
    <mergeCell ref="J78:N78"/>
    <mergeCell ref="B31:F44"/>
    <mergeCell ref="J31:N44"/>
    <mergeCell ref="B47:F47"/>
    <mergeCell ref="J47:N47"/>
    <mergeCell ref="B48:F49"/>
    <mergeCell ref="J48:N49"/>
    <mergeCell ref="C54:D54"/>
    <mergeCell ref="E54:F54"/>
    <mergeCell ref="J54:N54"/>
    <mergeCell ref="B55:F68"/>
    <mergeCell ref="J55:N68"/>
    <mergeCell ref="B71:F71"/>
    <mergeCell ref="J71:N71"/>
    <mergeCell ref="B72:F73"/>
    <mergeCell ref="J72:N73"/>
    <mergeCell ref="B287:F287"/>
    <mergeCell ref="J287:N287"/>
    <mergeCell ref="B288:F289"/>
    <mergeCell ref="J288:N289"/>
    <mergeCell ref="B384:F385"/>
    <mergeCell ref="J384:N385"/>
    <mergeCell ref="B2:F3"/>
    <mergeCell ref="J2:N4"/>
    <mergeCell ref="C6:D6"/>
    <mergeCell ref="E6:F6"/>
    <mergeCell ref="J6:N6"/>
    <mergeCell ref="C270:D270"/>
    <mergeCell ref="E270:F270"/>
    <mergeCell ref="J270:N270"/>
    <mergeCell ref="B271:F284"/>
    <mergeCell ref="J271:N284"/>
    <mergeCell ref="B23:F23"/>
    <mergeCell ref="J23:N23"/>
    <mergeCell ref="B24:F25"/>
    <mergeCell ref="J24:N25"/>
    <mergeCell ref="C30:D30"/>
    <mergeCell ref="E30:F30"/>
    <mergeCell ref="J30:N30"/>
    <mergeCell ref="B7:F20"/>
  </mergeCells>
  <dataValidations count="1">
    <dataValidation type="list" allowBlank="1" showInputMessage="1" showErrorMessage="1" sqref="C5:H5">
      <formula1>$IR$7:$IR$9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zoomScaleNormal="100" workbookViewId="0">
      <selection activeCell="B3" sqref="B3"/>
    </sheetView>
  </sheetViews>
  <sheetFormatPr defaultRowHeight="15" x14ac:dyDescent="0.25"/>
  <cols>
    <col min="2" max="2" width="19.28515625" customWidth="1"/>
    <col min="3" max="3" width="13" customWidth="1"/>
    <col min="4" max="4" width="39.42578125" customWidth="1"/>
    <col min="5" max="5" width="22.7109375" customWidth="1"/>
    <col min="11" max="13" width="9.28515625" customWidth="1"/>
  </cols>
  <sheetData>
    <row r="1" spans="1:21" ht="16.5" thickTop="1" thickBot="1" x14ac:dyDescent="0.3">
      <c r="A1" s="501" t="s">
        <v>631</v>
      </c>
      <c r="B1" s="502"/>
      <c r="C1" s="502"/>
      <c r="D1" s="503"/>
      <c r="E1" s="504"/>
      <c r="F1" s="67"/>
      <c r="G1" s="492"/>
      <c r="H1" s="493"/>
      <c r="I1" s="493"/>
      <c r="J1" s="493"/>
      <c r="K1" s="493"/>
      <c r="L1" s="493"/>
      <c r="M1" s="494"/>
      <c r="N1" s="76"/>
      <c r="O1" s="492"/>
      <c r="P1" s="493"/>
      <c r="Q1" s="493"/>
      <c r="R1" s="493"/>
      <c r="S1" s="493"/>
      <c r="T1" s="493"/>
      <c r="U1" s="494"/>
    </row>
    <row r="2" spans="1:21" ht="15.75" thickBot="1" x14ac:dyDescent="0.3">
      <c r="A2" s="77" t="s">
        <v>632</v>
      </c>
      <c r="B2" s="78" t="s">
        <v>633</v>
      </c>
      <c r="C2" s="78" t="s">
        <v>634</v>
      </c>
      <c r="D2" s="78" t="s">
        <v>635</v>
      </c>
      <c r="E2" s="79" t="s">
        <v>636</v>
      </c>
      <c r="F2" s="67"/>
      <c r="G2" s="495"/>
      <c r="H2" s="496"/>
      <c r="I2" s="496"/>
      <c r="J2" s="496"/>
      <c r="K2" s="496"/>
      <c r="L2" s="496"/>
      <c r="M2" s="497"/>
      <c r="N2" s="76"/>
      <c r="O2" s="495"/>
      <c r="P2" s="496"/>
      <c r="Q2" s="496"/>
      <c r="R2" s="496"/>
      <c r="S2" s="496"/>
      <c r="T2" s="496"/>
      <c r="U2" s="497"/>
    </row>
    <row r="3" spans="1:21" x14ac:dyDescent="0.25">
      <c r="A3" s="80">
        <v>1</v>
      </c>
      <c r="B3" s="81"/>
      <c r="C3" s="81"/>
      <c r="D3" s="82"/>
      <c r="E3" s="83"/>
      <c r="F3" s="67"/>
      <c r="G3" s="495"/>
      <c r="H3" s="496"/>
      <c r="I3" s="496"/>
      <c r="J3" s="496"/>
      <c r="K3" s="496"/>
      <c r="L3" s="496"/>
      <c r="M3" s="497"/>
      <c r="N3" s="76"/>
      <c r="O3" s="495"/>
      <c r="P3" s="496"/>
      <c r="Q3" s="496"/>
      <c r="R3" s="496"/>
      <c r="S3" s="496"/>
      <c r="T3" s="496"/>
      <c r="U3" s="497"/>
    </row>
    <row r="4" spans="1:21" x14ac:dyDescent="0.25">
      <c r="A4" s="84">
        <v>2</v>
      </c>
      <c r="B4" s="81"/>
      <c r="C4" s="81"/>
      <c r="D4" s="82"/>
      <c r="E4" s="83"/>
      <c r="F4" s="67"/>
      <c r="G4" s="495"/>
      <c r="H4" s="496"/>
      <c r="I4" s="496"/>
      <c r="J4" s="496"/>
      <c r="K4" s="496"/>
      <c r="L4" s="496"/>
      <c r="M4" s="497"/>
      <c r="N4" s="76"/>
      <c r="O4" s="495"/>
      <c r="P4" s="496"/>
      <c r="Q4" s="496"/>
      <c r="R4" s="496"/>
      <c r="S4" s="496"/>
      <c r="T4" s="496"/>
      <c r="U4" s="497"/>
    </row>
    <row r="5" spans="1:21" x14ac:dyDescent="0.25">
      <c r="A5" s="84">
        <v>3</v>
      </c>
      <c r="B5" s="81"/>
      <c r="C5" s="81"/>
      <c r="D5" s="82"/>
      <c r="E5" s="83"/>
      <c r="F5" s="67"/>
      <c r="G5" s="495"/>
      <c r="H5" s="496"/>
      <c r="I5" s="496"/>
      <c r="J5" s="496"/>
      <c r="K5" s="496"/>
      <c r="L5" s="496"/>
      <c r="M5" s="497"/>
      <c r="N5" s="76"/>
      <c r="O5" s="495"/>
      <c r="P5" s="496"/>
      <c r="Q5" s="496"/>
      <c r="R5" s="496"/>
      <c r="S5" s="496"/>
      <c r="T5" s="496"/>
      <c r="U5" s="497"/>
    </row>
    <row r="6" spans="1:21" x14ac:dyDescent="0.25">
      <c r="A6" s="84">
        <v>4</v>
      </c>
      <c r="B6" s="81"/>
      <c r="C6" s="81"/>
      <c r="D6" s="82"/>
      <c r="E6" s="83"/>
      <c r="F6" s="67"/>
      <c r="G6" s="495"/>
      <c r="H6" s="496"/>
      <c r="I6" s="496"/>
      <c r="J6" s="496"/>
      <c r="K6" s="496"/>
      <c r="L6" s="496"/>
      <c r="M6" s="497"/>
      <c r="N6" s="76"/>
      <c r="O6" s="495"/>
      <c r="P6" s="496"/>
      <c r="Q6" s="496"/>
      <c r="R6" s="496"/>
      <c r="S6" s="496"/>
      <c r="T6" s="496"/>
      <c r="U6" s="497"/>
    </row>
    <row r="7" spans="1:21" x14ac:dyDescent="0.25">
      <c r="A7" s="84">
        <v>5</v>
      </c>
      <c r="B7" s="81"/>
      <c r="C7" s="81"/>
      <c r="D7" s="82"/>
      <c r="E7" s="83"/>
      <c r="F7" s="67"/>
      <c r="G7" s="495"/>
      <c r="H7" s="496"/>
      <c r="I7" s="496"/>
      <c r="J7" s="496"/>
      <c r="K7" s="496"/>
      <c r="L7" s="496"/>
      <c r="M7" s="497"/>
      <c r="N7" s="76"/>
      <c r="O7" s="495"/>
      <c r="P7" s="496"/>
      <c r="Q7" s="496"/>
      <c r="R7" s="496"/>
      <c r="S7" s="496"/>
      <c r="T7" s="496"/>
      <c r="U7" s="497"/>
    </row>
    <row r="8" spans="1:21" x14ac:dyDescent="0.25">
      <c r="A8" s="84">
        <v>6</v>
      </c>
      <c r="B8" s="81"/>
      <c r="C8" s="81"/>
      <c r="D8" s="82"/>
      <c r="E8" s="83"/>
      <c r="F8" s="67"/>
      <c r="G8" s="495"/>
      <c r="H8" s="496"/>
      <c r="I8" s="496"/>
      <c r="J8" s="496"/>
      <c r="K8" s="496"/>
      <c r="L8" s="496"/>
      <c r="M8" s="497"/>
      <c r="N8" s="76"/>
      <c r="O8" s="495"/>
      <c r="P8" s="496"/>
      <c r="Q8" s="496"/>
      <c r="R8" s="496"/>
      <c r="S8" s="496"/>
      <c r="T8" s="496"/>
      <c r="U8" s="497"/>
    </row>
    <row r="9" spans="1:21" x14ac:dyDescent="0.25">
      <c r="A9" s="84">
        <v>7</v>
      </c>
      <c r="B9" s="81"/>
      <c r="C9" s="81"/>
      <c r="D9" s="82"/>
      <c r="E9" s="83"/>
      <c r="F9" s="67"/>
      <c r="G9" s="495"/>
      <c r="H9" s="496"/>
      <c r="I9" s="496"/>
      <c r="J9" s="496"/>
      <c r="K9" s="496"/>
      <c r="L9" s="496"/>
      <c r="M9" s="497"/>
      <c r="N9" s="76"/>
      <c r="O9" s="495"/>
      <c r="P9" s="496"/>
      <c r="Q9" s="496"/>
      <c r="R9" s="496"/>
      <c r="S9" s="496"/>
      <c r="T9" s="496"/>
      <c r="U9" s="497"/>
    </row>
    <row r="10" spans="1:21" x14ac:dyDescent="0.25">
      <c r="A10" s="84">
        <v>8</v>
      </c>
      <c r="B10" s="81"/>
      <c r="C10" s="81"/>
      <c r="D10" s="82"/>
      <c r="E10" s="83"/>
      <c r="F10" s="67"/>
      <c r="G10" s="495"/>
      <c r="H10" s="496"/>
      <c r="I10" s="496"/>
      <c r="J10" s="496"/>
      <c r="K10" s="496"/>
      <c r="L10" s="496"/>
      <c r="M10" s="497"/>
      <c r="N10" s="76"/>
      <c r="O10" s="495"/>
      <c r="P10" s="496"/>
      <c r="Q10" s="496"/>
      <c r="R10" s="496"/>
      <c r="S10" s="496"/>
      <c r="T10" s="496"/>
      <c r="U10" s="497"/>
    </row>
    <row r="11" spans="1:21" ht="15.75" thickBot="1" x14ac:dyDescent="0.3">
      <c r="A11" s="84">
        <v>9</v>
      </c>
      <c r="B11" s="81"/>
      <c r="C11" s="81"/>
      <c r="D11" s="82"/>
      <c r="E11" s="83"/>
      <c r="F11" s="67"/>
      <c r="G11" s="498"/>
      <c r="H11" s="499"/>
      <c r="I11" s="499"/>
      <c r="J11" s="499"/>
      <c r="K11" s="499"/>
      <c r="L11" s="499"/>
      <c r="M11" s="500"/>
      <c r="N11" s="76"/>
      <c r="O11" s="498"/>
      <c r="P11" s="499"/>
      <c r="Q11" s="499"/>
      <c r="R11" s="499"/>
      <c r="S11" s="499"/>
      <c r="T11" s="499"/>
      <c r="U11" s="500"/>
    </row>
    <row r="12" spans="1:21" ht="16.5" thickTop="1" thickBot="1" x14ac:dyDescent="0.3">
      <c r="A12" s="84">
        <v>10</v>
      </c>
      <c r="B12" s="81"/>
      <c r="C12" s="81"/>
      <c r="D12" s="82"/>
      <c r="E12" s="83"/>
      <c r="F12" s="67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</row>
    <row r="13" spans="1:21" x14ac:dyDescent="0.25">
      <c r="A13" s="84">
        <v>11</v>
      </c>
      <c r="B13" s="81"/>
      <c r="C13" s="81"/>
      <c r="D13" s="82"/>
      <c r="E13" s="83"/>
      <c r="F13" s="67"/>
      <c r="G13" s="505" t="s">
        <v>637</v>
      </c>
      <c r="H13" s="506"/>
      <c r="I13" s="506"/>
      <c r="J13" s="506"/>
      <c r="K13" s="506"/>
      <c r="L13" s="506"/>
      <c r="M13" s="507"/>
      <c r="N13" s="76"/>
      <c r="O13" s="505" t="s">
        <v>638</v>
      </c>
      <c r="P13" s="506"/>
      <c r="Q13" s="506"/>
      <c r="R13" s="506"/>
      <c r="S13" s="506"/>
      <c r="T13" s="506"/>
      <c r="U13" s="507"/>
    </row>
    <row r="14" spans="1:21" ht="15.75" thickBot="1" x14ac:dyDescent="0.3">
      <c r="A14" s="84">
        <v>12</v>
      </c>
      <c r="B14" s="81"/>
      <c r="C14" s="81"/>
      <c r="D14" s="82"/>
      <c r="E14" s="83"/>
      <c r="F14" s="67"/>
      <c r="G14" s="508"/>
      <c r="H14" s="509"/>
      <c r="I14" s="509"/>
      <c r="J14" s="509"/>
      <c r="K14" s="509"/>
      <c r="L14" s="509"/>
      <c r="M14" s="510"/>
      <c r="N14" s="76"/>
      <c r="O14" s="508"/>
      <c r="P14" s="509"/>
      <c r="Q14" s="509"/>
      <c r="R14" s="509"/>
      <c r="S14" s="509"/>
      <c r="T14" s="509"/>
      <c r="U14" s="510"/>
    </row>
    <row r="15" spans="1:21" ht="15.75" thickBot="1" x14ac:dyDescent="0.3">
      <c r="A15" s="84">
        <v>13</v>
      </c>
      <c r="B15" s="81"/>
      <c r="C15" s="81"/>
      <c r="D15" s="82"/>
      <c r="E15" s="83"/>
      <c r="F15" s="67"/>
      <c r="G15" s="86"/>
      <c r="H15" s="86"/>
      <c r="I15" s="86"/>
      <c r="J15" s="86"/>
      <c r="K15" s="86"/>
      <c r="L15" s="86"/>
      <c r="M15" s="86"/>
      <c r="N15" s="87"/>
      <c r="O15" s="86"/>
      <c r="P15" s="86"/>
      <c r="Q15" s="86"/>
      <c r="R15" s="86"/>
      <c r="S15" s="86"/>
      <c r="T15" s="86"/>
      <c r="U15" s="86"/>
    </row>
    <row r="16" spans="1:21" ht="15.75" thickTop="1" x14ac:dyDescent="0.25">
      <c r="A16" s="84">
        <v>14</v>
      </c>
      <c r="B16" s="81"/>
      <c r="C16" s="81"/>
      <c r="D16" s="82"/>
      <c r="E16" s="83"/>
      <c r="F16" s="67"/>
      <c r="G16" s="492"/>
      <c r="H16" s="493"/>
      <c r="I16" s="493"/>
      <c r="J16" s="493"/>
      <c r="K16" s="493"/>
      <c r="L16" s="493"/>
      <c r="M16" s="494"/>
      <c r="N16" s="76"/>
      <c r="O16" s="492"/>
      <c r="P16" s="493"/>
      <c r="Q16" s="493"/>
      <c r="R16" s="493"/>
      <c r="S16" s="493"/>
      <c r="T16" s="493"/>
      <c r="U16" s="494"/>
    </row>
    <row r="17" spans="1:21" x14ac:dyDescent="0.25">
      <c r="A17" s="84">
        <v>15</v>
      </c>
      <c r="B17" s="81"/>
      <c r="C17" s="81"/>
      <c r="D17" s="82"/>
      <c r="E17" s="83"/>
      <c r="F17" s="67"/>
      <c r="G17" s="495"/>
      <c r="H17" s="496"/>
      <c r="I17" s="496"/>
      <c r="J17" s="496"/>
      <c r="K17" s="496"/>
      <c r="L17" s="496"/>
      <c r="M17" s="497"/>
      <c r="N17" s="76"/>
      <c r="O17" s="495"/>
      <c r="P17" s="496"/>
      <c r="Q17" s="496"/>
      <c r="R17" s="496"/>
      <c r="S17" s="496"/>
      <c r="T17" s="496"/>
      <c r="U17" s="497"/>
    </row>
    <row r="18" spans="1:21" x14ac:dyDescent="0.25">
      <c r="A18" s="84">
        <v>16</v>
      </c>
      <c r="B18" s="81"/>
      <c r="C18" s="81"/>
      <c r="D18" s="82"/>
      <c r="E18" s="83"/>
      <c r="F18" s="67"/>
      <c r="G18" s="495"/>
      <c r="H18" s="496"/>
      <c r="I18" s="496"/>
      <c r="J18" s="496"/>
      <c r="K18" s="496"/>
      <c r="L18" s="496"/>
      <c r="M18" s="497"/>
      <c r="N18" s="76"/>
      <c r="O18" s="495"/>
      <c r="P18" s="496"/>
      <c r="Q18" s="496"/>
      <c r="R18" s="496"/>
      <c r="S18" s="496"/>
      <c r="T18" s="496"/>
      <c r="U18" s="497"/>
    </row>
    <row r="19" spans="1:21" x14ac:dyDescent="0.25">
      <c r="A19" s="84">
        <v>17</v>
      </c>
      <c r="B19" s="81"/>
      <c r="C19" s="81"/>
      <c r="D19" s="82"/>
      <c r="E19" s="83"/>
      <c r="F19" s="67"/>
      <c r="G19" s="495"/>
      <c r="H19" s="496"/>
      <c r="I19" s="496"/>
      <c r="J19" s="496"/>
      <c r="K19" s="496"/>
      <c r="L19" s="496"/>
      <c r="M19" s="497"/>
      <c r="N19" s="76"/>
      <c r="O19" s="495"/>
      <c r="P19" s="496"/>
      <c r="Q19" s="496"/>
      <c r="R19" s="496"/>
      <c r="S19" s="496"/>
      <c r="T19" s="496"/>
      <c r="U19" s="497"/>
    </row>
    <row r="20" spans="1:21" x14ac:dyDescent="0.25">
      <c r="A20" s="84">
        <v>18</v>
      </c>
      <c r="B20" s="81"/>
      <c r="C20" s="81"/>
      <c r="D20" s="82"/>
      <c r="E20" s="83"/>
      <c r="F20" s="67"/>
      <c r="G20" s="495"/>
      <c r="H20" s="496"/>
      <c r="I20" s="496"/>
      <c r="J20" s="496"/>
      <c r="K20" s="496"/>
      <c r="L20" s="496"/>
      <c r="M20" s="497"/>
      <c r="N20" s="76"/>
      <c r="O20" s="495"/>
      <c r="P20" s="496"/>
      <c r="Q20" s="496"/>
      <c r="R20" s="496"/>
      <c r="S20" s="496"/>
      <c r="T20" s="496"/>
      <c r="U20" s="497"/>
    </row>
    <row r="21" spans="1:21" x14ac:dyDescent="0.25">
      <c r="A21" s="84">
        <v>19</v>
      </c>
      <c r="B21" s="81"/>
      <c r="C21" s="81"/>
      <c r="D21" s="82"/>
      <c r="E21" s="83"/>
      <c r="F21" s="67"/>
      <c r="G21" s="495"/>
      <c r="H21" s="496"/>
      <c r="I21" s="496"/>
      <c r="J21" s="496"/>
      <c r="K21" s="496"/>
      <c r="L21" s="496"/>
      <c r="M21" s="497"/>
      <c r="N21" s="76"/>
      <c r="O21" s="495"/>
      <c r="P21" s="496"/>
      <c r="Q21" s="496"/>
      <c r="R21" s="496"/>
      <c r="S21" s="496"/>
      <c r="T21" s="496"/>
      <c r="U21" s="497"/>
    </row>
    <row r="22" spans="1:21" x14ac:dyDescent="0.25">
      <c r="A22" s="84">
        <v>20</v>
      </c>
      <c r="B22" s="81"/>
      <c r="C22" s="81"/>
      <c r="D22" s="82"/>
      <c r="E22" s="83"/>
      <c r="F22" s="67"/>
      <c r="G22" s="495"/>
      <c r="H22" s="496"/>
      <c r="I22" s="496"/>
      <c r="J22" s="496"/>
      <c r="K22" s="496"/>
      <c r="L22" s="496"/>
      <c r="M22" s="497"/>
      <c r="N22" s="76"/>
      <c r="O22" s="495"/>
      <c r="P22" s="496"/>
      <c r="Q22" s="496"/>
      <c r="R22" s="496"/>
      <c r="S22" s="496"/>
      <c r="T22" s="496"/>
      <c r="U22" s="497"/>
    </row>
    <row r="23" spans="1:21" x14ac:dyDescent="0.25">
      <c r="A23" s="84">
        <v>21</v>
      </c>
      <c r="B23" s="81"/>
      <c r="C23" s="81"/>
      <c r="D23" s="82"/>
      <c r="E23" s="83"/>
      <c r="F23" s="67"/>
      <c r="G23" s="495"/>
      <c r="H23" s="496"/>
      <c r="I23" s="496"/>
      <c r="J23" s="496"/>
      <c r="K23" s="496"/>
      <c r="L23" s="496"/>
      <c r="M23" s="497"/>
      <c r="N23" s="76"/>
      <c r="O23" s="495"/>
      <c r="P23" s="496"/>
      <c r="Q23" s="496"/>
      <c r="R23" s="496"/>
      <c r="S23" s="496"/>
      <c r="T23" s="496"/>
      <c r="U23" s="497"/>
    </row>
    <row r="24" spans="1:21" x14ac:dyDescent="0.25">
      <c r="A24" s="84">
        <v>22</v>
      </c>
      <c r="B24" s="81"/>
      <c r="C24" s="88"/>
      <c r="D24" s="85"/>
      <c r="E24" s="89"/>
      <c r="F24" s="67"/>
      <c r="G24" s="495"/>
      <c r="H24" s="496"/>
      <c r="I24" s="496"/>
      <c r="J24" s="496"/>
      <c r="K24" s="496"/>
      <c r="L24" s="496"/>
      <c r="M24" s="497"/>
      <c r="N24" s="76"/>
      <c r="O24" s="495"/>
      <c r="P24" s="496"/>
      <c r="Q24" s="496"/>
      <c r="R24" s="496"/>
      <c r="S24" s="496"/>
      <c r="T24" s="496"/>
      <c r="U24" s="497"/>
    </row>
    <row r="25" spans="1:21" x14ac:dyDescent="0.25">
      <c r="A25" s="84">
        <v>23</v>
      </c>
      <c r="B25" s="81"/>
      <c r="C25" s="88"/>
      <c r="D25" s="85"/>
      <c r="E25" s="89"/>
      <c r="F25" s="67"/>
      <c r="G25" s="495"/>
      <c r="H25" s="496"/>
      <c r="I25" s="496"/>
      <c r="J25" s="496"/>
      <c r="K25" s="496"/>
      <c r="L25" s="496"/>
      <c r="M25" s="497"/>
      <c r="N25" s="76"/>
      <c r="O25" s="495"/>
      <c r="P25" s="496"/>
      <c r="Q25" s="496"/>
      <c r="R25" s="496"/>
      <c r="S25" s="496"/>
      <c r="T25" s="496"/>
      <c r="U25" s="497"/>
    </row>
    <row r="26" spans="1:21" ht="15.75" thickBot="1" x14ac:dyDescent="0.3">
      <c r="A26" s="84">
        <v>24</v>
      </c>
      <c r="B26" s="81"/>
      <c r="C26" s="88"/>
      <c r="D26" s="85"/>
      <c r="E26" s="89"/>
      <c r="F26" s="67"/>
      <c r="G26" s="498"/>
      <c r="H26" s="499"/>
      <c r="I26" s="499"/>
      <c r="J26" s="499"/>
      <c r="K26" s="499"/>
      <c r="L26" s="499"/>
      <c r="M26" s="500"/>
      <c r="N26" s="76"/>
      <c r="O26" s="498"/>
      <c r="P26" s="499"/>
      <c r="Q26" s="499"/>
      <c r="R26" s="499"/>
      <c r="S26" s="499"/>
      <c r="T26" s="499"/>
      <c r="U26" s="500"/>
    </row>
    <row r="27" spans="1:21" ht="16.5" thickTop="1" thickBot="1" x14ac:dyDescent="0.3">
      <c r="A27" s="84">
        <v>25</v>
      </c>
      <c r="B27" s="81"/>
      <c r="C27" s="88"/>
      <c r="D27" s="85"/>
      <c r="E27" s="89"/>
      <c r="F27" s="67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</row>
    <row r="28" spans="1:21" x14ac:dyDescent="0.25">
      <c r="A28" s="84">
        <v>26</v>
      </c>
      <c r="B28" s="81"/>
      <c r="C28" s="88"/>
      <c r="D28" s="85"/>
      <c r="E28" s="89"/>
      <c r="F28" s="67"/>
      <c r="G28" s="505" t="s">
        <v>639</v>
      </c>
      <c r="H28" s="506"/>
      <c r="I28" s="506"/>
      <c r="J28" s="506"/>
      <c r="K28" s="506"/>
      <c r="L28" s="506"/>
      <c r="M28" s="507"/>
      <c r="N28" s="76"/>
      <c r="O28" s="505" t="s">
        <v>640</v>
      </c>
      <c r="P28" s="506"/>
      <c r="Q28" s="506"/>
      <c r="R28" s="506"/>
      <c r="S28" s="506"/>
      <c r="T28" s="506"/>
      <c r="U28" s="507"/>
    </row>
    <row r="29" spans="1:21" ht="15.75" thickBot="1" x14ac:dyDescent="0.3">
      <c r="A29" s="84">
        <v>27</v>
      </c>
      <c r="B29" s="81"/>
      <c r="C29" s="88"/>
      <c r="D29" s="85"/>
      <c r="E29" s="89"/>
      <c r="F29" s="67"/>
      <c r="G29" s="508"/>
      <c r="H29" s="509"/>
      <c r="I29" s="509"/>
      <c r="J29" s="509"/>
      <c r="K29" s="509"/>
      <c r="L29" s="509"/>
      <c r="M29" s="510"/>
      <c r="N29" s="76"/>
      <c r="O29" s="508"/>
      <c r="P29" s="509"/>
      <c r="Q29" s="509"/>
      <c r="R29" s="509"/>
      <c r="S29" s="509"/>
      <c r="T29" s="509"/>
      <c r="U29" s="510"/>
    </row>
    <row r="30" spans="1:21" ht="15.75" thickBot="1" x14ac:dyDescent="0.3">
      <c r="A30" s="84">
        <v>28</v>
      </c>
      <c r="B30" s="81"/>
      <c r="C30" s="88"/>
      <c r="D30" s="85"/>
      <c r="E30" s="89"/>
      <c r="F30" s="67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</row>
    <row r="31" spans="1:21" ht="15.75" thickTop="1" x14ac:dyDescent="0.25">
      <c r="A31" s="84">
        <v>29</v>
      </c>
      <c r="B31" s="81"/>
      <c r="C31" s="88"/>
      <c r="D31" s="85"/>
      <c r="E31" s="89"/>
      <c r="F31" s="67"/>
      <c r="G31" s="492"/>
      <c r="H31" s="493"/>
      <c r="I31" s="493"/>
      <c r="J31" s="493"/>
      <c r="K31" s="493"/>
      <c r="L31" s="493"/>
      <c r="M31" s="494"/>
      <c r="N31" s="76"/>
      <c r="O31" s="492"/>
      <c r="P31" s="493"/>
      <c r="Q31" s="493"/>
      <c r="R31" s="493"/>
      <c r="S31" s="493"/>
      <c r="T31" s="493"/>
      <c r="U31" s="494"/>
    </row>
    <row r="32" spans="1:21" x14ac:dyDescent="0.25">
      <c r="A32" s="84">
        <v>30</v>
      </c>
      <c r="B32" s="81"/>
      <c r="C32" s="88"/>
      <c r="D32" s="85"/>
      <c r="E32" s="89"/>
      <c r="F32" s="67"/>
      <c r="G32" s="495"/>
      <c r="H32" s="496"/>
      <c r="I32" s="496"/>
      <c r="J32" s="496"/>
      <c r="K32" s="496"/>
      <c r="L32" s="496"/>
      <c r="M32" s="497"/>
      <c r="N32" s="76"/>
      <c r="O32" s="495"/>
      <c r="P32" s="496"/>
      <c r="Q32" s="496"/>
      <c r="R32" s="496"/>
      <c r="S32" s="496"/>
      <c r="T32" s="496"/>
      <c r="U32" s="497"/>
    </row>
    <row r="33" spans="1:21" x14ac:dyDescent="0.25">
      <c r="A33" s="84">
        <v>31</v>
      </c>
      <c r="B33" s="81"/>
      <c r="C33" s="88"/>
      <c r="D33" s="85"/>
      <c r="E33" s="89"/>
      <c r="F33" s="67"/>
      <c r="G33" s="495"/>
      <c r="H33" s="496"/>
      <c r="I33" s="496"/>
      <c r="J33" s="496"/>
      <c r="K33" s="496"/>
      <c r="L33" s="496"/>
      <c r="M33" s="497"/>
      <c r="N33" s="76"/>
      <c r="O33" s="495"/>
      <c r="P33" s="496"/>
      <c r="Q33" s="496"/>
      <c r="R33" s="496"/>
      <c r="S33" s="496"/>
      <c r="T33" s="496"/>
      <c r="U33" s="497"/>
    </row>
    <row r="34" spans="1:21" x14ac:dyDescent="0.25">
      <c r="A34" s="84">
        <v>32</v>
      </c>
      <c r="B34" s="81"/>
      <c r="C34" s="88"/>
      <c r="D34" s="85"/>
      <c r="E34" s="89"/>
      <c r="F34" s="67"/>
      <c r="G34" s="495"/>
      <c r="H34" s="496"/>
      <c r="I34" s="496"/>
      <c r="J34" s="496"/>
      <c r="K34" s="496"/>
      <c r="L34" s="496"/>
      <c r="M34" s="497"/>
      <c r="N34" s="76"/>
      <c r="O34" s="495"/>
      <c r="P34" s="496"/>
      <c r="Q34" s="496"/>
      <c r="R34" s="496"/>
      <c r="S34" s="496"/>
      <c r="T34" s="496"/>
      <c r="U34" s="497"/>
    </row>
    <row r="35" spans="1:21" x14ac:dyDescent="0.25">
      <c r="A35" s="84">
        <v>33</v>
      </c>
      <c r="B35" s="81"/>
      <c r="C35" s="88"/>
      <c r="D35" s="85"/>
      <c r="E35" s="89"/>
      <c r="F35" s="67"/>
      <c r="G35" s="495"/>
      <c r="H35" s="496"/>
      <c r="I35" s="496"/>
      <c r="J35" s="496"/>
      <c r="K35" s="496"/>
      <c r="L35" s="496"/>
      <c r="M35" s="497"/>
      <c r="N35" s="76"/>
      <c r="O35" s="495"/>
      <c r="P35" s="496"/>
      <c r="Q35" s="496"/>
      <c r="R35" s="496"/>
      <c r="S35" s="496"/>
      <c r="T35" s="496"/>
      <c r="U35" s="497"/>
    </row>
    <row r="36" spans="1:21" x14ac:dyDescent="0.25">
      <c r="A36" s="84">
        <v>34</v>
      </c>
      <c r="B36" s="81"/>
      <c r="C36" s="88"/>
      <c r="D36" s="85"/>
      <c r="E36" s="89"/>
      <c r="F36" s="67"/>
      <c r="G36" s="495"/>
      <c r="H36" s="496"/>
      <c r="I36" s="496"/>
      <c r="J36" s="496"/>
      <c r="K36" s="496"/>
      <c r="L36" s="496"/>
      <c r="M36" s="497"/>
      <c r="N36" s="76"/>
      <c r="O36" s="495"/>
      <c r="P36" s="496"/>
      <c r="Q36" s="496"/>
      <c r="R36" s="496"/>
      <c r="S36" s="496"/>
      <c r="T36" s="496"/>
      <c r="U36" s="497"/>
    </row>
    <row r="37" spans="1:21" x14ac:dyDescent="0.25">
      <c r="A37" s="84">
        <v>35</v>
      </c>
      <c r="B37" s="81"/>
      <c r="C37" s="88"/>
      <c r="D37" s="85"/>
      <c r="E37" s="89"/>
      <c r="F37" s="67"/>
      <c r="G37" s="495"/>
      <c r="H37" s="496"/>
      <c r="I37" s="496"/>
      <c r="J37" s="496"/>
      <c r="K37" s="496"/>
      <c r="L37" s="496"/>
      <c r="M37" s="497"/>
      <c r="N37" s="76"/>
      <c r="O37" s="495"/>
      <c r="P37" s="496"/>
      <c r="Q37" s="496"/>
      <c r="R37" s="496"/>
      <c r="S37" s="496"/>
      <c r="T37" s="496"/>
      <c r="U37" s="497"/>
    </row>
    <row r="38" spans="1:21" x14ac:dyDescent="0.25">
      <c r="A38" s="84">
        <v>36</v>
      </c>
      <c r="B38" s="81"/>
      <c r="C38" s="88"/>
      <c r="D38" s="85"/>
      <c r="E38" s="89"/>
      <c r="F38" s="67"/>
      <c r="G38" s="495"/>
      <c r="H38" s="496"/>
      <c r="I38" s="496"/>
      <c r="J38" s="496"/>
      <c r="K38" s="496"/>
      <c r="L38" s="496"/>
      <c r="M38" s="497"/>
      <c r="N38" s="76"/>
      <c r="O38" s="495"/>
      <c r="P38" s="496"/>
      <c r="Q38" s="496"/>
      <c r="R38" s="496"/>
      <c r="S38" s="496"/>
      <c r="T38" s="496"/>
      <c r="U38" s="497"/>
    </row>
    <row r="39" spans="1:21" x14ac:dyDescent="0.25">
      <c r="A39" s="84">
        <v>37</v>
      </c>
      <c r="B39" s="81"/>
      <c r="C39" s="88"/>
      <c r="D39" s="85"/>
      <c r="E39" s="89"/>
      <c r="F39" s="67"/>
      <c r="G39" s="495"/>
      <c r="H39" s="496"/>
      <c r="I39" s="496"/>
      <c r="J39" s="496"/>
      <c r="K39" s="496"/>
      <c r="L39" s="496"/>
      <c r="M39" s="497"/>
      <c r="N39" s="76"/>
      <c r="O39" s="495"/>
      <c r="P39" s="496"/>
      <c r="Q39" s="496"/>
      <c r="R39" s="496"/>
      <c r="S39" s="496"/>
      <c r="T39" s="496"/>
      <c r="U39" s="497"/>
    </row>
    <row r="40" spans="1:21" x14ac:dyDescent="0.25">
      <c r="A40" s="84">
        <v>38</v>
      </c>
      <c r="B40" s="81"/>
      <c r="C40" s="88"/>
      <c r="D40" s="85"/>
      <c r="E40" s="89"/>
      <c r="F40" s="67"/>
      <c r="G40" s="495"/>
      <c r="H40" s="496"/>
      <c r="I40" s="496"/>
      <c r="J40" s="496"/>
      <c r="K40" s="496"/>
      <c r="L40" s="496"/>
      <c r="M40" s="497"/>
      <c r="N40" s="76"/>
      <c r="O40" s="495"/>
      <c r="P40" s="496"/>
      <c r="Q40" s="496"/>
      <c r="R40" s="496"/>
      <c r="S40" s="496"/>
      <c r="T40" s="496"/>
      <c r="U40" s="497"/>
    </row>
    <row r="41" spans="1:21" ht="15.75" thickBot="1" x14ac:dyDescent="0.3">
      <c r="A41" s="84">
        <v>39</v>
      </c>
      <c r="B41" s="81"/>
      <c r="C41" s="88"/>
      <c r="D41" s="85"/>
      <c r="E41" s="89"/>
      <c r="F41" s="67"/>
      <c r="G41" s="498"/>
      <c r="H41" s="499"/>
      <c r="I41" s="499"/>
      <c r="J41" s="499"/>
      <c r="K41" s="499"/>
      <c r="L41" s="499"/>
      <c r="M41" s="500"/>
      <c r="N41" s="76"/>
      <c r="O41" s="498"/>
      <c r="P41" s="499"/>
      <c r="Q41" s="499"/>
      <c r="R41" s="499"/>
      <c r="S41" s="499"/>
      <c r="T41" s="499"/>
      <c r="U41" s="500"/>
    </row>
    <row r="42" spans="1:21" ht="16.5" thickTop="1" thickBot="1" x14ac:dyDescent="0.3">
      <c r="A42" s="84">
        <v>40</v>
      </c>
      <c r="B42" s="88"/>
      <c r="C42" s="88"/>
      <c r="D42" s="85"/>
      <c r="E42" s="89"/>
      <c r="F42" s="67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</row>
    <row r="43" spans="1:21" ht="15.75" thickBot="1" x14ac:dyDescent="0.3">
      <c r="A43" s="90">
        <v>41</v>
      </c>
      <c r="B43" s="91"/>
      <c r="C43" s="91"/>
      <c r="D43" s="92"/>
      <c r="E43" s="93"/>
      <c r="F43" s="67"/>
      <c r="G43" s="505" t="s">
        <v>641</v>
      </c>
      <c r="H43" s="506"/>
      <c r="I43" s="506"/>
      <c r="J43" s="506"/>
      <c r="K43" s="506"/>
      <c r="L43" s="506"/>
      <c r="M43" s="507"/>
      <c r="N43" s="76"/>
      <c r="O43" s="505" t="s">
        <v>642</v>
      </c>
      <c r="P43" s="506"/>
      <c r="Q43" s="506"/>
      <c r="R43" s="506"/>
      <c r="S43" s="506"/>
      <c r="T43" s="506"/>
      <c r="U43" s="507"/>
    </row>
    <row r="44" spans="1:21" ht="15.75" thickBot="1" x14ac:dyDescent="0.3">
      <c r="A44" s="67"/>
      <c r="B44" s="67"/>
      <c r="C44" s="67"/>
      <c r="D44" s="67"/>
      <c r="E44" s="67"/>
      <c r="F44" s="67"/>
      <c r="G44" s="508"/>
      <c r="H44" s="509"/>
      <c r="I44" s="509"/>
      <c r="J44" s="509"/>
      <c r="K44" s="509"/>
      <c r="L44" s="509"/>
      <c r="M44" s="510"/>
      <c r="N44" s="76"/>
      <c r="O44" s="508"/>
      <c r="P44" s="509"/>
      <c r="Q44" s="509"/>
      <c r="R44" s="509"/>
      <c r="S44" s="509"/>
      <c r="T44" s="509"/>
      <c r="U44" s="510"/>
    </row>
    <row r="45" spans="1:21" ht="15.75" thickBot="1" x14ac:dyDescent="0.3">
      <c r="A45" s="67"/>
      <c r="B45" s="67"/>
      <c r="C45" s="67"/>
      <c r="D45" s="67"/>
      <c r="E45" s="67"/>
      <c r="F45" s="67"/>
      <c r="G45" s="86"/>
      <c r="H45" s="86"/>
      <c r="I45" s="86"/>
      <c r="J45" s="86"/>
      <c r="K45" s="86"/>
      <c r="L45" s="86"/>
      <c r="M45" s="86"/>
      <c r="N45" s="87"/>
      <c r="O45" s="86"/>
      <c r="P45" s="86"/>
      <c r="Q45" s="86"/>
      <c r="R45" s="86"/>
      <c r="S45" s="86"/>
      <c r="T45" s="86"/>
      <c r="U45" s="86"/>
    </row>
    <row r="46" spans="1:21" ht="15.75" thickTop="1" x14ac:dyDescent="0.25">
      <c r="A46" s="67"/>
      <c r="B46" s="67"/>
      <c r="C46" s="67"/>
      <c r="D46" s="67"/>
      <c r="E46" s="67"/>
      <c r="F46" s="67"/>
      <c r="G46" s="492"/>
      <c r="H46" s="493"/>
      <c r="I46" s="493"/>
      <c r="J46" s="493"/>
      <c r="K46" s="493"/>
      <c r="L46" s="493"/>
      <c r="M46" s="494"/>
      <c r="N46" s="76"/>
      <c r="O46" s="492"/>
      <c r="P46" s="493"/>
      <c r="Q46" s="493"/>
      <c r="R46" s="493"/>
      <c r="S46" s="493"/>
      <c r="T46" s="493"/>
      <c r="U46" s="494"/>
    </row>
    <row r="47" spans="1:21" x14ac:dyDescent="0.25">
      <c r="A47" s="67"/>
      <c r="B47" s="67"/>
      <c r="C47" s="67"/>
      <c r="D47" s="67"/>
      <c r="E47" s="67"/>
      <c r="F47" s="67"/>
      <c r="G47" s="495"/>
      <c r="H47" s="496"/>
      <c r="I47" s="496"/>
      <c r="J47" s="496"/>
      <c r="K47" s="496"/>
      <c r="L47" s="496"/>
      <c r="M47" s="497"/>
      <c r="N47" s="76"/>
      <c r="O47" s="495"/>
      <c r="P47" s="496"/>
      <c r="Q47" s="496"/>
      <c r="R47" s="496"/>
      <c r="S47" s="496"/>
      <c r="T47" s="496"/>
      <c r="U47" s="497"/>
    </row>
    <row r="48" spans="1:21" x14ac:dyDescent="0.25">
      <c r="A48" s="67"/>
      <c r="B48" s="67"/>
      <c r="C48" s="67"/>
      <c r="D48" s="67"/>
      <c r="E48" s="67"/>
      <c r="F48" s="67"/>
      <c r="G48" s="495"/>
      <c r="H48" s="496"/>
      <c r="I48" s="496"/>
      <c r="J48" s="496"/>
      <c r="K48" s="496"/>
      <c r="L48" s="496"/>
      <c r="M48" s="497"/>
      <c r="N48" s="76"/>
      <c r="O48" s="495"/>
      <c r="P48" s="496"/>
      <c r="Q48" s="496"/>
      <c r="R48" s="496"/>
      <c r="S48" s="496"/>
      <c r="T48" s="496"/>
      <c r="U48" s="497"/>
    </row>
    <row r="49" spans="1:21" x14ac:dyDescent="0.25">
      <c r="A49" s="67"/>
      <c r="B49" s="67"/>
      <c r="C49" s="67"/>
      <c r="D49" s="67"/>
      <c r="E49" s="67"/>
      <c r="F49" s="67"/>
      <c r="G49" s="495"/>
      <c r="H49" s="496"/>
      <c r="I49" s="496"/>
      <c r="J49" s="496"/>
      <c r="K49" s="496"/>
      <c r="L49" s="496"/>
      <c r="M49" s="497"/>
      <c r="N49" s="76"/>
      <c r="O49" s="495"/>
      <c r="P49" s="496"/>
      <c r="Q49" s="496"/>
      <c r="R49" s="496"/>
      <c r="S49" s="496"/>
      <c r="T49" s="496"/>
      <c r="U49" s="497"/>
    </row>
    <row r="50" spans="1:21" x14ac:dyDescent="0.25">
      <c r="A50" s="67"/>
      <c r="B50" s="67"/>
      <c r="C50" s="67"/>
      <c r="D50" s="67"/>
      <c r="E50" s="67"/>
      <c r="F50" s="67"/>
      <c r="G50" s="495"/>
      <c r="H50" s="496"/>
      <c r="I50" s="496"/>
      <c r="J50" s="496"/>
      <c r="K50" s="496"/>
      <c r="L50" s="496"/>
      <c r="M50" s="497"/>
      <c r="N50" s="76"/>
      <c r="O50" s="495"/>
      <c r="P50" s="496"/>
      <c r="Q50" s="496"/>
      <c r="R50" s="496"/>
      <c r="S50" s="496"/>
      <c r="T50" s="496"/>
      <c r="U50" s="497"/>
    </row>
    <row r="51" spans="1:21" x14ac:dyDescent="0.25">
      <c r="A51" s="67"/>
      <c r="B51" s="67"/>
      <c r="C51" s="67"/>
      <c r="D51" s="67"/>
      <c r="E51" s="67"/>
      <c r="F51" s="67"/>
      <c r="G51" s="495"/>
      <c r="H51" s="496"/>
      <c r="I51" s="496"/>
      <c r="J51" s="496"/>
      <c r="K51" s="496"/>
      <c r="L51" s="496"/>
      <c r="M51" s="497"/>
      <c r="N51" s="76"/>
      <c r="O51" s="495"/>
      <c r="P51" s="496"/>
      <c r="Q51" s="496"/>
      <c r="R51" s="496"/>
      <c r="S51" s="496"/>
      <c r="T51" s="496"/>
      <c r="U51" s="497"/>
    </row>
    <row r="52" spans="1:21" x14ac:dyDescent="0.25">
      <c r="A52" s="67"/>
      <c r="B52" s="67"/>
      <c r="C52" s="67"/>
      <c r="D52" s="67"/>
      <c r="E52" s="67"/>
      <c r="F52" s="67"/>
      <c r="G52" s="495"/>
      <c r="H52" s="496"/>
      <c r="I52" s="496"/>
      <c r="J52" s="496"/>
      <c r="K52" s="496"/>
      <c r="L52" s="496"/>
      <c r="M52" s="497"/>
      <c r="N52" s="76"/>
      <c r="O52" s="495"/>
      <c r="P52" s="496"/>
      <c r="Q52" s="496"/>
      <c r="R52" s="496"/>
      <c r="S52" s="496"/>
      <c r="T52" s="496"/>
      <c r="U52" s="497"/>
    </row>
    <row r="53" spans="1:21" x14ac:dyDescent="0.25">
      <c r="A53" s="67"/>
      <c r="B53" s="67"/>
      <c r="C53" s="67"/>
      <c r="D53" s="67"/>
      <c r="E53" s="67"/>
      <c r="F53" s="67"/>
      <c r="G53" s="495"/>
      <c r="H53" s="496"/>
      <c r="I53" s="496"/>
      <c r="J53" s="496"/>
      <c r="K53" s="496"/>
      <c r="L53" s="496"/>
      <c r="M53" s="497"/>
      <c r="N53" s="76"/>
      <c r="O53" s="495"/>
      <c r="P53" s="496"/>
      <c r="Q53" s="496"/>
      <c r="R53" s="496"/>
      <c r="S53" s="496"/>
      <c r="T53" s="496"/>
      <c r="U53" s="497"/>
    </row>
    <row r="54" spans="1:21" x14ac:dyDescent="0.25">
      <c r="A54" s="67"/>
      <c r="B54" s="67"/>
      <c r="C54" s="67"/>
      <c r="D54" s="67"/>
      <c r="E54" s="67"/>
      <c r="F54" s="67"/>
      <c r="G54" s="495"/>
      <c r="H54" s="496"/>
      <c r="I54" s="496"/>
      <c r="J54" s="496"/>
      <c r="K54" s="496"/>
      <c r="L54" s="496"/>
      <c r="M54" s="497"/>
      <c r="N54" s="76"/>
      <c r="O54" s="495"/>
      <c r="P54" s="496"/>
      <c r="Q54" s="496"/>
      <c r="R54" s="496"/>
      <c r="S54" s="496"/>
      <c r="T54" s="496"/>
      <c r="U54" s="497"/>
    </row>
    <row r="55" spans="1:21" x14ac:dyDescent="0.25">
      <c r="A55" s="67"/>
      <c r="B55" s="67"/>
      <c r="C55" s="67"/>
      <c r="D55" s="67"/>
      <c r="E55" s="67"/>
      <c r="F55" s="67"/>
      <c r="G55" s="495"/>
      <c r="H55" s="496"/>
      <c r="I55" s="496"/>
      <c r="J55" s="496"/>
      <c r="K55" s="496"/>
      <c r="L55" s="496"/>
      <c r="M55" s="497"/>
      <c r="N55" s="76"/>
      <c r="O55" s="495"/>
      <c r="P55" s="496"/>
      <c r="Q55" s="496"/>
      <c r="R55" s="496"/>
      <c r="S55" s="496"/>
      <c r="T55" s="496"/>
      <c r="U55" s="497"/>
    </row>
    <row r="56" spans="1:21" ht="15.75" thickBot="1" x14ac:dyDescent="0.3">
      <c r="A56" s="67"/>
      <c r="B56" s="67"/>
      <c r="C56" s="67"/>
      <c r="D56" s="67"/>
      <c r="E56" s="67"/>
      <c r="F56" s="67"/>
      <c r="G56" s="498"/>
      <c r="H56" s="499"/>
      <c r="I56" s="499"/>
      <c r="J56" s="499"/>
      <c r="K56" s="499"/>
      <c r="L56" s="499"/>
      <c r="M56" s="500"/>
      <c r="N56" s="76"/>
      <c r="O56" s="498"/>
      <c r="P56" s="499"/>
      <c r="Q56" s="499"/>
      <c r="R56" s="499"/>
      <c r="S56" s="499"/>
      <c r="T56" s="499"/>
      <c r="U56" s="500"/>
    </row>
    <row r="57" spans="1:21" ht="15.75" thickTop="1" x14ac:dyDescent="0.25"/>
  </sheetData>
  <mergeCells count="15">
    <mergeCell ref="G46:M56"/>
    <mergeCell ref="O46:U56"/>
    <mergeCell ref="G28:M29"/>
    <mergeCell ref="O28:U29"/>
    <mergeCell ref="G31:M41"/>
    <mergeCell ref="O31:U41"/>
    <mergeCell ref="G43:M44"/>
    <mergeCell ref="O43:U44"/>
    <mergeCell ref="G16:M26"/>
    <mergeCell ref="O16:U26"/>
    <mergeCell ref="A1:E1"/>
    <mergeCell ref="G1:M11"/>
    <mergeCell ref="O1:U11"/>
    <mergeCell ref="G13:M14"/>
    <mergeCell ref="O13:U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workbookViewId="0">
      <selection activeCell="G1" sqref="G1:M11"/>
    </sheetView>
  </sheetViews>
  <sheetFormatPr defaultRowHeight="15" x14ac:dyDescent="0.25"/>
  <cols>
    <col min="2" max="2" width="19.42578125" customWidth="1"/>
    <col min="3" max="3" width="11.7109375" customWidth="1"/>
    <col min="4" max="4" width="13.42578125" customWidth="1"/>
    <col min="5" max="5" width="10" customWidth="1"/>
    <col min="11" max="13" width="9.28515625" customWidth="1"/>
  </cols>
  <sheetData>
    <row r="1" spans="1:21" ht="16.5" thickTop="1" thickBot="1" x14ac:dyDescent="0.3">
      <c r="A1" s="501" t="s">
        <v>643</v>
      </c>
      <c r="B1" s="502"/>
      <c r="C1" s="502"/>
      <c r="D1" s="503"/>
      <c r="E1" s="504"/>
      <c r="F1" s="67"/>
      <c r="G1" s="492"/>
      <c r="H1" s="493"/>
      <c r="I1" s="493"/>
      <c r="J1" s="493"/>
      <c r="K1" s="493"/>
      <c r="L1" s="493"/>
      <c r="M1" s="494"/>
      <c r="N1" s="76"/>
      <c r="O1" s="492"/>
      <c r="P1" s="493"/>
      <c r="Q1" s="493"/>
      <c r="R1" s="493"/>
      <c r="S1" s="493"/>
      <c r="T1" s="493"/>
      <c r="U1" s="494"/>
    </row>
    <row r="2" spans="1:21" ht="15.75" thickBot="1" x14ac:dyDescent="0.3">
      <c r="A2" s="77" t="s">
        <v>632</v>
      </c>
      <c r="B2" s="78" t="s">
        <v>633</v>
      </c>
      <c r="C2" s="78" t="s">
        <v>634</v>
      </c>
      <c r="D2" s="78" t="s">
        <v>635</v>
      </c>
      <c r="E2" s="79" t="s">
        <v>636</v>
      </c>
      <c r="F2" s="67"/>
      <c r="G2" s="495"/>
      <c r="H2" s="496"/>
      <c r="I2" s="496"/>
      <c r="J2" s="496"/>
      <c r="K2" s="496"/>
      <c r="L2" s="496"/>
      <c r="M2" s="497"/>
      <c r="N2" s="76"/>
      <c r="O2" s="495"/>
      <c r="P2" s="496"/>
      <c r="Q2" s="496"/>
      <c r="R2" s="496"/>
      <c r="S2" s="496"/>
      <c r="T2" s="496"/>
      <c r="U2" s="497"/>
    </row>
    <row r="3" spans="1:21" x14ac:dyDescent="0.25">
      <c r="A3" s="80">
        <v>1</v>
      </c>
      <c r="B3" s="81"/>
      <c r="C3" s="81"/>
      <c r="D3" s="82"/>
      <c r="E3" s="83"/>
      <c r="F3" s="67"/>
      <c r="G3" s="495"/>
      <c r="H3" s="496"/>
      <c r="I3" s="496"/>
      <c r="J3" s="496"/>
      <c r="K3" s="496"/>
      <c r="L3" s="496"/>
      <c r="M3" s="497"/>
      <c r="N3" s="76"/>
      <c r="O3" s="495"/>
      <c r="P3" s="496"/>
      <c r="Q3" s="496"/>
      <c r="R3" s="496"/>
      <c r="S3" s="496"/>
      <c r="T3" s="496"/>
      <c r="U3" s="497"/>
    </row>
    <row r="4" spans="1:21" x14ac:dyDescent="0.25">
      <c r="A4" s="84">
        <v>2</v>
      </c>
      <c r="B4" s="81"/>
      <c r="C4" s="81"/>
      <c r="D4" s="81"/>
      <c r="E4" s="83"/>
      <c r="F4" s="67"/>
      <c r="G4" s="495"/>
      <c r="H4" s="496"/>
      <c r="I4" s="496"/>
      <c r="J4" s="496"/>
      <c r="K4" s="496"/>
      <c r="L4" s="496"/>
      <c r="M4" s="497"/>
      <c r="N4" s="76"/>
      <c r="O4" s="495"/>
      <c r="P4" s="496"/>
      <c r="Q4" s="496"/>
      <c r="R4" s="496"/>
      <c r="S4" s="496"/>
      <c r="T4" s="496"/>
      <c r="U4" s="497"/>
    </row>
    <row r="5" spans="1:21" x14ac:dyDescent="0.25">
      <c r="A5" s="84">
        <v>3</v>
      </c>
      <c r="B5" s="81"/>
      <c r="C5" s="81"/>
      <c r="D5" s="81"/>
      <c r="E5" s="83"/>
      <c r="F5" s="67"/>
      <c r="G5" s="495"/>
      <c r="H5" s="496"/>
      <c r="I5" s="496"/>
      <c r="J5" s="496"/>
      <c r="K5" s="496"/>
      <c r="L5" s="496"/>
      <c r="M5" s="497"/>
      <c r="N5" s="76"/>
      <c r="O5" s="495"/>
      <c r="P5" s="496"/>
      <c r="Q5" s="496"/>
      <c r="R5" s="496"/>
      <c r="S5" s="496"/>
      <c r="T5" s="496"/>
      <c r="U5" s="497"/>
    </row>
    <row r="6" spans="1:21" x14ac:dyDescent="0.25">
      <c r="A6" s="84">
        <v>4</v>
      </c>
      <c r="B6" s="81"/>
      <c r="C6" s="81"/>
      <c r="D6" s="67"/>
      <c r="E6" s="83"/>
      <c r="F6" s="67"/>
      <c r="G6" s="495"/>
      <c r="H6" s="496"/>
      <c r="I6" s="496"/>
      <c r="J6" s="496"/>
      <c r="K6" s="496"/>
      <c r="L6" s="496"/>
      <c r="M6" s="497"/>
      <c r="N6" s="76"/>
      <c r="O6" s="495"/>
      <c r="P6" s="496"/>
      <c r="Q6" s="496"/>
      <c r="R6" s="496"/>
      <c r="S6" s="496"/>
      <c r="T6" s="496"/>
      <c r="U6" s="497"/>
    </row>
    <row r="7" spans="1:21" x14ac:dyDescent="0.25">
      <c r="A7" s="84">
        <v>5</v>
      </c>
      <c r="B7" s="81"/>
      <c r="C7" s="81"/>
      <c r="D7" s="81"/>
      <c r="E7" s="83"/>
      <c r="F7" s="67"/>
      <c r="G7" s="495"/>
      <c r="H7" s="496"/>
      <c r="I7" s="496"/>
      <c r="J7" s="496"/>
      <c r="K7" s="496"/>
      <c r="L7" s="496"/>
      <c r="M7" s="497"/>
      <c r="N7" s="76"/>
      <c r="O7" s="495"/>
      <c r="P7" s="496"/>
      <c r="Q7" s="496"/>
      <c r="R7" s="496"/>
      <c r="S7" s="496"/>
      <c r="T7" s="496"/>
      <c r="U7" s="497"/>
    </row>
    <row r="8" spans="1:21" x14ac:dyDescent="0.25">
      <c r="A8" s="84">
        <v>6</v>
      </c>
      <c r="B8" s="81"/>
      <c r="C8" s="81"/>
      <c r="D8" s="81"/>
      <c r="E8" s="83"/>
      <c r="F8" s="67"/>
      <c r="G8" s="495"/>
      <c r="H8" s="496"/>
      <c r="I8" s="496"/>
      <c r="J8" s="496"/>
      <c r="K8" s="496"/>
      <c r="L8" s="496"/>
      <c r="M8" s="497"/>
      <c r="N8" s="76"/>
      <c r="O8" s="495"/>
      <c r="P8" s="496"/>
      <c r="Q8" s="496"/>
      <c r="R8" s="496"/>
      <c r="S8" s="496"/>
      <c r="T8" s="496"/>
      <c r="U8" s="497"/>
    </row>
    <row r="9" spans="1:21" x14ac:dyDescent="0.25">
      <c r="A9" s="84">
        <v>7</v>
      </c>
      <c r="B9" s="81"/>
      <c r="C9" s="81"/>
      <c r="D9" s="81"/>
      <c r="E9" s="83"/>
      <c r="F9" s="67"/>
      <c r="G9" s="495"/>
      <c r="H9" s="496"/>
      <c r="I9" s="496"/>
      <c r="J9" s="496"/>
      <c r="K9" s="496"/>
      <c r="L9" s="496"/>
      <c r="M9" s="497"/>
      <c r="N9" s="76"/>
      <c r="O9" s="495"/>
      <c r="P9" s="496"/>
      <c r="Q9" s="496"/>
      <c r="R9" s="496"/>
      <c r="S9" s="496"/>
      <c r="T9" s="496"/>
      <c r="U9" s="497"/>
    </row>
    <row r="10" spans="1:21" x14ac:dyDescent="0.25">
      <c r="A10" s="84">
        <v>8</v>
      </c>
      <c r="B10" s="81"/>
      <c r="C10" s="81"/>
      <c r="D10" s="81"/>
      <c r="E10" s="83"/>
      <c r="F10" s="67"/>
      <c r="G10" s="495"/>
      <c r="H10" s="496"/>
      <c r="I10" s="496"/>
      <c r="J10" s="496"/>
      <c r="K10" s="496"/>
      <c r="L10" s="496"/>
      <c r="M10" s="497"/>
      <c r="N10" s="76"/>
      <c r="O10" s="495"/>
      <c r="P10" s="496"/>
      <c r="Q10" s="496"/>
      <c r="R10" s="496"/>
      <c r="S10" s="496"/>
      <c r="T10" s="496"/>
      <c r="U10" s="497"/>
    </row>
    <row r="11" spans="1:21" ht="15.75" thickBot="1" x14ac:dyDescent="0.3">
      <c r="A11" s="84">
        <v>9</v>
      </c>
      <c r="B11" s="88"/>
      <c r="C11" s="88"/>
      <c r="D11" s="85"/>
      <c r="E11" s="89"/>
      <c r="F11" s="67"/>
      <c r="G11" s="498"/>
      <c r="H11" s="499"/>
      <c r="I11" s="499"/>
      <c r="J11" s="499"/>
      <c r="K11" s="499"/>
      <c r="L11" s="499"/>
      <c r="M11" s="500"/>
      <c r="N11" s="76"/>
      <c r="O11" s="498"/>
      <c r="P11" s="499"/>
      <c r="Q11" s="499"/>
      <c r="R11" s="499"/>
      <c r="S11" s="499"/>
      <c r="T11" s="499"/>
      <c r="U11" s="500"/>
    </row>
    <row r="12" spans="1:21" ht="16.5" thickTop="1" thickBot="1" x14ac:dyDescent="0.3">
      <c r="A12" s="84">
        <v>10</v>
      </c>
      <c r="B12" s="88"/>
      <c r="C12" s="88"/>
      <c r="D12" s="85"/>
      <c r="E12" s="89"/>
      <c r="F12" s="67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</row>
    <row r="13" spans="1:21" x14ac:dyDescent="0.25">
      <c r="A13" s="84">
        <v>11</v>
      </c>
      <c r="B13" s="88"/>
      <c r="C13" s="88"/>
      <c r="D13" s="85"/>
      <c r="E13" s="89"/>
      <c r="F13" s="67"/>
      <c r="G13" s="505" t="s">
        <v>637</v>
      </c>
      <c r="H13" s="506"/>
      <c r="I13" s="506"/>
      <c r="J13" s="506"/>
      <c r="K13" s="506"/>
      <c r="L13" s="506"/>
      <c r="M13" s="507"/>
      <c r="N13" s="76"/>
      <c r="O13" s="505" t="s">
        <v>638</v>
      </c>
      <c r="P13" s="506"/>
      <c r="Q13" s="506"/>
      <c r="R13" s="506"/>
      <c r="S13" s="506"/>
      <c r="T13" s="506"/>
      <c r="U13" s="507"/>
    </row>
    <row r="14" spans="1:21" ht="15.75" thickBot="1" x14ac:dyDescent="0.3">
      <c r="A14" s="84">
        <v>12</v>
      </c>
      <c r="B14" s="88"/>
      <c r="C14" s="88"/>
      <c r="D14" s="85"/>
      <c r="E14" s="89"/>
      <c r="F14" s="67"/>
      <c r="G14" s="508"/>
      <c r="H14" s="509"/>
      <c r="I14" s="509"/>
      <c r="J14" s="509"/>
      <c r="K14" s="509"/>
      <c r="L14" s="509"/>
      <c r="M14" s="510"/>
      <c r="N14" s="76"/>
      <c r="O14" s="508"/>
      <c r="P14" s="509"/>
      <c r="Q14" s="509"/>
      <c r="R14" s="509"/>
      <c r="S14" s="509"/>
      <c r="T14" s="509"/>
      <c r="U14" s="510"/>
    </row>
    <row r="15" spans="1:21" ht="15.75" thickBot="1" x14ac:dyDescent="0.3">
      <c r="A15" s="84">
        <v>13</v>
      </c>
      <c r="B15" s="88"/>
      <c r="C15" s="88"/>
      <c r="D15" s="85"/>
      <c r="E15" s="89"/>
      <c r="F15" s="67"/>
      <c r="G15" s="86"/>
      <c r="H15" s="86"/>
      <c r="I15" s="86"/>
      <c r="J15" s="86"/>
      <c r="K15" s="86"/>
      <c r="L15" s="86"/>
      <c r="M15" s="86"/>
      <c r="N15" s="87"/>
      <c r="O15" s="86"/>
      <c r="P15" s="86"/>
      <c r="Q15" s="86"/>
      <c r="R15" s="86"/>
      <c r="S15" s="86"/>
      <c r="T15" s="86"/>
      <c r="U15" s="86"/>
    </row>
    <row r="16" spans="1:21" ht="15.75" thickTop="1" x14ac:dyDescent="0.25">
      <c r="A16" s="84">
        <v>14</v>
      </c>
      <c r="B16" s="88"/>
      <c r="C16" s="88"/>
      <c r="D16" s="85"/>
      <c r="E16" s="89"/>
      <c r="F16" s="67"/>
      <c r="G16" s="492"/>
      <c r="H16" s="493"/>
      <c r="I16" s="493"/>
      <c r="J16" s="493"/>
      <c r="K16" s="493"/>
      <c r="L16" s="493"/>
      <c r="M16" s="494"/>
      <c r="N16" s="76"/>
      <c r="O16" s="492"/>
      <c r="P16" s="493"/>
      <c r="Q16" s="493"/>
      <c r="R16" s="493"/>
      <c r="S16" s="493"/>
      <c r="T16" s="493"/>
      <c r="U16" s="494"/>
    </row>
    <row r="17" spans="1:21" x14ac:dyDescent="0.25">
      <c r="A17" s="84">
        <v>15</v>
      </c>
      <c r="B17" s="88"/>
      <c r="C17" s="88"/>
      <c r="D17" s="85"/>
      <c r="E17" s="89"/>
      <c r="F17" s="67"/>
      <c r="G17" s="495"/>
      <c r="H17" s="496"/>
      <c r="I17" s="496"/>
      <c r="J17" s="496"/>
      <c r="K17" s="496"/>
      <c r="L17" s="496"/>
      <c r="M17" s="497"/>
      <c r="N17" s="76"/>
      <c r="O17" s="495"/>
      <c r="P17" s="496"/>
      <c r="Q17" s="496"/>
      <c r="R17" s="496"/>
      <c r="S17" s="496"/>
      <c r="T17" s="496"/>
      <c r="U17" s="497"/>
    </row>
    <row r="18" spans="1:21" x14ac:dyDescent="0.25">
      <c r="A18" s="84">
        <v>16</v>
      </c>
      <c r="B18" s="88"/>
      <c r="C18" s="88"/>
      <c r="D18" s="85"/>
      <c r="E18" s="89"/>
      <c r="F18" s="67"/>
      <c r="G18" s="495"/>
      <c r="H18" s="496"/>
      <c r="I18" s="496"/>
      <c r="J18" s="496"/>
      <c r="K18" s="496"/>
      <c r="L18" s="496"/>
      <c r="M18" s="497"/>
      <c r="N18" s="76"/>
      <c r="O18" s="495"/>
      <c r="P18" s="496"/>
      <c r="Q18" s="496"/>
      <c r="R18" s="496"/>
      <c r="S18" s="496"/>
      <c r="T18" s="496"/>
      <c r="U18" s="497"/>
    </row>
    <row r="19" spans="1:21" x14ac:dyDescent="0.25">
      <c r="A19" s="84">
        <v>17</v>
      </c>
      <c r="B19" s="88"/>
      <c r="C19" s="88"/>
      <c r="D19" s="85"/>
      <c r="E19" s="89"/>
      <c r="F19" s="67"/>
      <c r="G19" s="495"/>
      <c r="H19" s="496"/>
      <c r="I19" s="496"/>
      <c r="J19" s="496"/>
      <c r="K19" s="496"/>
      <c r="L19" s="496"/>
      <c r="M19" s="497"/>
      <c r="N19" s="76"/>
      <c r="O19" s="495"/>
      <c r="P19" s="496"/>
      <c r="Q19" s="496"/>
      <c r="R19" s="496"/>
      <c r="S19" s="496"/>
      <c r="T19" s="496"/>
      <c r="U19" s="497"/>
    </row>
    <row r="20" spans="1:21" x14ac:dyDescent="0.25">
      <c r="A20" s="84">
        <v>18</v>
      </c>
      <c r="B20" s="88"/>
      <c r="C20" s="88"/>
      <c r="D20" s="85"/>
      <c r="E20" s="89"/>
      <c r="F20" s="67"/>
      <c r="G20" s="495"/>
      <c r="H20" s="496"/>
      <c r="I20" s="496"/>
      <c r="J20" s="496"/>
      <c r="K20" s="496"/>
      <c r="L20" s="496"/>
      <c r="M20" s="497"/>
      <c r="N20" s="76"/>
      <c r="O20" s="495"/>
      <c r="P20" s="496"/>
      <c r="Q20" s="496"/>
      <c r="R20" s="496"/>
      <c r="S20" s="496"/>
      <c r="T20" s="496"/>
      <c r="U20" s="497"/>
    </row>
    <row r="21" spans="1:21" x14ac:dyDescent="0.25">
      <c r="A21" s="84">
        <v>19</v>
      </c>
      <c r="B21" s="88"/>
      <c r="C21" s="88"/>
      <c r="D21" s="85"/>
      <c r="E21" s="89"/>
      <c r="F21" s="67"/>
      <c r="G21" s="495"/>
      <c r="H21" s="496"/>
      <c r="I21" s="496"/>
      <c r="J21" s="496"/>
      <c r="K21" s="496"/>
      <c r="L21" s="496"/>
      <c r="M21" s="497"/>
      <c r="N21" s="76"/>
      <c r="O21" s="495"/>
      <c r="P21" s="496"/>
      <c r="Q21" s="496"/>
      <c r="R21" s="496"/>
      <c r="S21" s="496"/>
      <c r="T21" s="496"/>
      <c r="U21" s="497"/>
    </row>
    <row r="22" spans="1:21" x14ac:dyDescent="0.25">
      <c r="A22" s="84">
        <v>20</v>
      </c>
      <c r="B22" s="88"/>
      <c r="C22" s="88"/>
      <c r="D22" s="85"/>
      <c r="E22" s="89"/>
      <c r="F22" s="67"/>
      <c r="G22" s="495"/>
      <c r="H22" s="496"/>
      <c r="I22" s="496"/>
      <c r="J22" s="496"/>
      <c r="K22" s="496"/>
      <c r="L22" s="496"/>
      <c r="M22" s="497"/>
      <c r="N22" s="76"/>
      <c r="O22" s="495"/>
      <c r="P22" s="496"/>
      <c r="Q22" s="496"/>
      <c r="R22" s="496"/>
      <c r="S22" s="496"/>
      <c r="T22" s="496"/>
      <c r="U22" s="497"/>
    </row>
    <row r="23" spans="1:21" x14ac:dyDescent="0.25">
      <c r="A23" s="84">
        <v>21</v>
      </c>
      <c r="B23" s="88"/>
      <c r="C23" s="88"/>
      <c r="D23" s="85"/>
      <c r="E23" s="89"/>
      <c r="F23" s="67"/>
      <c r="G23" s="495"/>
      <c r="H23" s="496"/>
      <c r="I23" s="496"/>
      <c r="J23" s="496"/>
      <c r="K23" s="496"/>
      <c r="L23" s="496"/>
      <c r="M23" s="497"/>
      <c r="N23" s="76"/>
      <c r="O23" s="495"/>
      <c r="P23" s="496"/>
      <c r="Q23" s="496"/>
      <c r="R23" s="496"/>
      <c r="S23" s="496"/>
      <c r="T23" s="496"/>
      <c r="U23" s="497"/>
    </row>
    <row r="24" spans="1:21" x14ac:dyDescent="0.25">
      <c r="A24" s="84">
        <v>22</v>
      </c>
      <c r="B24" s="88"/>
      <c r="C24" s="88"/>
      <c r="D24" s="85"/>
      <c r="E24" s="89"/>
      <c r="F24" s="67"/>
      <c r="G24" s="495"/>
      <c r="H24" s="496"/>
      <c r="I24" s="496"/>
      <c r="J24" s="496"/>
      <c r="K24" s="496"/>
      <c r="L24" s="496"/>
      <c r="M24" s="497"/>
      <c r="N24" s="76"/>
      <c r="O24" s="495"/>
      <c r="P24" s="496"/>
      <c r="Q24" s="496"/>
      <c r="R24" s="496"/>
      <c r="S24" s="496"/>
      <c r="T24" s="496"/>
      <c r="U24" s="497"/>
    </row>
    <row r="25" spans="1:21" x14ac:dyDescent="0.25">
      <c r="A25" s="84">
        <v>23</v>
      </c>
      <c r="B25" s="88"/>
      <c r="C25" s="88"/>
      <c r="D25" s="85"/>
      <c r="E25" s="89"/>
      <c r="F25" s="67"/>
      <c r="G25" s="495"/>
      <c r="H25" s="496"/>
      <c r="I25" s="496"/>
      <c r="J25" s="496"/>
      <c r="K25" s="496"/>
      <c r="L25" s="496"/>
      <c r="M25" s="497"/>
      <c r="N25" s="76"/>
      <c r="O25" s="495"/>
      <c r="P25" s="496"/>
      <c r="Q25" s="496"/>
      <c r="R25" s="496"/>
      <c r="S25" s="496"/>
      <c r="T25" s="496"/>
      <c r="U25" s="497"/>
    </row>
    <row r="26" spans="1:21" ht="15.75" thickBot="1" x14ac:dyDescent="0.3">
      <c r="A26" s="84">
        <v>24</v>
      </c>
      <c r="B26" s="88"/>
      <c r="C26" s="88"/>
      <c r="D26" s="85"/>
      <c r="E26" s="89"/>
      <c r="F26" s="67"/>
      <c r="G26" s="498"/>
      <c r="H26" s="499"/>
      <c r="I26" s="499"/>
      <c r="J26" s="499"/>
      <c r="K26" s="499"/>
      <c r="L26" s="499"/>
      <c r="M26" s="500"/>
      <c r="N26" s="76"/>
      <c r="O26" s="498"/>
      <c r="P26" s="499"/>
      <c r="Q26" s="499"/>
      <c r="R26" s="499"/>
      <c r="S26" s="499"/>
      <c r="T26" s="499"/>
      <c r="U26" s="500"/>
    </row>
    <row r="27" spans="1:21" ht="16.5" thickTop="1" thickBot="1" x14ac:dyDescent="0.3">
      <c r="A27" s="84">
        <v>25</v>
      </c>
      <c r="B27" s="88"/>
      <c r="C27" s="88"/>
      <c r="D27" s="85"/>
      <c r="E27" s="89"/>
      <c r="F27" s="67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</row>
    <row r="28" spans="1:21" x14ac:dyDescent="0.25">
      <c r="A28" s="84">
        <v>26</v>
      </c>
      <c r="B28" s="88"/>
      <c r="C28" s="88"/>
      <c r="D28" s="85"/>
      <c r="E28" s="89"/>
      <c r="F28" s="67"/>
      <c r="G28" s="505" t="s">
        <v>639</v>
      </c>
      <c r="H28" s="506"/>
      <c r="I28" s="506"/>
      <c r="J28" s="506"/>
      <c r="K28" s="506"/>
      <c r="L28" s="506"/>
      <c r="M28" s="507"/>
      <c r="N28" s="76"/>
      <c r="O28" s="505" t="s">
        <v>640</v>
      </c>
      <c r="P28" s="506"/>
      <c r="Q28" s="506"/>
      <c r="R28" s="506"/>
      <c r="S28" s="506"/>
      <c r="T28" s="506"/>
      <c r="U28" s="507"/>
    </row>
    <row r="29" spans="1:21" ht="15.75" thickBot="1" x14ac:dyDescent="0.3">
      <c r="A29" s="84">
        <v>27</v>
      </c>
      <c r="B29" s="88"/>
      <c r="C29" s="88"/>
      <c r="D29" s="85"/>
      <c r="E29" s="89"/>
      <c r="F29" s="67"/>
      <c r="G29" s="508"/>
      <c r="H29" s="509"/>
      <c r="I29" s="509"/>
      <c r="J29" s="509"/>
      <c r="K29" s="509"/>
      <c r="L29" s="509"/>
      <c r="M29" s="510"/>
      <c r="N29" s="76"/>
      <c r="O29" s="508"/>
      <c r="P29" s="509"/>
      <c r="Q29" s="509"/>
      <c r="R29" s="509"/>
      <c r="S29" s="509"/>
      <c r="T29" s="509"/>
      <c r="U29" s="510"/>
    </row>
    <row r="30" spans="1:21" ht="15.75" thickBot="1" x14ac:dyDescent="0.3">
      <c r="A30" s="84">
        <v>28</v>
      </c>
      <c r="B30" s="88"/>
      <c r="C30" s="88"/>
      <c r="D30" s="85"/>
      <c r="E30" s="89"/>
      <c r="F30" s="67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</row>
    <row r="31" spans="1:21" ht="15.75" thickTop="1" x14ac:dyDescent="0.25">
      <c r="A31" s="84">
        <v>29</v>
      </c>
      <c r="B31" s="88"/>
      <c r="C31" s="88"/>
      <c r="D31" s="85"/>
      <c r="E31" s="89"/>
      <c r="F31" s="67"/>
      <c r="G31" s="492"/>
      <c r="H31" s="493"/>
      <c r="I31" s="493"/>
      <c r="J31" s="493"/>
      <c r="K31" s="493"/>
      <c r="L31" s="493"/>
      <c r="M31" s="494"/>
      <c r="N31" s="76"/>
      <c r="O31" s="492"/>
      <c r="P31" s="493"/>
      <c r="Q31" s="493"/>
      <c r="R31" s="493"/>
      <c r="S31" s="493"/>
      <c r="T31" s="493"/>
      <c r="U31" s="494"/>
    </row>
    <row r="32" spans="1:21" x14ac:dyDescent="0.25">
      <c r="A32" s="84">
        <v>30</v>
      </c>
      <c r="B32" s="88"/>
      <c r="C32" s="88"/>
      <c r="D32" s="85"/>
      <c r="E32" s="89"/>
      <c r="F32" s="67"/>
      <c r="G32" s="495"/>
      <c r="H32" s="496"/>
      <c r="I32" s="496"/>
      <c r="J32" s="496"/>
      <c r="K32" s="496"/>
      <c r="L32" s="496"/>
      <c r="M32" s="497"/>
      <c r="N32" s="76"/>
      <c r="O32" s="495"/>
      <c r="P32" s="496"/>
      <c r="Q32" s="496"/>
      <c r="R32" s="496"/>
      <c r="S32" s="496"/>
      <c r="T32" s="496"/>
      <c r="U32" s="497"/>
    </row>
    <row r="33" spans="1:21" x14ac:dyDescent="0.25">
      <c r="A33" s="84">
        <v>31</v>
      </c>
      <c r="B33" s="88"/>
      <c r="C33" s="88"/>
      <c r="D33" s="85"/>
      <c r="E33" s="89"/>
      <c r="F33" s="67"/>
      <c r="G33" s="495"/>
      <c r="H33" s="496"/>
      <c r="I33" s="496"/>
      <c r="J33" s="496"/>
      <c r="K33" s="496"/>
      <c r="L33" s="496"/>
      <c r="M33" s="497"/>
      <c r="N33" s="76"/>
      <c r="O33" s="495"/>
      <c r="P33" s="496"/>
      <c r="Q33" s="496"/>
      <c r="R33" s="496"/>
      <c r="S33" s="496"/>
      <c r="T33" s="496"/>
      <c r="U33" s="497"/>
    </row>
    <row r="34" spans="1:21" x14ac:dyDescent="0.25">
      <c r="A34" s="84">
        <v>32</v>
      </c>
      <c r="B34" s="88"/>
      <c r="C34" s="88"/>
      <c r="D34" s="85"/>
      <c r="E34" s="89"/>
      <c r="F34" s="67"/>
      <c r="G34" s="495"/>
      <c r="H34" s="496"/>
      <c r="I34" s="496"/>
      <c r="J34" s="496"/>
      <c r="K34" s="496"/>
      <c r="L34" s="496"/>
      <c r="M34" s="497"/>
      <c r="N34" s="76"/>
      <c r="O34" s="495"/>
      <c r="P34" s="496"/>
      <c r="Q34" s="496"/>
      <c r="R34" s="496"/>
      <c r="S34" s="496"/>
      <c r="T34" s="496"/>
      <c r="U34" s="497"/>
    </row>
    <row r="35" spans="1:21" x14ac:dyDescent="0.25">
      <c r="A35" s="84">
        <v>33</v>
      </c>
      <c r="B35" s="88"/>
      <c r="C35" s="88"/>
      <c r="D35" s="85"/>
      <c r="E35" s="89"/>
      <c r="F35" s="67"/>
      <c r="G35" s="495"/>
      <c r="H35" s="496"/>
      <c r="I35" s="496"/>
      <c r="J35" s="496"/>
      <c r="K35" s="496"/>
      <c r="L35" s="496"/>
      <c r="M35" s="497"/>
      <c r="N35" s="76"/>
      <c r="O35" s="495"/>
      <c r="P35" s="496"/>
      <c r="Q35" s="496"/>
      <c r="R35" s="496"/>
      <c r="S35" s="496"/>
      <c r="T35" s="496"/>
      <c r="U35" s="497"/>
    </row>
    <row r="36" spans="1:21" x14ac:dyDescent="0.25">
      <c r="A36" s="84">
        <v>34</v>
      </c>
      <c r="B36" s="88"/>
      <c r="C36" s="88"/>
      <c r="D36" s="85"/>
      <c r="E36" s="89"/>
      <c r="F36" s="67"/>
      <c r="G36" s="495"/>
      <c r="H36" s="496"/>
      <c r="I36" s="496"/>
      <c r="J36" s="496"/>
      <c r="K36" s="496"/>
      <c r="L36" s="496"/>
      <c r="M36" s="497"/>
      <c r="N36" s="76"/>
      <c r="O36" s="495"/>
      <c r="P36" s="496"/>
      <c r="Q36" s="496"/>
      <c r="R36" s="496"/>
      <c r="S36" s="496"/>
      <c r="T36" s="496"/>
      <c r="U36" s="497"/>
    </row>
    <row r="37" spans="1:21" x14ac:dyDescent="0.25">
      <c r="A37" s="84">
        <v>35</v>
      </c>
      <c r="B37" s="88"/>
      <c r="C37" s="88"/>
      <c r="D37" s="85"/>
      <c r="E37" s="89"/>
      <c r="F37" s="67"/>
      <c r="G37" s="495"/>
      <c r="H37" s="496"/>
      <c r="I37" s="496"/>
      <c r="J37" s="496"/>
      <c r="K37" s="496"/>
      <c r="L37" s="496"/>
      <c r="M37" s="497"/>
      <c r="N37" s="76"/>
      <c r="O37" s="495"/>
      <c r="P37" s="496"/>
      <c r="Q37" s="496"/>
      <c r="R37" s="496"/>
      <c r="S37" s="496"/>
      <c r="T37" s="496"/>
      <c r="U37" s="497"/>
    </row>
    <row r="38" spans="1:21" x14ac:dyDescent="0.25">
      <c r="A38" s="84">
        <v>36</v>
      </c>
      <c r="B38" s="88"/>
      <c r="C38" s="88"/>
      <c r="D38" s="85"/>
      <c r="E38" s="89"/>
      <c r="F38" s="67"/>
      <c r="G38" s="495"/>
      <c r="H38" s="496"/>
      <c r="I38" s="496"/>
      <c r="J38" s="496"/>
      <c r="K38" s="496"/>
      <c r="L38" s="496"/>
      <c r="M38" s="497"/>
      <c r="N38" s="76"/>
      <c r="O38" s="495"/>
      <c r="P38" s="496"/>
      <c r="Q38" s="496"/>
      <c r="R38" s="496"/>
      <c r="S38" s="496"/>
      <c r="T38" s="496"/>
      <c r="U38" s="497"/>
    </row>
    <row r="39" spans="1:21" x14ac:dyDescent="0.25">
      <c r="A39" s="84">
        <v>37</v>
      </c>
      <c r="B39" s="88"/>
      <c r="C39" s="88"/>
      <c r="D39" s="85"/>
      <c r="E39" s="89"/>
      <c r="F39" s="67"/>
      <c r="G39" s="495"/>
      <c r="H39" s="496"/>
      <c r="I39" s="496"/>
      <c r="J39" s="496"/>
      <c r="K39" s="496"/>
      <c r="L39" s="496"/>
      <c r="M39" s="497"/>
      <c r="N39" s="76"/>
      <c r="O39" s="495"/>
      <c r="P39" s="496"/>
      <c r="Q39" s="496"/>
      <c r="R39" s="496"/>
      <c r="S39" s="496"/>
      <c r="T39" s="496"/>
      <c r="U39" s="497"/>
    </row>
    <row r="40" spans="1:21" x14ac:dyDescent="0.25">
      <c r="A40" s="84">
        <v>38</v>
      </c>
      <c r="B40" s="88"/>
      <c r="C40" s="88"/>
      <c r="D40" s="85"/>
      <c r="E40" s="89"/>
      <c r="F40" s="67"/>
      <c r="G40" s="495"/>
      <c r="H40" s="496"/>
      <c r="I40" s="496"/>
      <c r="J40" s="496"/>
      <c r="K40" s="496"/>
      <c r="L40" s="496"/>
      <c r="M40" s="497"/>
      <c r="N40" s="76"/>
      <c r="O40" s="495"/>
      <c r="P40" s="496"/>
      <c r="Q40" s="496"/>
      <c r="R40" s="496"/>
      <c r="S40" s="496"/>
      <c r="T40" s="496"/>
      <c r="U40" s="497"/>
    </row>
    <row r="41" spans="1:21" ht="15.75" thickBot="1" x14ac:dyDescent="0.3">
      <c r="A41" s="84">
        <v>39</v>
      </c>
      <c r="B41" s="88"/>
      <c r="C41" s="88"/>
      <c r="D41" s="85"/>
      <c r="E41" s="89"/>
      <c r="F41" s="67"/>
      <c r="G41" s="498"/>
      <c r="H41" s="499"/>
      <c r="I41" s="499"/>
      <c r="J41" s="499"/>
      <c r="K41" s="499"/>
      <c r="L41" s="499"/>
      <c r="M41" s="500"/>
      <c r="N41" s="76"/>
      <c r="O41" s="498"/>
      <c r="P41" s="499"/>
      <c r="Q41" s="499"/>
      <c r="R41" s="499"/>
      <c r="S41" s="499"/>
      <c r="T41" s="499"/>
      <c r="U41" s="500"/>
    </row>
    <row r="42" spans="1:21" ht="15.75" thickTop="1" x14ac:dyDescent="0.25"/>
  </sheetData>
  <mergeCells count="11">
    <mergeCell ref="G28:M29"/>
    <mergeCell ref="O28:U29"/>
    <mergeCell ref="G31:M41"/>
    <mergeCell ref="O31:U41"/>
    <mergeCell ref="A1:E1"/>
    <mergeCell ref="G1:M11"/>
    <mergeCell ref="O1:U11"/>
    <mergeCell ref="G13:M14"/>
    <mergeCell ref="O13:U14"/>
    <mergeCell ref="G16:M26"/>
    <mergeCell ref="O16:U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5"/>
  <sheetViews>
    <sheetView zoomScale="30" zoomScaleNormal="30" workbookViewId="0">
      <selection activeCell="W3" sqref="W3:AF27"/>
    </sheetView>
  </sheetViews>
  <sheetFormatPr defaultRowHeight="15" x14ac:dyDescent="0.25"/>
  <sheetData>
    <row r="1" spans="1:32" ht="19.5" thickBot="1" x14ac:dyDescent="0.35">
      <c r="D1" s="511" t="s">
        <v>644</v>
      </c>
      <c r="E1" s="512"/>
      <c r="F1" s="513"/>
      <c r="P1" s="511" t="s">
        <v>645</v>
      </c>
      <c r="Q1" s="512"/>
      <c r="R1" s="513"/>
      <c r="Z1" s="511" t="s">
        <v>646</v>
      </c>
      <c r="AA1" s="512"/>
      <c r="AB1" s="513"/>
    </row>
    <row r="2" spans="1:32" ht="15.75" thickBot="1" x14ac:dyDescent="0.3"/>
    <row r="3" spans="1:32" x14ac:dyDescent="0.25">
      <c r="A3" s="447"/>
      <c r="B3" s="448"/>
      <c r="C3" s="448"/>
      <c r="D3" s="448"/>
      <c r="E3" s="448"/>
      <c r="F3" s="448"/>
      <c r="G3" s="448"/>
      <c r="H3" s="448"/>
      <c r="I3" s="448"/>
      <c r="J3" s="449"/>
      <c r="L3" s="447"/>
      <c r="M3" s="448"/>
      <c r="N3" s="448"/>
      <c r="O3" s="448"/>
      <c r="P3" s="448"/>
      <c r="Q3" s="448"/>
      <c r="R3" s="448"/>
      <c r="S3" s="448"/>
      <c r="T3" s="448"/>
      <c r="U3" s="449"/>
      <c r="W3" s="447"/>
      <c r="X3" s="448"/>
      <c r="Y3" s="448"/>
      <c r="Z3" s="448"/>
      <c r="AA3" s="448"/>
      <c r="AB3" s="448"/>
      <c r="AC3" s="448"/>
      <c r="AD3" s="448"/>
      <c r="AE3" s="448"/>
      <c r="AF3" s="449"/>
    </row>
    <row r="4" spans="1:32" x14ac:dyDescent="0.25">
      <c r="A4" s="450"/>
      <c r="B4" s="451"/>
      <c r="C4" s="451"/>
      <c r="D4" s="451"/>
      <c r="E4" s="451"/>
      <c r="F4" s="451"/>
      <c r="G4" s="451"/>
      <c r="H4" s="451"/>
      <c r="I4" s="451"/>
      <c r="J4" s="452"/>
      <c r="L4" s="450"/>
      <c r="M4" s="451"/>
      <c r="N4" s="451"/>
      <c r="O4" s="451"/>
      <c r="P4" s="451"/>
      <c r="Q4" s="451"/>
      <c r="R4" s="451"/>
      <c r="S4" s="451"/>
      <c r="T4" s="451"/>
      <c r="U4" s="452"/>
      <c r="W4" s="450"/>
      <c r="X4" s="451"/>
      <c r="Y4" s="451"/>
      <c r="Z4" s="451"/>
      <c r="AA4" s="451"/>
      <c r="AB4" s="451"/>
      <c r="AC4" s="451"/>
      <c r="AD4" s="451"/>
      <c r="AE4" s="451"/>
      <c r="AF4" s="452"/>
    </row>
    <row r="5" spans="1:32" x14ac:dyDescent="0.25">
      <c r="A5" s="450"/>
      <c r="B5" s="451"/>
      <c r="C5" s="451"/>
      <c r="D5" s="451"/>
      <c r="E5" s="451"/>
      <c r="F5" s="451"/>
      <c r="G5" s="451"/>
      <c r="H5" s="451"/>
      <c r="I5" s="451"/>
      <c r="J5" s="452"/>
      <c r="L5" s="450"/>
      <c r="M5" s="451"/>
      <c r="N5" s="451"/>
      <c r="O5" s="451"/>
      <c r="P5" s="451"/>
      <c r="Q5" s="451"/>
      <c r="R5" s="451"/>
      <c r="S5" s="451"/>
      <c r="T5" s="451"/>
      <c r="U5" s="452"/>
      <c r="W5" s="450"/>
      <c r="X5" s="451"/>
      <c r="Y5" s="451"/>
      <c r="Z5" s="451"/>
      <c r="AA5" s="451"/>
      <c r="AB5" s="451"/>
      <c r="AC5" s="451"/>
      <c r="AD5" s="451"/>
      <c r="AE5" s="451"/>
      <c r="AF5" s="452"/>
    </row>
    <row r="6" spans="1:32" x14ac:dyDescent="0.25">
      <c r="A6" s="450"/>
      <c r="B6" s="451"/>
      <c r="C6" s="451"/>
      <c r="D6" s="451"/>
      <c r="E6" s="451"/>
      <c r="F6" s="451"/>
      <c r="G6" s="451"/>
      <c r="H6" s="451"/>
      <c r="I6" s="451"/>
      <c r="J6" s="452"/>
      <c r="L6" s="450"/>
      <c r="M6" s="451"/>
      <c r="N6" s="451"/>
      <c r="O6" s="451"/>
      <c r="P6" s="451"/>
      <c r="Q6" s="451"/>
      <c r="R6" s="451"/>
      <c r="S6" s="451"/>
      <c r="T6" s="451"/>
      <c r="U6" s="452"/>
      <c r="W6" s="450"/>
      <c r="X6" s="451"/>
      <c r="Y6" s="451"/>
      <c r="Z6" s="451"/>
      <c r="AA6" s="451"/>
      <c r="AB6" s="451"/>
      <c r="AC6" s="451"/>
      <c r="AD6" s="451"/>
      <c r="AE6" s="451"/>
      <c r="AF6" s="452"/>
    </row>
    <row r="7" spans="1:32" x14ac:dyDescent="0.25">
      <c r="A7" s="450"/>
      <c r="B7" s="451"/>
      <c r="C7" s="451"/>
      <c r="D7" s="451"/>
      <c r="E7" s="451"/>
      <c r="F7" s="451"/>
      <c r="G7" s="451"/>
      <c r="H7" s="451"/>
      <c r="I7" s="451"/>
      <c r="J7" s="452"/>
      <c r="L7" s="450"/>
      <c r="M7" s="451"/>
      <c r="N7" s="451"/>
      <c r="O7" s="451"/>
      <c r="P7" s="451"/>
      <c r="Q7" s="451"/>
      <c r="R7" s="451"/>
      <c r="S7" s="451"/>
      <c r="T7" s="451"/>
      <c r="U7" s="452"/>
      <c r="W7" s="450"/>
      <c r="X7" s="451"/>
      <c r="Y7" s="451"/>
      <c r="Z7" s="451"/>
      <c r="AA7" s="451"/>
      <c r="AB7" s="451"/>
      <c r="AC7" s="451"/>
      <c r="AD7" s="451"/>
      <c r="AE7" s="451"/>
      <c r="AF7" s="452"/>
    </row>
    <row r="8" spans="1:32" x14ac:dyDescent="0.25">
      <c r="A8" s="450"/>
      <c r="B8" s="451"/>
      <c r="C8" s="451"/>
      <c r="D8" s="451"/>
      <c r="E8" s="451"/>
      <c r="F8" s="451"/>
      <c r="G8" s="451"/>
      <c r="H8" s="451"/>
      <c r="I8" s="451"/>
      <c r="J8" s="452"/>
      <c r="L8" s="450"/>
      <c r="M8" s="451"/>
      <c r="N8" s="451"/>
      <c r="O8" s="451"/>
      <c r="P8" s="451"/>
      <c r="Q8" s="451"/>
      <c r="R8" s="451"/>
      <c r="S8" s="451"/>
      <c r="T8" s="451"/>
      <c r="U8" s="452"/>
      <c r="W8" s="450"/>
      <c r="X8" s="451"/>
      <c r="Y8" s="451"/>
      <c r="Z8" s="451"/>
      <c r="AA8" s="451"/>
      <c r="AB8" s="451"/>
      <c r="AC8" s="451"/>
      <c r="AD8" s="451"/>
      <c r="AE8" s="451"/>
      <c r="AF8" s="452"/>
    </row>
    <row r="9" spans="1:32" x14ac:dyDescent="0.25">
      <c r="A9" s="450"/>
      <c r="B9" s="451"/>
      <c r="C9" s="451"/>
      <c r="D9" s="451"/>
      <c r="E9" s="451"/>
      <c r="F9" s="451"/>
      <c r="G9" s="451"/>
      <c r="H9" s="451"/>
      <c r="I9" s="451"/>
      <c r="J9" s="452"/>
      <c r="L9" s="450"/>
      <c r="M9" s="451"/>
      <c r="N9" s="451"/>
      <c r="O9" s="451"/>
      <c r="P9" s="451"/>
      <c r="Q9" s="451"/>
      <c r="R9" s="451"/>
      <c r="S9" s="451"/>
      <c r="T9" s="451"/>
      <c r="U9" s="452"/>
      <c r="W9" s="450"/>
      <c r="X9" s="451"/>
      <c r="Y9" s="451"/>
      <c r="Z9" s="451"/>
      <c r="AA9" s="451"/>
      <c r="AB9" s="451"/>
      <c r="AC9" s="451"/>
      <c r="AD9" s="451"/>
      <c r="AE9" s="451"/>
      <c r="AF9" s="452"/>
    </row>
    <row r="10" spans="1:32" x14ac:dyDescent="0.25">
      <c r="A10" s="450"/>
      <c r="B10" s="451"/>
      <c r="C10" s="451"/>
      <c r="D10" s="451"/>
      <c r="E10" s="451"/>
      <c r="F10" s="451"/>
      <c r="G10" s="451"/>
      <c r="H10" s="451"/>
      <c r="I10" s="451"/>
      <c r="J10" s="452"/>
      <c r="L10" s="450"/>
      <c r="M10" s="451"/>
      <c r="N10" s="451"/>
      <c r="O10" s="451"/>
      <c r="P10" s="451"/>
      <c r="Q10" s="451"/>
      <c r="R10" s="451"/>
      <c r="S10" s="451"/>
      <c r="T10" s="451"/>
      <c r="U10" s="452"/>
      <c r="W10" s="450"/>
      <c r="X10" s="451"/>
      <c r="Y10" s="451"/>
      <c r="Z10" s="451"/>
      <c r="AA10" s="451"/>
      <c r="AB10" s="451"/>
      <c r="AC10" s="451"/>
      <c r="AD10" s="451"/>
      <c r="AE10" s="451"/>
      <c r="AF10" s="452"/>
    </row>
    <row r="11" spans="1:32" x14ac:dyDescent="0.25">
      <c r="A11" s="450"/>
      <c r="B11" s="451"/>
      <c r="C11" s="451"/>
      <c r="D11" s="451"/>
      <c r="E11" s="451"/>
      <c r="F11" s="451"/>
      <c r="G11" s="451"/>
      <c r="H11" s="451"/>
      <c r="I11" s="451"/>
      <c r="J11" s="452"/>
      <c r="L11" s="450"/>
      <c r="M11" s="451"/>
      <c r="N11" s="451"/>
      <c r="O11" s="451"/>
      <c r="P11" s="451"/>
      <c r="Q11" s="451"/>
      <c r="R11" s="451"/>
      <c r="S11" s="451"/>
      <c r="T11" s="451"/>
      <c r="U11" s="452"/>
      <c r="W11" s="450"/>
      <c r="X11" s="451"/>
      <c r="Y11" s="451"/>
      <c r="Z11" s="451"/>
      <c r="AA11" s="451"/>
      <c r="AB11" s="451"/>
      <c r="AC11" s="451"/>
      <c r="AD11" s="451"/>
      <c r="AE11" s="451"/>
      <c r="AF11" s="452"/>
    </row>
    <row r="12" spans="1:32" x14ac:dyDescent="0.25">
      <c r="A12" s="450"/>
      <c r="B12" s="451"/>
      <c r="C12" s="451"/>
      <c r="D12" s="451"/>
      <c r="E12" s="451"/>
      <c r="F12" s="451"/>
      <c r="G12" s="451"/>
      <c r="H12" s="451"/>
      <c r="I12" s="451"/>
      <c r="J12" s="452"/>
      <c r="L12" s="450"/>
      <c r="M12" s="451"/>
      <c r="N12" s="451"/>
      <c r="O12" s="451"/>
      <c r="P12" s="451"/>
      <c r="Q12" s="451"/>
      <c r="R12" s="451"/>
      <c r="S12" s="451"/>
      <c r="T12" s="451"/>
      <c r="U12" s="452"/>
      <c r="W12" s="450"/>
      <c r="X12" s="451"/>
      <c r="Y12" s="451"/>
      <c r="Z12" s="451"/>
      <c r="AA12" s="451"/>
      <c r="AB12" s="451"/>
      <c r="AC12" s="451"/>
      <c r="AD12" s="451"/>
      <c r="AE12" s="451"/>
      <c r="AF12" s="452"/>
    </row>
    <row r="13" spans="1:32" x14ac:dyDescent="0.25">
      <c r="A13" s="450"/>
      <c r="B13" s="451"/>
      <c r="C13" s="451"/>
      <c r="D13" s="451"/>
      <c r="E13" s="451"/>
      <c r="F13" s="451"/>
      <c r="G13" s="451"/>
      <c r="H13" s="451"/>
      <c r="I13" s="451"/>
      <c r="J13" s="452"/>
      <c r="L13" s="450"/>
      <c r="M13" s="451"/>
      <c r="N13" s="451"/>
      <c r="O13" s="451"/>
      <c r="P13" s="451"/>
      <c r="Q13" s="451"/>
      <c r="R13" s="451"/>
      <c r="S13" s="451"/>
      <c r="T13" s="451"/>
      <c r="U13" s="452"/>
      <c r="W13" s="450"/>
      <c r="X13" s="451"/>
      <c r="Y13" s="451"/>
      <c r="Z13" s="451"/>
      <c r="AA13" s="451"/>
      <c r="AB13" s="451"/>
      <c r="AC13" s="451"/>
      <c r="AD13" s="451"/>
      <c r="AE13" s="451"/>
      <c r="AF13" s="452"/>
    </row>
    <row r="14" spans="1:32" x14ac:dyDescent="0.25">
      <c r="A14" s="450"/>
      <c r="B14" s="451"/>
      <c r="C14" s="451"/>
      <c r="D14" s="451"/>
      <c r="E14" s="451"/>
      <c r="F14" s="451"/>
      <c r="G14" s="451"/>
      <c r="H14" s="451"/>
      <c r="I14" s="451"/>
      <c r="J14" s="452"/>
      <c r="L14" s="450"/>
      <c r="M14" s="451"/>
      <c r="N14" s="451"/>
      <c r="O14" s="451"/>
      <c r="P14" s="451"/>
      <c r="Q14" s="451"/>
      <c r="R14" s="451"/>
      <c r="S14" s="451"/>
      <c r="T14" s="451"/>
      <c r="U14" s="452"/>
      <c r="W14" s="450"/>
      <c r="X14" s="451"/>
      <c r="Y14" s="451"/>
      <c r="Z14" s="451"/>
      <c r="AA14" s="451"/>
      <c r="AB14" s="451"/>
      <c r="AC14" s="451"/>
      <c r="AD14" s="451"/>
      <c r="AE14" s="451"/>
      <c r="AF14" s="452"/>
    </row>
    <row r="15" spans="1:32" x14ac:dyDescent="0.25">
      <c r="A15" s="450"/>
      <c r="B15" s="451"/>
      <c r="C15" s="451"/>
      <c r="D15" s="451"/>
      <c r="E15" s="451"/>
      <c r="F15" s="451"/>
      <c r="G15" s="451"/>
      <c r="H15" s="451"/>
      <c r="I15" s="451"/>
      <c r="J15" s="452"/>
      <c r="L15" s="450"/>
      <c r="M15" s="451"/>
      <c r="N15" s="451"/>
      <c r="O15" s="451"/>
      <c r="P15" s="451"/>
      <c r="Q15" s="451"/>
      <c r="R15" s="451"/>
      <c r="S15" s="451"/>
      <c r="T15" s="451"/>
      <c r="U15" s="452"/>
      <c r="W15" s="450"/>
      <c r="X15" s="451"/>
      <c r="Y15" s="451"/>
      <c r="Z15" s="451"/>
      <c r="AA15" s="451"/>
      <c r="AB15" s="451"/>
      <c r="AC15" s="451"/>
      <c r="AD15" s="451"/>
      <c r="AE15" s="451"/>
      <c r="AF15" s="452"/>
    </row>
    <row r="16" spans="1:32" x14ac:dyDescent="0.25">
      <c r="A16" s="450"/>
      <c r="B16" s="451"/>
      <c r="C16" s="451"/>
      <c r="D16" s="451"/>
      <c r="E16" s="451"/>
      <c r="F16" s="451"/>
      <c r="G16" s="451"/>
      <c r="H16" s="451"/>
      <c r="I16" s="451"/>
      <c r="J16" s="452"/>
      <c r="L16" s="450"/>
      <c r="M16" s="451"/>
      <c r="N16" s="451"/>
      <c r="O16" s="451"/>
      <c r="P16" s="451"/>
      <c r="Q16" s="451"/>
      <c r="R16" s="451"/>
      <c r="S16" s="451"/>
      <c r="T16" s="451"/>
      <c r="U16" s="452"/>
      <c r="W16" s="450"/>
      <c r="X16" s="451"/>
      <c r="Y16" s="451"/>
      <c r="Z16" s="451"/>
      <c r="AA16" s="451"/>
      <c r="AB16" s="451"/>
      <c r="AC16" s="451"/>
      <c r="AD16" s="451"/>
      <c r="AE16" s="451"/>
      <c r="AF16" s="452"/>
    </row>
    <row r="17" spans="1:32" x14ac:dyDescent="0.25">
      <c r="A17" s="450"/>
      <c r="B17" s="451"/>
      <c r="C17" s="451"/>
      <c r="D17" s="451"/>
      <c r="E17" s="451"/>
      <c r="F17" s="451"/>
      <c r="G17" s="451"/>
      <c r="H17" s="451"/>
      <c r="I17" s="451"/>
      <c r="J17" s="452"/>
      <c r="L17" s="450"/>
      <c r="M17" s="451"/>
      <c r="N17" s="451"/>
      <c r="O17" s="451"/>
      <c r="P17" s="451"/>
      <c r="Q17" s="451"/>
      <c r="R17" s="451"/>
      <c r="S17" s="451"/>
      <c r="T17" s="451"/>
      <c r="U17" s="452"/>
      <c r="W17" s="450"/>
      <c r="X17" s="451"/>
      <c r="Y17" s="451"/>
      <c r="Z17" s="451"/>
      <c r="AA17" s="451"/>
      <c r="AB17" s="451"/>
      <c r="AC17" s="451"/>
      <c r="AD17" s="451"/>
      <c r="AE17" s="451"/>
      <c r="AF17" s="452"/>
    </row>
    <row r="18" spans="1:32" x14ac:dyDescent="0.25">
      <c r="A18" s="450"/>
      <c r="B18" s="451"/>
      <c r="C18" s="451"/>
      <c r="D18" s="451"/>
      <c r="E18" s="451"/>
      <c r="F18" s="451"/>
      <c r="G18" s="451"/>
      <c r="H18" s="451"/>
      <c r="I18" s="451"/>
      <c r="J18" s="452"/>
      <c r="L18" s="450"/>
      <c r="M18" s="451"/>
      <c r="N18" s="451"/>
      <c r="O18" s="451"/>
      <c r="P18" s="451"/>
      <c r="Q18" s="451"/>
      <c r="R18" s="451"/>
      <c r="S18" s="451"/>
      <c r="T18" s="451"/>
      <c r="U18" s="452"/>
      <c r="W18" s="450"/>
      <c r="X18" s="451"/>
      <c r="Y18" s="451"/>
      <c r="Z18" s="451"/>
      <c r="AA18" s="451"/>
      <c r="AB18" s="451"/>
      <c r="AC18" s="451"/>
      <c r="AD18" s="451"/>
      <c r="AE18" s="451"/>
      <c r="AF18" s="452"/>
    </row>
    <row r="19" spans="1:32" x14ac:dyDescent="0.25">
      <c r="A19" s="450"/>
      <c r="B19" s="451"/>
      <c r="C19" s="451"/>
      <c r="D19" s="451"/>
      <c r="E19" s="451"/>
      <c r="F19" s="451"/>
      <c r="G19" s="451"/>
      <c r="H19" s="451"/>
      <c r="I19" s="451"/>
      <c r="J19" s="452"/>
      <c r="L19" s="450"/>
      <c r="M19" s="451"/>
      <c r="N19" s="451"/>
      <c r="O19" s="451"/>
      <c r="P19" s="451"/>
      <c r="Q19" s="451"/>
      <c r="R19" s="451"/>
      <c r="S19" s="451"/>
      <c r="T19" s="451"/>
      <c r="U19" s="452"/>
      <c r="W19" s="450"/>
      <c r="X19" s="451"/>
      <c r="Y19" s="451"/>
      <c r="Z19" s="451"/>
      <c r="AA19" s="451"/>
      <c r="AB19" s="451"/>
      <c r="AC19" s="451"/>
      <c r="AD19" s="451"/>
      <c r="AE19" s="451"/>
      <c r="AF19" s="452"/>
    </row>
    <row r="20" spans="1:32" x14ac:dyDescent="0.25">
      <c r="A20" s="450"/>
      <c r="B20" s="451"/>
      <c r="C20" s="451"/>
      <c r="D20" s="451"/>
      <c r="E20" s="451"/>
      <c r="F20" s="451"/>
      <c r="G20" s="451"/>
      <c r="H20" s="451"/>
      <c r="I20" s="451"/>
      <c r="J20" s="452"/>
      <c r="L20" s="450"/>
      <c r="M20" s="451"/>
      <c r="N20" s="451"/>
      <c r="O20" s="451"/>
      <c r="P20" s="451"/>
      <c r="Q20" s="451"/>
      <c r="R20" s="451"/>
      <c r="S20" s="451"/>
      <c r="T20" s="451"/>
      <c r="U20" s="452"/>
      <c r="W20" s="450"/>
      <c r="X20" s="451"/>
      <c r="Y20" s="451"/>
      <c r="Z20" s="451"/>
      <c r="AA20" s="451"/>
      <c r="AB20" s="451"/>
      <c r="AC20" s="451"/>
      <c r="AD20" s="451"/>
      <c r="AE20" s="451"/>
      <c r="AF20" s="452"/>
    </row>
    <row r="21" spans="1:32" x14ac:dyDescent="0.25">
      <c r="A21" s="450"/>
      <c r="B21" s="451"/>
      <c r="C21" s="451"/>
      <c r="D21" s="451"/>
      <c r="E21" s="451"/>
      <c r="F21" s="451"/>
      <c r="G21" s="451"/>
      <c r="H21" s="451"/>
      <c r="I21" s="451"/>
      <c r="J21" s="452"/>
      <c r="L21" s="450"/>
      <c r="M21" s="451"/>
      <c r="N21" s="451"/>
      <c r="O21" s="451"/>
      <c r="P21" s="451"/>
      <c r="Q21" s="451"/>
      <c r="R21" s="451"/>
      <c r="S21" s="451"/>
      <c r="T21" s="451"/>
      <c r="U21" s="452"/>
      <c r="W21" s="450"/>
      <c r="X21" s="451"/>
      <c r="Y21" s="451"/>
      <c r="Z21" s="451"/>
      <c r="AA21" s="451"/>
      <c r="AB21" s="451"/>
      <c r="AC21" s="451"/>
      <c r="AD21" s="451"/>
      <c r="AE21" s="451"/>
      <c r="AF21" s="452"/>
    </row>
    <row r="22" spans="1:32" x14ac:dyDescent="0.25">
      <c r="A22" s="450"/>
      <c r="B22" s="451"/>
      <c r="C22" s="451"/>
      <c r="D22" s="451"/>
      <c r="E22" s="451"/>
      <c r="F22" s="451"/>
      <c r="G22" s="451"/>
      <c r="H22" s="451"/>
      <c r="I22" s="451"/>
      <c r="J22" s="452"/>
      <c r="L22" s="450"/>
      <c r="M22" s="451"/>
      <c r="N22" s="451"/>
      <c r="O22" s="451"/>
      <c r="P22" s="451"/>
      <c r="Q22" s="451"/>
      <c r="R22" s="451"/>
      <c r="S22" s="451"/>
      <c r="T22" s="451"/>
      <c r="U22" s="452"/>
      <c r="W22" s="450"/>
      <c r="X22" s="451"/>
      <c r="Y22" s="451"/>
      <c r="Z22" s="451"/>
      <c r="AA22" s="451"/>
      <c r="AB22" s="451"/>
      <c r="AC22" s="451"/>
      <c r="AD22" s="451"/>
      <c r="AE22" s="451"/>
      <c r="AF22" s="452"/>
    </row>
    <row r="23" spans="1:32" x14ac:dyDescent="0.25">
      <c r="A23" s="450"/>
      <c r="B23" s="451"/>
      <c r="C23" s="451"/>
      <c r="D23" s="451"/>
      <c r="E23" s="451"/>
      <c r="F23" s="451"/>
      <c r="G23" s="451"/>
      <c r="H23" s="451"/>
      <c r="I23" s="451"/>
      <c r="J23" s="452"/>
      <c r="L23" s="450"/>
      <c r="M23" s="451"/>
      <c r="N23" s="451"/>
      <c r="O23" s="451"/>
      <c r="P23" s="451"/>
      <c r="Q23" s="451"/>
      <c r="R23" s="451"/>
      <c r="S23" s="451"/>
      <c r="T23" s="451"/>
      <c r="U23" s="452"/>
      <c r="W23" s="450"/>
      <c r="X23" s="451"/>
      <c r="Y23" s="451"/>
      <c r="Z23" s="451"/>
      <c r="AA23" s="451"/>
      <c r="AB23" s="451"/>
      <c r="AC23" s="451"/>
      <c r="AD23" s="451"/>
      <c r="AE23" s="451"/>
      <c r="AF23" s="452"/>
    </row>
    <row r="24" spans="1:32" x14ac:dyDescent="0.25">
      <c r="A24" s="450"/>
      <c r="B24" s="451"/>
      <c r="C24" s="451"/>
      <c r="D24" s="451"/>
      <c r="E24" s="451"/>
      <c r="F24" s="451"/>
      <c r="G24" s="451"/>
      <c r="H24" s="451"/>
      <c r="I24" s="451"/>
      <c r="J24" s="452"/>
      <c r="L24" s="450"/>
      <c r="M24" s="451"/>
      <c r="N24" s="451"/>
      <c r="O24" s="451"/>
      <c r="P24" s="451"/>
      <c r="Q24" s="451"/>
      <c r="R24" s="451"/>
      <c r="S24" s="451"/>
      <c r="T24" s="451"/>
      <c r="U24" s="452"/>
      <c r="W24" s="450"/>
      <c r="X24" s="451"/>
      <c r="Y24" s="451"/>
      <c r="Z24" s="451"/>
      <c r="AA24" s="451"/>
      <c r="AB24" s="451"/>
      <c r="AC24" s="451"/>
      <c r="AD24" s="451"/>
      <c r="AE24" s="451"/>
      <c r="AF24" s="452"/>
    </row>
    <row r="25" spans="1:32" x14ac:dyDescent="0.25">
      <c r="A25" s="450"/>
      <c r="B25" s="451"/>
      <c r="C25" s="451"/>
      <c r="D25" s="451"/>
      <c r="E25" s="451"/>
      <c r="F25" s="451"/>
      <c r="G25" s="451"/>
      <c r="H25" s="451"/>
      <c r="I25" s="451"/>
      <c r="J25" s="452"/>
      <c r="L25" s="450"/>
      <c r="M25" s="451"/>
      <c r="N25" s="451"/>
      <c r="O25" s="451"/>
      <c r="P25" s="451"/>
      <c r="Q25" s="451"/>
      <c r="R25" s="451"/>
      <c r="S25" s="451"/>
      <c r="T25" s="451"/>
      <c r="U25" s="452"/>
      <c r="W25" s="450"/>
      <c r="X25" s="451"/>
      <c r="Y25" s="451"/>
      <c r="Z25" s="451"/>
      <c r="AA25" s="451"/>
      <c r="AB25" s="451"/>
      <c r="AC25" s="451"/>
      <c r="AD25" s="451"/>
      <c r="AE25" s="451"/>
      <c r="AF25" s="452"/>
    </row>
    <row r="26" spans="1:32" x14ac:dyDescent="0.25">
      <c r="A26" s="450"/>
      <c r="B26" s="451"/>
      <c r="C26" s="451"/>
      <c r="D26" s="451"/>
      <c r="E26" s="451"/>
      <c r="F26" s="451"/>
      <c r="G26" s="451"/>
      <c r="H26" s="451"/>
      <c r="I26" s="451"/>
      <c r="J26" s="452"/>
      <c r="L26" s="450"/>
      <c r="M26" s="451"/>
      <c r="N26" s="451"/>
      <c r="O26" s="451"/>
      <c r="P26" s="451"/>
      <c r="Q26" s="451"/>
      <c r="R26" s="451"/>
      <c r="S26" s="451"/>
      <c r="T26" s="451"/>
      <c r="U26" s="452"/>
      <c r="W26" s="450"/>
      <c r="X26" s="451"/>
      <c r="Y26" s="451"/>
      <c r="Z26" s="451"/>
      <c r="AA26" s="451"/>
      <c r="AB26" s="451"/>
      <c r="AC26" s="451"/>
      <c r="AD26" s="451"/>
      <c r="AE26" s="451"/>
      <c r="AF26" s="452"/>
    </row>
    <row r="27" spans="1:32" ht="15.75" thickBot="1" x14ac:dyDescent="0.3">
      <c r="A27" s="453"/>
      <c r="B27" s="454"/>
      <c r="C27" s="454"/>
      <c r="D27" s="454"/>
      <c r="E27" s="454"/>
      <c r="F27" s="454"/>
      <c r="G27" s="454"/>
      <c r="H27" s="454"/>
      <c r="I27" s="454"/>
      <c r="J27" s="455"/>
      <c r="L27" s="453"/>
      <c r="M27" s="454"/>
      <c r="N27" s="454"/>
      <c r="O27" s="454"/>
      <c r="P27" s="454"/>
      <c r="Q27" s="454"/>
      <c r="R27" s="454"/>
      <c r="S27" s="454"/>
      <c r="T27" s="454"/>
      <c r="U27" s="455"/>
      <c r="W27" s="453"/>
      <c r="X27" s="454"/>
      <c r="Y27" s="454"/>
      <c r="Z27" s="454"/>
      <c r="AA27" s="454"/>
      <c r="AB27" s="454"/>
      <c r="AC27" s="454"/>
      <c r="AD27" s="454"/>
      <c r="AE27" s="454"/>
      <c r="AF27" s="455"/>
    </row>
    <row r="28" spans="1:32" ht="16.5" thickBot="1" x14ac:dyDescent="0.3">
      <c r="A28" s="94"/>
      <c r="B28" s="94"/>
      <c r="C28" s="94"/>
      <c r="D28" s="94"/>
      <c r="E28" s="94"/>
      <c r="F28" s="94"/>
      <c r="G28" s="94"/>
      <c r="H28" s="94"/>
      <c r="I28" s="94"/>
      <c r="J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</row>
    <row r="29" spans="1:32" ht="19.5" thickBot="1" x14ac:dyDescent="0.35">
      <c r="A29" s="94"/>
      <c r="B29" s="94"/>
      <c r="C29" s="94"/>
      <c r="D29" s="511" t="s">
        <v>647</v>
      </c>
      <c r="E29" s="512"/>
      <c r="F29" s="513"/>
      <c r="G29" s="94"/>
      <c r="H29" s="94"/>
      <c r="I29" s="94"/>
      <c r="J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</row>
    <row r="30" spans="1:32" ht="15.75" thickBot="1" x14ac:dyDescent="0.3"/>
    <row r="31" spans="1:32" x14ac:dyDescent="0.25">
      <c r="A31" s="447"/>
      <c r="B31" s="448"/>
      <c r="C31" s="448"/>
      <c r="D31" s="448"/>
      <c r="E31" s="448"/>
      <c r="F31" s="448"/>
      <c r="G31" s="448"/>
      <c r="H31" s="448"/>
      <c r="I31" s="448"/>
      <c r="J31" s="449"/>
      <c r="L31" s="447"/>
      <c r="M31" s="448"/>
      <c r="N31" s="448"/>
      <c r="O31" s="448"/>
      <c r="P31" s="448"/>
      <c r="Q31" s="448"/>
      <c r="R31" s="448"/>
      <c r="S31" s="448"/>
      <c r="T31" s="448"/>
      <c r="U31" s="449"/>
      <c r="W31" s="447"/>
      <c r="X31" s="448"/>
      <c r="Y31" s="448"/>
      <c r="Z31" s="448"/>
      <c r="AA31" s="448"/>
      <c r="AB31" s="448"/>
      <c r="AC31" s="448"/>
      <c r="AD31" s="448"/>
      <c r="AE31" s="448"/>
      <c r="AF31" s="449"/>
    </row>
    <row r="32" spans="1:32" x14ac:dyDescent="0.25">
      <c r="A32" s="450"/>
      <c r="B32" s="451"/>
      <c r="C32" s="451"/>
      <c r="D32" s="451"/>
      <c r="E32" s="451"/>
      <c r="F32" s="451"/>
      <c r="G32" s="451"/>
      <c r="H32" s="451"/>
      <c r="I32" s="451"/>
      <c r="J32" s="452"/>
      <c r="L32" s="450"/>
      <c r="M32" s="451"/>
      <c r="N32" s="451"/>
      <c r="O32" s="451"/>
      <c r="P32" s="451"/>
      <c r="Q32" s="451"/>
      <c r="R32" s="451"/>
      <c r="S32" s="451"/>
      <c r="T32" s="451"/>
      <c r="U32" s="452"/>
      <c r="W32" s="450"/>
      <c r="X32" s="451"/>
      <c r="Y32" s="451"/>
      <c r="Z32" s="451"/>
      <c r="AA32" s="451"/>
      <c r="AB32" s="451"/>
      <c r="AC32" s="451"/>
      <c r="AD32" s="451"/>
      <c r="AE32" s="451"/>
      <c r="AF32" s="452"/>
    </row>
    <row r="33" spans="1:32" x14ac:dyDescent="0.25">
      <c r="A33" s="450"/>
      <c r="B33" s="451"/>
      <c r="C33" s="451"/>
      <c r="D33" s="451"/>
      <c r="E33" s="451"/>
      <c r="F33" s="451"/>
      <c r="G33" s="451"/>
      <c r="H33" s="451"/>
      <c r="I33" s="451"/>
      <c r="J33" s="452"/>
      <c r="L33" s="450"/>
      <c r="M33" s="451"/>
      <c r="N33" s="451"/>
      <c r="O33" s="451"/>
      <c r="P33" s="451"/>
      <c r="Q33" s="451"/>
      <c r="R33" s="451"/>
      <c r="S33" s="451"/>
      <c r="T33" s="451"/>
      <c r="U33" s="452"/>
      <c r="W33" s="450"/>
      <c r="X33" s="451"/>
      <c r="Y33" s="451"/>
      <c r="Z33" s="451"/>
      <c r="AA33" s="451"/>
      <c r="AB33" s="451"/>
      <c r="AC33" s="451"/>
      <c r="AD33" s="451"/>
      <c r="AE33" s="451"/>
      <c r="AF33" s="452"/>
    </row>
    <row r="34" spans="1:32" x14ac:dyDescent="0.25">
      <c r="A34" s="450"/>
      <c r="B34" s="451"/>
      <c r="C34" s="451"/>
      <c r="D34" s="451"/>
      <c r="E34" s="451"/>
      <c r="F34" s="451"/>
      <c r="G34" s="451"/>
      <c r="H34" s="451"/>
      <c r="I34" s="451"/>
      <c r="J34" s="452"/>
      <c r="L34" s="450"/>
      <c r="M34" s="451"/>
      <c r="N34" s="451"/>
      <c r="O34" s="451"/>
      <c r="P34" s="451"/>
      <c r="Q34" s="451"/>
      <c r="R34" s="451"/>
      <c r="S34" s="451"/>
      <c r="T34" s="451"/>
      <c r="U34" s="452"/>
      <c r="W34" s="450"/>
      <c r="X34" s="451"/>
      <c r="Y34" s="451"/>
      <c r="Z34" s="451"/>
      <c r="AA34" s="451"/>
      <c r="AB34" s="451"/>
      <c r="AC34" s="451"/>
      <c r="AD34" s="451"/>
      <c r="AE34" s="451"/>
      <c r="AF34" s="452"/>
    </row>
    <row r="35" spans="1:32" x14ac:dyDescent="0.25">
      <c r="A35" s="450"/>
      <c r="B35" s="451"/>
      <c r="C35" s="451"/>
      <c r="D35" s="451"/>
      <c r="E35" s="451"/>
      <c r="F35" s="451"/>
      <c r="G35" s="451"/>
      <c r="H35" s="451"/>
      <c r="I35" s="451"/>
      <c r="J35" s="452"/>
      <c r="L35" s="450"/>
      <c r="M35" s="451"/>
      <c r="N35" s="451"/>
      <c r="O35" s="451"/>
      <c r="P35" s="451"/>
      <c r="Q35" s="451"/>
      <c r="R35" s="451"/>
      <c r="S35" s="451"/>
      <c r="T35" s="451"/>
      <c r="U35" s="452"/>
      <c r="W35" s="450"/>
      <c r="X35" s="451"/>
      <c r="Y35" s="451"/>
      <c r="Z35" s="451"/>
      <c r="AA35" s="451"/>
      <c r="AB35" s="451"/>
      <c r="AC35" s="451"/>
      <c r="AD35" s="451"/>
      <c r="AE35" s="451"/>
      <c r="AF35" s="452"/>
    </row>
    <row r="36" spans="1:32" x14ac:dyDescent="0.25">
      <c r="A36" s="450"/>
      <c r="B36" s="451"/>
      <c r="C36" s="451"/>
      <c r="D36" s="451"/>
      <c r="E36" s="451"/>
      <c r="F36" s="451"/>
      <c r="G36" s="451"/>
      <c r="H36" s="451"/>
      <c r="I36" s="451"/>
      <c r="J36" s="452"/>
      <c r="L36" s="450"/>
      <c r="M36" s="451"/>
      <c r="N36" s="451"/>
      <c r="O36" s="451"/>
      <c r="P36" s="451"/>
      <c r="Q36" s="451"/>
      <c r="R36" s="451"/>
      <c r="S36" s="451"/>
      <c r="T36" s="451"/>
      <c r="U36" s="452"/>
      <c r="W36" s="450"/>
      <c r="X36" s="451"/>
      <c r="Y36" s="451"/>
      <c r="Z36" s="451"/>
      <c r="AA36" s="451"/>
      <c r="AB36" s="451"/>
      <c r="AC36" s="451"/>
      <c r="AD36" s="451"/>
      <c r="AE36" s="451"/>
      <c r="AF36" s="452"/>
    </row>
    <row r="37" spans="1:32" x14ac:dyDescent="0.25">
      <c r="A37" s="450"/>
      <c r="B37" s="451"/>
      <c r="C37" s="451"/>
      <c r="D37" s="451"/>
      <c r="E37" s="451"/>
      <c r="F37" s="451"/>
      <c r="G37" s="451"/>
      <c r="H37" s="451"/>
      <c r="I37" s="451"/>
      <c r="J37" s="452"/>
      <c r="L37" s="450"/>
      <c r="M37" s="451"/>
      <c r="N37" s="451"/>
      <c r="O37" s="451"/>
      <c r="P37" s="451"/>
      <c r="Q37" s="451"/>
      <c r="R37" s="451"/>
      <c r="S37" s="451"/>
      <c r="T37" s="451"/>
      <c r="U37" s="452"/>
      <c r="W37" s="450"/>
      <c r="X37" s="451"/>
      <c r="Y37" s="451"/>
      <c r="Z37" s="451"/>
      <c r="AA37" s="451"/>
      <c r="AB37" s="451"/>
      <c r="AC37" s="451"/>
      <c r="AD37" s="451"/>
      <c r="AE37" s="451"/>
      <c r="AF37" s="452"/>
    </row>
    <row r="38" spans="1:32" x14ac:dyDescent="0.25">
      <c r="A38" s="450"/>
      <c r="B38" s="451"/>
      <c r="C38" s="451"/>
      <c r="D38" s="451"/>
      <c r="E38" s="451"/>
      <c r="F38" s="451"/>
      <c r="G38" s="451"/>
      <c r="H38" s="451"/>
      <c r="I38" s="451"/>
      <c r="J38" s="452"/>
      <c r="L38" s="450"/>
      <c r="M38" s="451"/>
      <c r="N38" s="451"/>
      <c r="O38" s="451"/>
      <c r="P38" s="451"/>
      <c r="Q38" s="451"/>
      <c r="R38" s="451"/>
      <c r="S38" s="451"/>
      <c r="T38" s="451"/>
      <c r="U38" s="452"/>
      <c r="W38" s="450"/>
      <c r="X38" s="451"/>
      <c r="Y38" s="451"/>
      <c r="Z38" s="451"/>
      <c r="AA38" s="451"/>
      <c r="AB38" s="451"/>
      <c r="AC38" s="451"/>
      <c r="AD38" s="451"/>
      <c r="AE38" s="451"/>
      <c r="AF38" s="452"/>
    </row>
    <row r="39" spans="1:32" x14ac:dyDescent="0.25">
      <c r="A39" s="450"/>
      <c r="B39" s="451"/>
      <c r="C39" s="451"/>
      <c r="D39" s="451"/>
      <c r="E39" s="451"/>
      <c r="F39" s="451"/>
      <c r="G39" s="451"/>
      <c r="H39" s="451"/>
      <c r="I39" s="451"/>
      <c r="J39" s="452"/>
      <c r="L39" s="450"/>
      <c r="M39" s="451"/>
      <c r="N39" s="451"/>
      <c r="O39" s="451"/>
      <c r="P39" s="451"/>
      <c r="Q39" s="451"/>
      <c r="R39" s="451"/>
      <c r="S39" s="451"/>
      <c r="T39" s="451"/>
      <c r="U39" s="452"/>
      <c r="W39" s="450"/>
      <c r="X39" s="451"/>
      <c r="Y39" s="451"/>
      <c r="Z39" s="451"/>
      <c r="AA39" s="451"/>
      <c r="AB39" s="451"/>
      <c r="AC39" s="451"/>
      <c r="AD39" s="451"/>
      <c r="AE39" s="451"/>
      <c r="AF39" s="452"/>
    </row>
    <row r="40" spans="1:32" x14ac:dyDescent="0.25">
      <c r="A40" s="450"/>
      <c r="B40" s="451"/>
      <c r="C40" s="451"/>
      <c r="D40" s="451"/>
      <c r="E40" s="451"/>
      <c r="F40" s="451"/>
      <c r="G40" s="451"/>
      <c r="H40" s="451"/>
      <c r="I40" s="451"/>
      <c r="J40" s="452"/>
      <c r="L40" s="450"/>
      <c r="M40" s="451"/>
      <c r="N40" s="451"/>
      <c r="O40" s="451"/>
      <c r="P40" s="451"/>
      <c r="Q40" s="451"/>
      <c r="R40" s="451"/>
      <c r="S40" s="451"/>
      <c r="T40" s="451"/>
      <c r="U40" s="452"/>
      <c r="W40" s="450"/>
      <c r="X40" s="451"/>
      <c r="Y40" s="451"/>
      <c r="Z40" s="451"/>
      <c r="AA40" s="451"/>
      <c r="AB40" s="451"/>
      <c r="AC40" s="451"/>
      <c r="AD40" s="451"/>
      <c r="AE40" s="451"/>
      <c r="AF40" s="452"/>
    </row>
    <row r="41" spans="1:32" x14ac:dyDescent="0.25">
      <c r="A41" s="450"/>
      <c r="B41" s="451"/>
      <c r="C41" s="451"/>
      <c r="D41" s="451"/>
      <c r="E41" s="451"/>
      <c r="F41" s="451"/>
      <c r="G41" s="451"/>
      <c r="H41" s="451"/>
      <c r="I41" s="451"/>
      <c r="J41" s="452"/>
      <c r="L41" s="450"/>
      <c r="M41" s="451"/>
      <c r="N41" s="451"/>
      <c r="O41" s="451"/>
      <c r="P41" s="451"/>
      <c r="Q41" s="451"/>
      <c r="R41" s="451"/>
      <c r="S41" s="451"/>
      <c r="T41" s="451"/>
      <c r="U41" s="452"/>
      <c r="W41" s="450"/>
      <c r="X41" s="451"/>
      <c r="Y41" s="451"/>
      <c r="Z41" s="451"/>
      <c r="AA41" s="451"/>
      <c r="AB41" s="451"/>
      <c r="AC41" s="451"/>
      <c r="AD41" s="451"/>
      <c r="AE41" s="451"/>
      <c r="AF41" s="452"/>
    </row>
    <row r="42" spans="1:32" x14ac:dyDescent="0.25">
      <c r="A42" s="450"/>
      <c r="B42" s="451"/>
      <c r="C42" s="451"/>
      <c r="D42" s="451"/>
      <c r="E42" s="451"/>
      <c r="F42" s="451"/>
      <c r="G42" s="451"/>
      <c r="H42" s="451"/>
      <c r="I42" s="451"/>
      <c r="J42" s="452"/>
      <c r="L42" s="450"/>
      <c r="M42" s="451"/>
      <c r="N42" s="451"/>
      <c r="O42" s="451"/>
      <c r="P42" s="451"/>
      <c r="Q42" s="451"/>
      <c r="R42" s="451"/>
      <c r="S42" s="451"/>
      <c r="T42" s="451"/>
      <c r="U42" s="452"/>
      <c r="W42" s="450"/>
      <c r="X42" s="451"/>
      <c r="Y42" s="451"/>
      <c r="Z42" s="451"/>
      <c r="AA42" s="451"/>
      <c r="AB42" s="451"/>
      <c r="AC42" s="451"/>
      <c r="AD42" s="451"/>
      <c r="AE42" s="451"/>
      <c r="AF42" s="452"/>
    </row>
    <row r="43" spans="1:32" x14ac:dyDescent="0.25">
      <c r="A43" s="450"/>
      <c r="B43" s="451"/>
      <c r="C43" s="451"/>
      <c r="D43" s="451"/>
      <c r="E43" s="451"/>
      <c r="F43" s="451"/>
      <c r="G43" s="451"/>
      <c r="H43" s="451"/>
      <c r="I43" s="451"/>
      <c r="J43" s="452"/>
      <c r="L43" s="450"/>
      <c r="M43" s="451"/>
      <c r="N43" s="451"/>
      <c r="O43" s="451"/>
      <c r="P43" s="451"/>
      <c r="Q43" s="451"/>
      <c r="R43" s="451"/>
      <c r="S43" s="451"/>
      <c r="T43" s="451"/>
      <c r="U43" s="452"/>
      <c r="W43" s="450"/>
      <c r="X43" s="451"/>
      <c r="Y43" s="451"/>
      <c r="Z43" s="451"/>
      <c r="AA43" s="451"/>
      <c r="AB43" s="451"/>
      <c r="AC43" s="451"/>
      <c r="AD43" s="451"/>
      <c r="AE43" s="451"/>
      <c r="AF43" s="452"/>
    </row>
    <row r="44" spans="1:32" x14ac:dyDescent="0.25">
      <c r="A44" s="450"/>
      <c r="B44" s="451"/>
      <c r="C44" s="451"/>
      <c r="D44" s="451"/>
      <c r="E44" s="451"/>
      <c r="F44" s="451"/>
      <c r="G44" s="451"/>
      <c r="H44" s="451"/>
      <c r="I44" s="451"/>
      <c r="J44" s="452"/>
      <c r="L44" s="450"/>
      <c r="M44" s="451"/>
      <c r="N44" s="451"/>
      <c r="O44" s="451"/>
      <c r="P44" s="451"/>
      <c r="Q44" s="451"/>
      <c r="R44" s="451"/>
      <c r="S44" s="451"/>
      <c r="T44" s="451"/>
      <c r="U44" s="452"/>
      <c r="W44" s="450"/>
      <c r="X44" s="451"/>
      <c r="Y44" s="451"/>
      <c r="Z44" s="451"/>
      <c r="AA44" s="451"/>
      <c r="AB44" s="451"/>
      <c r="AC44" s="451"/>
      <c r="AD44" s="451"/>
      <c r="AE44" s="451"/>
      <c r="AF44" s="452"/>
    </row>
    <row r="45" spans="1:32" x14ac:dyDescent="0.25">
      <c r="A45" s="450"/>
      <c r="B45" s="451"/>
      <c r="C45" s="451"/>
      <c r="D45" s="451"/>
      <c r="E45" s="451"/>
      <c r="F45" s="451"/>
      <c r="G45" s="451"/>
      <c r="H45" s="451"/>
      <c r="I45" s="451"/>
      <c r="J45" s="452"/>
      <c r="L45" s="450"/>
      <c r="M45" s="451"/>
      <c r="N45" s="451"/>
      <c r="O45" s="451"/>
      <c r="P45" s="451"/>
      <c r="Q45" s="451"/>
      <c r="R45" s="451"/>
      <c r="S45" s="451"/>
      <c r="T45" s="451"/>
      <c r="U45" s="452"/>
      <c r="W45" s="450"/>
      <c r="X45" s="451"/>
      <c r="Y45" s="451"/>
      <c r="Z45" s="451"/>
      <c r="AA45" s="451"/>
      <c r="AB45" s="451"/>
      <c r="AC45" s="451"/>
      <c r="AD45" s="451"/>
      <c r="AE45" s="451"/>
      <c r="AF45" s="452"/>
    </row>
    <row r="46" spans="1:32" x14ac:dyDescent="0.25">
      <c r="A46" s="450"/>
      <c r="B46" s="451"/>
      <c r="C46" s="451"/>
      <c r="D46" s="451"/>
      <c r="E46" s="451"/>
      <c r="F46" s="451"/>
      <c r="G46" s="451"/>
      <c r="H46" s="451"/>
      <c r="I46" s="451"/>
      <c r="J46" s="452"/>
      <c r="L46" s="450"/>
      <c r="M46" s="451"/>
      <c r="N46" s="451"/>
      <c r="O46" s="451"/>
      <c r="P46" s="451"/>
      <c r="Q46" s="451"/>
      <c r="R46" s="451"/>
      <c r="S46" s="451"/>
      <c r="T46" s="451"/>
      <c r="U46" s="452"/>
      <c r="W46" s="450"/>
      <c r="X46" s="451"/>
      <c r="Y46" s="451"/>
      <c r="Z46" s="451"/>
      <c r="AA46" s="451"/>
      <c r="AB46" s="451"/>
      <c r="AC46" s="451"/>
      <c r="AD46" s="451"/>
      <c r="AE46" s="451"/>
      <c r="AF46" s="452"/>
    </row>
    <row r="47" spans="1:32" x14ac:dyDescent="0.25">
      <c r="A47" s="450"/>
      <c r="B47" s="451"/>
      <c r="C47" s="451"/>
      <c r="D47" s="451"/>
      <c r="E47" s="451"/>
      <c r="F47" s="451"/>
      <c r="G47" s="451"/>
      <c r="H47" s="451"/>
      <c r="I47" s="451"/>
      <c r="J47" s="452"/>
      <c r="L47" s="450"/>
      <c r="M47" s="451"/>
      <c r="N47" s="451"/>
      <c r="O47" s="451"/>
      <c r="P47" s="451"/>
      <c r="Q47" s="451"/>
      <c r="R47" s="451"/>
      <c r="S47" s="451"/>
      <c r="T47" s="451"/>
      <c r="U47" s="452"/>
      <c r="W47" s="450"/>
      <c r="X47" s="451"/>
      <c r="Y47" s="451"/>
      <c r="Z47" s="451"/>
      <c r="AA47" s="451"/>
      <c r="AB47" s="451"/>
      <c r="AC47" s="451"/>
      <c r="AD47" s="451"/>
      <c r="AE47" s="451"/>
      <c r="AF47" s="452"/>
    </row>
    <row r="48" spans="1:32" x14ac:dyDescent="0.25">
      <c r="A48" s="450"/>
      <c r="B48" s="451"/>
      <c r="C48" s="451"/>
      <c r="D48" s="451"/>
      <c r="E48" s="451"/>
      <c r="F48" s="451"/>
      <c r="G48" s="451"/>
      <c r="H48" s="451"/>
      <c r="I48" s="451"/>
      <c r="J48" s="452"/>
      <c r="L48" s="450"/>
      <c r="M48" s="451"/>
      <c r="N48" s="451"/>
      <c r="O48" s="451"/>
      <c r="P48" s="451"/>
      <c r="Q48" s="451"/>
      <c r="R48" s="451"/>
      <c r="S48" s="451"/>
      <c r="T48" s="451"/>
      <c r="U48" s="452"/>
      <c r="W48" s="450"/>
      <c r="X48" s="451"/>
      <c r="Y48" s="451"/>
      <c r="Z48" s="451"/>
      <c r="AA48" s="451"/>
      <c r="AB48" s="451"/>
      <c r="AC48" s="451"/>
      <c r="AD48" s="451"/>
      <c r="AE48" s="451"/>
      <c r="AF48" s="452"/>
    </row>
    <row r="49" spans="1:32" x14ac:dyDescent="0.25">
      <c r="A49" s="450"/>
      <c r="B49" s="451"/>
      <c r="C49" s="451"/>
      <c r="D49" s="451"/>
      <c r="E49" s="451"/>
      <c r="F49" s="451"/>
      <c r="G49" s="451"/>
      <c r="H49" s="451"/>
      <c r="I49" s="451"/>
      <c r="J49" s="452"/>
      <c r="L49" s="450"/>
      <c r="M49" s="451"/>
      <c r="N49" s="451"/>
      <c r="O49" s="451"/>
      <c r="P49" s="451"/>
      <c r="Q49" s="451"/>
      <c r="R49" s="451"/>
      <c r="S49" s="451"/>
      <c r="T49" s="451"/>
      <c r="U49" s="452"/>
      <c r="W49" s="450"/>
      <c r="X49" s="451"/>
      <c r="Y49" s="451"/>
      <c r="Z49" s="451"/>
      <c r="AA49" s="451"/>
      <c r="AB49" s="451"/>
      <c r="AC49" s="451"/>
      <c r="AD49" s="451"/>
      <c r="AE49" s="451"/>
      <c r="AF49" s="452"/>
    </row>
    <row r="50" spans="1:32" x14ac:dyDescent="0.25">
      <c r="A50" s="450"/>
      <c r="B50" s="451"/>
      <c r="C50" s="451"/>
      <c r="D50" s="451"/>
      <c r="E50" s="451"/>
      <c r="F50" s="451"/>
      <c r="G50" s="451"/>
      <c r="H50" s="451"/>
      <c r="I50" s="451"/>
      <c r="J50" s="452"/>
      <c r="L50" s="450"/>
      <c r="M50" s="451"/>
      <c r="N50" s="451"/>
      <c r="O50" s="451"/>
      <c r="P50" s="451"/>
      <c r="Q50" s="451"/>
      <c r="R50" s="451"/>
      <c r="S50" s="451"/>
      <c r="T50" s="451"/>
      <c r="U50" s="452"/>
      <c r="W50" s="450"/>
      <c r="X50" s="451"/>
      <c r="Y50" s="451"/>
      <c r="Z50" s="451"/>
      <c r="AA50" s="451"/>
      <c r="AB50" s="451"/>
      <c r="AC50" s="451"/>
      <c r="AD50" s="451"/>
      <c r="AE50" s="451"/>
      <c r="AF50" s="452"/>
    </row>
    <row r="51" spans="1:32" x14ac:dyDescent="0.25">
      <c r="A51" s="450"/>
      <c r="B51" s="451"/>
      <c r="C51" s="451"/>
      <c r="D51" s="451"/>
      <c r="E51" s="451"/>
      <c r="F51" s="451"/>
      <c r="G51" s="451"/>
      <c r="H51" s="451"/>
      <c r="I51" s="451"/>
      <c r="J51" s="452"/>
      <c r="L51" s="450"/>
      <c r="M51" s="451"/>
      <c r="N51" s="451"/>
      <c r="O51" s="451"/>
      <c r="P51" s="451"/>
      <c r="Q51" s="451"/>
      <c r="R51" s="451"/>
      <c r="S51" s="451"/>
      <c r="T51" s="451"/>
      <c r="U51" s="452"/>
      <c r="W51" s="450"/>
      <c r="X51" s="451"/>
      <c r="Y51" s="451"/>
      <c r="Z51" s="451"/>
      <c r="AA51" s="451"/>
      <c r="AB51" s="451"/>
      <c r="AC51" s="451"/>
      <c r="AD51" s="451"/>
      <c r="AE51" s="451"/>
      <c r="AF51" s="452"/>
    </row>
    <row r="52" spans="1:32" x14ac:dyDescent="0.25">
      <c r="A52" s="450"/>
      <c r="B52" s="451"/>
      <c r="C52" s="451"/>
      <c r="D52" s="451"/>
      <c r="E52" s="451"/>
      <c r="F52" s="451"/>
      <c r="G52" s="451"/>
      <c r="H52" s="451"/>
      <c r="I52" s="451"/>
      <c r="J52" s="452"/>
      <c r="L52" s="450"/>
      <c r="M52" s="451"/>
      <c r="N52" s="451"/>
      <c r="O52" s="451"/>
      <c r="P52" s="451"/>
      <c r="Q52" s="451"/>
      <c r="R52" s="451"/>
      <c r="S52" s="451"/>
      <c r="T52" s="451"/>
      <c r="U52" s="452"/>
      <c r="W52" s="450"/>
      <c r="X52" s="451"/>
      <c r="Y52" s="451"/>
      <c r="Z52" s="451"/>
      <c r="AA52" s="451"/>
      <c r="AB52" s="451"/>
      <c r="AC52" s="451"/>
      <c r="AD52" s="451"/>
      <c r="AE52" s="451"/>
      <c r="AF52" s="452"/>
    </row>
    <row r="53" spans="1:32" x14ac:dyDescent="0.25">
      <c r="A53" s="450"/>
      <c r="B53" s="451"/>
      <c r="C53" s="451"/>
      <c r="D53" s="451"/>
      <c r="E53" s="451"/>
      <c r="F53" s="451"/>
      <c r="G53" s="451"/>
      <c r="H53" s="451"/>
      <c r="I53" s="451"/>
      <c r="J53" s="452"/>
      <c r="L53" s="450"/>
      <c r="M53" s="451"/>
      <c r="N53" s="451"/>
      <c r="O53" s="451"/>
      <c r="P53" s="451"/>
      <c r="Q53" s="451"/>
      <c r="R53" s="451"/>
      <c r="S53" s="451"/>
      <c r="T53" s="451"/>
      <c r="U53" s="452"/>
      <c r="W53" s="450"/>
      <c r="X53" s="451"/>
      <c r="Y53" s="451"/>
      <c r="Z53" s="451"/>
      <c r="AA53" s="451"/>
      <c r="AB53" s="451"/>
      <c r="AC53" s="451"/>
      <c r="AD53" s="451"/>
      <c r="AE53" s="451"/>
      <c r="AF53" s="452"/>
    </row>
    <row r="54" spans="1:32" x14ac:dyDescent="0.25">
      <c r="A54" s="450"/>
      <c r="B54" s="451"/>
      <c r="C54" s="451"/>
      <c r="D54" s="451"/>
      <c r="E54" s="451"/>
      <c r="F54" s="451"/>
      <c r="G54" s="451"/>
      <c r="H54" s="451"/>
      <c r="I54" s="451"/>
      <c r="J54" s="452"/>
      <c r="L54" s="450"/>
      <c r="M54" s="451"/>
      <c r="N54" s="451"/>
      <c r="O54" s="451"/>
      <c r="P54" s="451"/>
      <c r="Q54" s="451"/>
      <c r="R54" s="451"/>
      <c r="S54" s="451"/>
      <c r="T54" s="451"/>
      <c r="U54" s="452"/>
      <c r="W54" s="450"/>
      <c r="X54" s="451"/>
      <c r="Y54" s="451"/>
      <c r="Z54" s="451"/>
      <c r="AA54" s="451"/>
      <c r="AB54" s="451"/>
      <c r="AC54" s="451"/>
      <c r="AD54" s="451"/>
      <c r="AE54" s="451"/>
      <c r="AF54" s="452"/>
    </row>
    <row r="55" spans="1:32" ht="15.75" thickBot="1" x14ac:dyDescent="0.3">
      <c r="A55" s="453"/>
      <c r="B55" s="454"/>
      <c r="C55" s="454"/>
      <c r="D55" s="454"/>
      <c r="E55" s="454"/>
      <c r="F55" s="454"/>
      <c r="G55" s="454"/>
      <c r="H55" s="454"/>
      <c r="I55" s="454"/>
      <c r="J55" s="455"/>
      <c r="L55" s="453"/>
      <c r="M55" s="454"/>
      <c r="N55" s="454"/>
      <c r="O55" s="454"/>
      <c r="P55" s="454"/>
      <c r="Q55" s="454"/>
      <c r="R55" s="454"/>
      <c r="S55" s="454"/>
      <c r="T55" s="454"/>
      <c r="U55" s="455"/>
      <c r="W55" s="453"/>
      <c r="X55" s="454"/>
      <c r="Y55" s="454"/>
      <c r="Z55" s="454"/>
      <c r="AA55" s="454"/>
      <c r="AB55" s="454"/>
      <c r="AC55" s="454"/>
      <c r="AD55" s="454"/>
      <c r="AE55" s="454"/>
      <c r="AF55" s="455"/>
    </row>
  </sheetData>
  <mergeCells count="10">
    <mergeCell ref="D29:F29"/>
    <mergeCell ref="A31:J55"/>
    <mergeCell ref="L31:U55"/>
    <mergeCell ref="W31:AF55"/>
    <mergeCell ref="D1:F1"/>
    <mergeCell ref="P1:R1"/>
    <mergeCell ref="Z1:AB1"/>
    <mergeCell ref="A3:J27"/>
    <mergeCell ref="L3:U27"/>
    <mergeCell ref="W3:AF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Y191"/>
  <sheetViews>
    <sheetView zoomScaleNormal="100" workbookViewId="0">
      <selection activeCell="B9" sqref="B9"/>
    </sheetView>
  </sheetViews>
  <sheetFormatPr defaultRowHeight="15" x14ac:dyDescent="0.25"/>
  <cols>
    <col min="1" max="1" width="30.7109375" customWidth="1"/>
    <col min="2" max="2" width="52.7109375" customWidth="1"/>
    <col min="3" max="7" width="2.7109375" customWidth="1"/>
    <col min="8" max="9" width="5.7109375" hidden="1" customWidth="1"/>
    <col min="10" max="14" width="2.7109375" customWidth="1"/>
    <col min="15" max="16" width="5.7109375" hidden="1" customWidth="1"/>
    <col min="17" max="21" width="2.7109375" customWidth="1"/>
    <col min="22" max="23" width="5.7109375" hidden="1" customWidth="1"/>
    <col min="24" max="28" width="2.7109375" customWidth="1"/>
    <col min="29" max="30" width="5.7109375" hidden="1" customWidth="1"/>
    <col min="31" max="35" width="2.7109375" customWidth="1"/>
    <col min="36" max="37" width="5.7109375" hidden="1" customWidth="1"/>
    <col min="38" max="42" width="2.7109375" customWidth="1"/>
    <col min="43" max="44" width="5.7109375" hidden="1" customWidth="1"/>
    <col min="45" max="49" width="2.7109375" customWidth="1"/>
    <col min="50" max="51" width="5.7109375" hidden="1" customWidth="1"/>
    <col min="52" max="56" width="2.7109375" customWidth="1"/>
    <col min="57" max="58" width="5.7109375" hidden="1" customWidth="1"/>
    <col min="59" max="63" width="2.7109375" customWidth="1"/>
    <col min="64" max="65" width="5.7109375" hidden="1" customWidth="1"/>
    <col min="66" max="70" width="2.7109375" customWidth="1"/>
    <col min="71" max="72" width="5.7109375" hidden="1" customWidth="1"/>
    <col min="73" max="77" width="2.7109375" customWidth="1"/>
    <col min="78" max="79" width="5.7109375" hidden="1" customWidth="1"/>
    <col min="80" max="84" width="2.7109375" customWidth="1"/>
    <col min="85" max="86" width="5.7109375" hidden="1" customWidth="1"/>
    <col min="87" max="91" width="2.7109375" customWidth="1"/>
    <col min="92" max="93" width="5.7109375" hidden="1" customWidth="1"/>
    <col min="94" max="98" width="2.7109375" customWidth="1"/>
    <col min="99" max="100" width="5.7109375" hidden="1" customWidth="1"/>
    <col min="101" max="105" width="2.7109375" customWidth="1"/>
    <col min="106" max="107" width="5.7109375" hidden="1" customWidth="1"/>
    <col min="108" max="112" width="2.7109375" customWidth="1"/>
    <col min="113" max="114" width="5.7109375" hidden="1" customWidth="1"/>
    <col min="122" max="127" width="0" hidden="1" customWidth="1"/>
  </cols>
  <sheetData>
    <row r="1" spans="1:2" s="194" customFormat="1" ht="12.75" customHeight="1" x14ac:dyDescent="0.2">
      <c r="A1" s="192" t="s">
        <v>909</v>
      </c>
      <c r="B1" s="193" t="s">
        <v>910</v>
      </c>
    </row>
    <row r="2" spans="1:2" s="194" customFormat="1" ht="12.75" customHeight="1" x14ac:dyDescent="0.2">
      <c r="A2" s="195" t="s">
        <v>911</v>
      </c>
      <c r="B2" s="196" t="s">
        <v>912</v>
      </c>
    </row>
    <row r="3" spans="1:2" s="194" customFormat="1" ht="12.75" customHeight="1" x14ac:dyDescent="0.2">
      <c r="A3" s="192" t="s">
        <v>913</v>
      </c>
      <c r="B3" s="197" t="s">
        <v>914</v>
      </c>
    </row>
    <row r="4" spans="1:2" s="194" customFormat="1" ht="12.75" customHeight="1" x14ac:dyDescent="0.2">
      <c r="A4" s="195" t="s">
        <v>915</v>
      </c>
      <c r="B4" s="197" t="s">
        <v>916</v>
      </c>
    </row>
    <row r="5" spans="1:2" s="194" customFormat="1" ht="12.75" customHeight="1" x14ac:dyDescent="0.2">
      <c r="A5" s="195" t="s">
        <v>917</v>
      </c>
      <c r="B5" s="197" t="s">
        <v>918</v>
      </c>
    </row>
    <row r="6" spans="1:2" s="194" customFormat="1" ht="12.75" customHeight="1" x14ac:dyDescent="0.2">
      <c r="A6" s="198" t="s">
        <v>633</v>
      </c>
      <c r="B6" s="199"/>
    </row>
    <row r="7" spans="1:2" s="194" customFormat="1" ht="12.75" customHeight="1" x14ac:dyDescent="0.2">
      <c r="A7" s="198" t="s">
        <v>634</v>
      </c>
      <c r="B7" s="199"/>
    </row>
    <row r="8" spans="1:2" s="194" customFormat="1" ht="12.75" customHeight="1" x14ac:dyDescent="0.2">
      <c r="A8" s="198" t="s">
        <v>919</v>
      </c>
      <c r="B8" s="199" t="s">
        <v>1121</v>
      </c>
    </row>
    <row r="9" spans="1:2" s="194" customFormat="1" ht="12.75" customHeight="1" x14ac:dyDescent="0.2">
      <c r="A9" s="198" t="s">
        <v>920</v>
      </c>
      <c r="B9" s="200"/>
    </row>
    <row r="10" spans="1:2" s="194" customFormat="1" ht="12.75" customHeight="1" x14ac:dyDescent="0.2">
      <c r="A10" s="198" t="s">
        <v>922</v>
      </c>
      <c r="B10" s="200" t="s">
        <v>1116</v>
      </c>
    </row>
    <row r="11" spans="1:2" s="194" customFormat="1" ht="12.75" customHeight="1" x14ac:dyDescent="0.2">
      <c r="A11" s="198" t="s">
        <v>923</v>
      </c>
      <c r="B11" s="200" t="s">
        <v>1115</v>
      </c>
    </row>
    <row r="12" spans="1:2" s="194" customFormat="1" ht="12.75" customHeight="1" x14ac:dyDescent="0.2">
      <c r="A12" s="198" t="s">
        <v>924</v>
      </c>
      <c r="B12" s="200"/>
    </row>
    <row r="13" spans="1:2" s="194" customFormat="1" ht="12.75" customHeight="1" x14ac:dyDescent="0.2">
      <c r="A13" s="198" t="s">
        <v>925</v>
      </c>
      <c r="B13" s="200"/>
    </row>
    <row r="14" spans="1:2" s="194" customFormat="1" ht="12.75" customHeight="1" x14ac:dyDescent="0.2">
      <c r="A14" s="198" t="s">
        <v>926</v>
      </c>
      <c r="B14" s="200"/>
    </row>
    <row r="15" spans="1:2" s="194" customFormat="1" ht="12.75" customHeight="1" x14ac:dyDescent="0.2">
      <c r="A15" s="198" t="s">
        <v>927</v>
      </c>
      <c r="B15" s="201"/>
    </row>
    <row r="16" spans="1:2" s="194" customFormat="1" ht="12.75" customHeight="1" x14ac:dyDescent="0.2">
      <c r="A16" s="202" t="s">
        <v>928</v>
      </c>
      <c r="B16" s="203"/>
    </row>
    <row r="17" spans="1:129" s="194" customFormat="1" ht="12.75" customHeight="1" x14ac:dyDescent="0.2">
      <c r="A17" s="202" t="s">
        <v>929</v>
      </c>
      <c r="B17" s="203"/>
    </row>
    <row r="18" spans="1:129" s="194" customFormat="1" ht="12.75" customHeight="1" x14ac:dyDescent="0.2">
      <c r="A18" s="204" t="s">
        <v>930</v>
      </c>
      <c r="B18" s="203"/>
    </row>
    <row r="19" spans="1:129" s="194" customFormat="1" ht="12.75" customHeight="1" x14ac:dyDescent="0.2">
      <c r="A19" s="204" t="s">
        <v>931</v>
      </c>
      <c r="B19" s="205" t="s">
        <v>921</v>
      </c>
    </row>
    <row r="20" spans="1:129" s="194" customFormat="1" ht="12.75" customHeight="1" x14ac:dyDescent="0.2">
      <c r="A20" s="204" t="s">
        <v>932</v>
      </c>
      <c r="B20" s="203"/>
    </row>
    <row r="21" spans="1:129" s="194" customFormat="1" ht="12.75" customHeight="1" x14ac:dyDescent="0.2">
      <c r="A21" s="204" t="s">
        <v>933</v>
      </c>
      <c r="B21" s="205" t="s">
        <v>921</v>
      </c>
    </row>
    <row r="22" spans="1:129" s="209" customFormat="1" ht="12.75" customHeight="1" x14ac:dyDescent="0.2">
      <c r="A22" s="204" t="s">
        <v>934</v>
      </c>
      <c r="B22" s="205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</row>
    <row r="23" spans="1:129" s="206" customFormat="1" ht="12.75" customHeight="1" thickBot="1" x14ac:dyDescent="0.25">
      <c r="C23" s="194"/>
      <c r="D23" s="194"/>
      <c r="E23" s="194"/>
      <c r="F23" s="194"/>
      <c r="G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</row>
    <row r="24" spans="1:129" s="209" customFormat="1" ht="50.25" customHeight="1" thickBot="1" x14ac:dyDescent="0.3">
      <c r="A24" s="517" t="s">
        <v>935</v>
      </c>
      <c r="B24" s="518"/>
      <c r="C24" s="514" t="s">
        <v>892</v>
      </c>
      <c r="D24" s="515"/>
      <c r="E24" s="515"/>
      <c r="F24" s="515"/>
      <c r="G24" s="515"/>
      <c r="H24" s="515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5"/>
      <c r="Z24" s="515"/>
      <c r="AA24" s="515"/>
      <c r="AB24" s="515"/>
      <c r="AC24" s="515"/>
      <c r="AD24" s="515"/>
      <c r="AE24" s="515"/>
      <c r="AF24" s="515"/>
      <c r="AG24" s="515"/>
      <c r="AH24" s="515"/>
      <c r="AI24" s="515"/>
      <c r="AJ24" s="515"/>
      <c r="AK24" s="515"/>
      <c r="AL24" s="515"/>
      <c r="AM24" s="515"/>
      <c r="AN24" s="515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207"/>
      <c r="BM24" s="207"/>
      <c r="BN24" s="514" t="s">
        <v>881</v>
      </c>
      <c r="BO24" s="515"/>
      <c r="BP24" s="515"/>
      <c r="BQ24" s="515"/>
      <c r="BR24" s="515"/>
      <c r="BS24" s="207"/>
      <c r="BT24" s="207"/>
      <c r="BU24" s="514" t="s">
        <v>26</v>
      </c>
      <c r="BV24" s="515"/>
      <c r="BW24" s="515"/>
      <c r="BX24" s="515"/>
      <c r="BY24" s="515"/>
      <c r="BZ24" s="207"/>
      <c r="CA24" s="207"/>
      <c r="CB24" s="514" t="s">
        <v>936</v>
      </c>
      <c r="CC24" s="515"/>
      <c r="CD24" s="515"/>
      <c r="CE24" s="515"/>
      <c r="CF24" s="515"/>
      <c r="CG24" s="207"/>
      <c r="CH24" s="207"/>
      <c r="CI24" s="514" t="s">
        <v>937</v>
      </c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207"/>
      <c r="DC24" s="207"/>
      <c r="DD24" s="514" t="s">
        <v>259</v>
      </c>
      <c r="DE24" s="515"/>
      <c r="DF24" s="515"/>
      <c r="DG24" s="515"/>
      <c r="DH24" s="516"/>
      <c r="DI24" s="207"/>
      <c r="DJ24" s="208"/>
      <c r="DL24" s="210" t="s">
        <v>938</v>
      </c>
      <c r="DM24" s="211" t="s">
        <v>939</v>
      </c>
      <c r="DO24" s="210" t="s">
        <v>940</v>
      </c>
      <c r="DP24" s="212" t="s">
        <v>941</v>
      </c>
    </row>
    <row r="25" spans="1:129" s="194" customFormat="1" ht="54" customHeight="1" thickBot="1" x14ac:dyDescent="0.25">
      <c r="A25" s="517" t="s">
        <v>942</v>
      </c>
      <c r="B25" s="518"/>
      <c r="C25" s="519" t="s">
        <v>943</v>
      </c>
      <c r="D25" s="520"/>
      <c r="E25" s="520"/>
      <c r="F25" s="520"/>
      <c r="G25" s="521"/>
      <c r="H25" s="213" t="s">
        <v>944</v>
      </c>
      <c r="I25" s="213" t="s">
        <v>945</v>
      </c>
      <c r="J25" s="522" t="s">
        <v>946</v>
      </c>
      <c r="K25" s="523"/>
      <c r="L25" s="523"/>
      <c r="M25" s="523"/>
      <c r="N25" s="524"/>
      <c r="O25" s="213" t="s">
        <v>944</v>
      </c>
      <c r="P25" s="213" t="s">
        <v>945</v>
      </c>
      <c r="Q25" s="522" t="s">
        <v>13</v>
      </c>
      <c r="R25" s="523"/>
      <c r="S25" s="523"/>
      <c r="T25" s="523"/>
      <c r="U25" s="524"/>
      <c r="V25" s="213" t="s">
        <v>944</v>
      </c>
      <c r="W25" s="213" t="s">
        <v>945</v>
      </c>
      <c r="X25" s="519" t="s">
        <v>947</v>
      </c>
      <c r="Y25" s="520"/>
      <c r="Z25" s="520"/>
      <c r="AA25" s="520"/>
      <c r="AB25" s="521"/>
      <c r="AC25" s="213" t="s">
        <v>944</v>
      </c>
      <c r="AD25" s="213" t="s">
        <v>945</v>
      </c>
      <c r="AE25" s="519" t="s">
        <v>948</v>
      </c>
      <c r="AF25" s="520"/>
      <c r="AG25" s="520"/>
      <c r="AH25" s="520"/>
      <c r="AI25" s="521"/>
      <c r="AJ25" s="213" t="s">
        <v>944</v>
      </c>
      <c r="AK25" s="213" t="s">
        <v>945</v>
      </c>
      <c r="AL25" s="519" t="s">
        <v>949</v>
      </c>
      <c r="AM25" s="520"/>
      <c r="AN25" s="520"/>
      <c r="AO25" s="520"/>
      <c r="AP25" s="521"/>
      <c r="AQ25" s="213" t="s">
        <v>944</v>
      </c>
      <c r="AR25" s="213" t="s">
        <v>945</v>
      </c>
      <c r="AS25" s="525" t="s">
        <v>25</v>
      </c>
      <c r="AT25" s="526"/>
      <c r="AU25" s="526"/>
      <c r="AV25" s="526"/>
      <c r="AW25" s="527"/>
      <c r="AX25" s="213" t="s">
        <v>944</v>
      </c>
      <c r="AY25" s="213" t="s">
        <v>945</v>
      </c>
      <c r="AZ25" s="525" t="s">
        <v>950</v>
      </c>
      <c r="BA25" s="526"/>
      <c r="BB25" s="526"/>
      <c r="BC25" s="526"/>
      <c r="BD25" s="527"/>
      <c r="BE25" s="213" t="s">
        <v>944</v>
      </c>
      <c r="BF25" s="213" t="s">
        <v>945</v>
      </c>
      <c r="BG25" s="525" t="s">
        <v>227</v>
      </c>
      <c r="BH25" s="526"/>
      <c r="BI25" s="526"/>
      <c r="BJ25" s="526"/>
      <c r="BK25" s="527"/>
      <c r="BL25" s="213" t="s">
        <v>944</v>
      </c>
      <c r="BM25" s="213" t="s">
        <v>945</v>
      </c>
      <c r="BN25" s="519" t="s">
        <v>951</v>
      </c>
      <c r="BO25" s="520"/>
      <c r="BP25" s="520"/>
      <c r="BQ25" s="520"/>
      <c r="BR25" s="521"/>
      <c r="BS25" s="213" t="s">
        <v>944</v>
      </c>
      <c r="BT25" s="213" t="s">
        <v>945</v>
      </c>
      <c r="BU25" s="519" t="s">
        <v>952</v>
      </c>
      <c r="BV25" s="520"/>
      <c r="BW25" s="520"/>
      <c r="BX25" s="520"/>
      <c r="BY25" s="521"/>
      <c r="BZ25" s="213" t="s">
        <v>944</v>
      </c>
      <c r="CA25" s="213" t="s">
        <v>945</v>
      </c>
      <c r="CB25" s="519" t="s">
        <v>936</v>
      </c>
      <c r="CC25" s="520"/>
      <c r="CD25" s="520"/>
      <c r="CE25" s="520"/>
      <c r="CF25" s="521"/>
      <c r="CG25" s="213" t="s">
        <v>944</v>
      </c>
      <c r="CH25" s="213" t="s">
        <v>945</v>
      </c>
      <c r="CI25" s="519" t="s">
        <v>953</v>
      </c>
      <c r="CJ25" s="520"/>
      <c r="CK25" s="520"/>
      <c r="CL25" s="520"/>
      <c r="CM25" s="521"/>
      <c r="CN25" s="213" t="s">
        <v>944</v>
      </c>
      <c r="CO25" s="213" t="s">
        <v>945</v>
      </c>
      <c r="CP25" s="519" t="s">
        <v>954</v>
      </c>
      <c r="CQ25" s="520"/>
      <c r="CR25" s="520"/>
      <c r="CS25" s="520"/>
      <c r="CT25" s="521"/>
      <c r="CU25" s="213" t="s">
        <v>944</v>
      </c>
      <c r="CV25" s="213" t="s">
        <v>945</v>
      </c>
      <c r="CW25" s="519" t="s">
        <v>955</v>
      </c>
      <c r="CX25" s="520"/>
      <c r="CY25" s="520"/>
      <c r="CZ25" s="520"/>
      <c r="DA25" s="521"/>
      <c r="DB25" s="213" t="s">
        <v>944</v>
      </c>
      <c r="DC25" s="213" t="s">
        <v>945</v>
      </c>
      <c r="DD25" s="519" t="s">
        <v>956</v>
      </c>
      <c r="DE25" s="520"/>
      <c r="DF25" s="520"/>
      <c r="DG25" s="520"/>
      <c r="DH25" s="521"/>
      <c r="DI25" s="213" t="s">
        <v>944</v>
      </c>
      <c r="DJ25" s="214" t="s">
        <v>945</v>
      </c>
      <c r="DL25" s="215"/>
      <c r="DM25" s="216"/>
      <c r="DO25" s="215"/>
      <c r="DP25" s="217"/>
    </row>
    <row r="26" spans="1:129" s="209" customFormat="1" ht="15.75" x14ac:dyDescent="0.25">
      <c r="A26" s="517" t="s">
        <v>957</v>
      </c>
      <c r="B26" s="518"/>
      <c r="C26" s="528">
        <v>5</v>
      </c>
      <c r="D26" s="529"/>
      <c r="E26" s="529"/>
      <c r="F26" s="529"/>
      <c r="G26" s="530"/>
      <c r="H26" s="218"/>
      <c r="I26" s="218"/>
      <c r="J26" s="531">
        <v>4</v>
      </c>
      <c r="K26" s="532"/>
      <c r="L26" s="532"/>
      <c r="M26" s="532"/>
      <c r="N26" s="533"/>
      <c r="O26" s="218"/>
      <c r="P26" s="218"/>
      <c r="Q26" s="531">
        <v>12</v>
      </c>
      <c r="R26" s="532"/>
      <c r="S26" s="532"/>
      <c r="T26" s="532"/>
      <c r="U26" s="533"/>
      <c r="V26" s="218"/>
      <c r="W26" s="218"/>
      <c r="X26" s="528">
        <v>10</v>
      </c>
      <c r="Y26" s="529"/>
      <c r="Z26" s="529"/>
      <c r="AA26" s="529"/>
      <c r="AB26" s="530"/>
      <c r="AC26" s="218"/>
      <c r="AD26" s="218"/>
      <c r="AE26" s="528">
        <v>4</v>
      </c>
      <c r="AF26" s="529"/>
      <c r="AG26" s="529"/>
      <c r="AH26" s="529"/>
      <c r="AI26" s="530"/>
      <c r="AJ26" s="218"/>
      <c r="AK26" s="218"/>
      <c r="AL26" s="528">
        <v>8</v>
      </c>
      <c r="AM26" s="529"/>
      <c r="AN26" s="529"/>
      <c r="AO26" s="529"/>
      <c r="AP26" s="530"/>
      <c r="AQ26" s="218"/>
      <c r="AR26" s="218"/>
      <c r="AS26" s="534">
        <v>5</v>
      </c>
      <c r="AT26" s="535"/>
      <c r="AU26" s="535"/>
      <c r="AV26" s="535"/>
      <c r="AW26" s="535"/>
      <c r="AX26" s="535"/>
      <c r="AY26" s="535"/>
      <c r="AZ26" s="535"/>
      <c r="BA26" s="535"/>
      <c r="BB26" s="535"/>
      <c r="BC26" s="535"/>
      <c r="BD26" s="535"/>
      <c r="BE26" s="535"/>
      <c r="BF26" s="535"/>
      <c r="BG26" s="535"/>
      <c r="BH26" s="535"/>
      <c r="BI26" s="535"/>
      <c r="BJ26" s="535"/>
      <c r="BK26" s="536"/>
      <c r="BL26" s="218"/>
      <c r="BM26" s="218"/>
      <c r="BN26" s="528">
        <v>12</v>
      </c>
      <c r="BO26" s="529"/>
      <c r="BP26" s="529"/>
      <c r="BQ26" s="529"/>
      <c r="BR26" s="530"/>
      <c r="BS26" s="218"/>
      <c r="BT26" s="218"/>
      <c r="BU26" s="528">
        <v>10</v>
      </c>
      <c r="BV26" s="529"/>
      <c r="BW26" s="529"/>
      <c r="BX26" s="529"/>
      <c r="BY26" s="530"/>
      <c r="BZ26" s="218"/>
      <c r="CA26" s="218"/>
      <c r="CB26" s="528">
        <v>7</v>
      </c>
      <c r="CC26" s="529"/>
      <c r="CD26" s="529"/>
      <c r="CE26" s="529"/>
      <c r="CF26" s="530"/>
      <c r="CG26" s="218"/>
      <c r="CH26" s="218"/>
      <c r="CI26" s="528">
        <v>9</v>
      </c>
      <c r="CJ26" s="529"/>
      <c r="CK26" s="529"/>
      <c r="CL26" s="529"/>
      <c r="CM26" s="530"/>
      <c r="CN26" s="218"/>
      <c r="CO26" s="218"/>
      <c r="CP26" s="528">
        <v>7</v>
      </c>
      <c r="CQ26" s="529"/>
      <c r="CR26" s="529"/>
      <c r="CS26" s="529"/>
      <c r="CT26" s="530"/>
      <c r="CU26" s="218"/>
      <c r="CV26" s="218"/>
      <c r="CW26" s="528">
        <v>7</v>
      </c>
      <c r="CX26" s="529"/>
      <c r="CY26" s="529"/>
      <c r="CZ26" s="529"/>
      <c r="DA26" s="530"/>
      <c r="DB26" s="218"/>
      <c r="DC26" s="218"/>
      <c r="DD26" s="528">
        <v>10</v>
      </c>
      <c r="DE26" s="529"/>
      <c r="DF26" s="529"/>
      <c r="DG26" s="529"/>
      <c r="DH26" s="530"/>
      <c r="DI26" s="218"/>
      <c r="DJ26" s="219"/>
      <c r="DL26" s="220"/>
      <c r="DM26" s="221"/>
      <c r="DO26" s="220"/>
      <c r="DP26" s="222"/>
    </row>
    <row r="27" spans="1:129" s="194" customFormat="1" ht="86.25" customHeight="1" x14ac:dyDescent="0.2">
      <c r="A27" s="223" t="s">
        <v>958</v>
      </c>
      <c r="B27" s="224" t="s">
        <v>959</v>
      </c>
      <c r="C27" s="225" t="s">
        <v>960</v>
      </c>
      <c r="D27" s="226" t="s">
        <v>8</v>
      </c>
      <c r="E27" s="227" t="s">
        <v>18</v>
      </c>
      <c r="F27" s="228" t="s">
        <v>5</v>
      </c>
      <c r="G27" s="229" t="s">
        <v>961</v>
      </c>
      <c r="H27" s="230"/>
      <c r="I27" s="230"/>
      <c r="J27" s="231" t="s">
        <v>960</v>
      </c>
      <c r="K27" s="232" t="s">
        <v>8</v>
      </c>
      <c r="L27" s="233" t="s">
        <v>18</v>
      </c>
      <c r="M27" s="234" t="s">
        <v>5</v>
      </c>
      <c r="N27" s="235" t="s">
        <v>961</v>
      </c>
      <c r="O27" s="230"/>
      <c r="P27" s="230"/>
      <c r="Q27" s="231" t="s">
        <v>960</v>
      </c>
      <c r="R27" s="232" t="s">
        <v>8</v>
      </c>
      <c r="S27" s="233" t="s">
        <v>18</v>
      </c>
      <c r="T27" s="234" t="s">
        <v>5</v>
      </c>
      <c r="U27" s="235" t="s">
        <v>961</v>
      </c>
      <c r="V27" s="230"/>
      <c r="W27" s="230"/>
      <c r="X27" s="231" t="s">
        <v>960</v>
      </c>
      <c r="Y27" s="232" t="s">
        <v>8</v>
      </c>
      <c r="Z27" s="233" t="s">
        <v>18</v>
      </c>
      <c r="AA27" s="234" t="s">
        <v>5</v>
      </c>
      <c r="AB27" s="235" t="s">
        <v>961</v>
      </c>
      <c r="AC27" s="230"/>
      <c r="AD27" s="230"/>
      <c r="AE27" s="231" t="s">
        <v>960</v>
      </c>
      <c r="AF27" s="232" t="s">
        <v>8</v>
      </c>
      <c r="AG27" s="233" t="s">
        <v>18</v>
      </c>
      <c r="AH27" s="234" t="s">
        <v>5</v>
      </c>
      <c r="AI27" s="235" t="s">
        <v>961</v>
      </c>
      <c r="AJ27" s="230"/>
      <c r="AK27" s="230"/>
      <c r="AL27" s="231" t="s">
        <v>960</v>
      </c>
      <c r="AM27" s="232" t="s">
        <v>8</v>
      </c>
      <c r="AN27" s="233" t="s">
        <v>18</v>
      </c>
      <c r="AO27" s="234" t="s">
        <v>5</v>
      </c>
      <c r="AP27" s="235" t="s">
        <v>961</v>
      </c>
      <c r="AQ27" s="230"/>
      <c r="AR27" s="230"/>
      <c r="AS27" s="231" t="s">
        <v>960</v>
      </c>
      <c r="AT27" s="232" t="s">
        <v>8</v>
      </c>
      <c r="AU27" s="233" t="s">
        <v>18</v>
      </c>
      <c r="AV27" s="234" t="s">
        <v>5</v>
      </c>
      <c r="AW27" s="235" t="s">
        <v>961</v>
      </c>
      <c r="AX27" s="230"/>
      <c r="AY27" s="230"/>
      <c r="AZ27" s="231" t="s">
        <v>960</v>
      </c>
      <c r="BA27" s="232" t="s">
        <v>8</v>
      </c>
      <c r="BB27" s="233" t="s">
        <v>18</v>
      </c>
      <c r="BC27" s="234" t="s">
        <v>5</v>
      </c>
      <c r="BD27" s="235" t="s">
        <v>961</v>
      </c>
      <c r="BE27" s="230"/>
      <c r="BF27" s="230"/>
      <c r="BG27" s="231" t="s">
        <v>960</v>
      </c>
      <c r="BH27" s="232" t="s">
        <v>8</v>
      </c>
      <c r="BI27" s="233" t="s">
        <v>18</v>
      </c>
      <c r="BJ27" s="234" t="s">
        <v>5</v>
      </c>
      <c r="BK27" s="235" t="s">
        <v>961</v>
      </c>
      <c r="BL27" s="230"/>
      <c r="BM27" s="230"/>
      <c r="BN27" s="231" t="s">
        <v>960</v>
      </c>
      <c r="BO27" s="232" t="s">
        <v>8</v>
      </c>
      <c r="BP27" s="233" t="s">
        <v>18</v>
      </c>
      <c r="BQ27" s="234" t="s">
        <v>5</v>
      </c>
      <c r="BR27" s="235" t="s">
        <v>961</v>
      </c>
      <c r="BS27" s="230"/>
      <c r="BT27" s="230"/>
      <c r="BU27" s="231" t="s">
        <v>960</v>
      </c>
      <c r="BV27" s="232" t="s">
        <v>8</v>
      </c>
      <c r="BW27" s="233" t="s">
        <v>18</v>
      </c>
      <c r="BX27" s="234" t="s">
        <v>5</v>
      </c>
      <c r="BY27" s="235" t="s">
        <v>961</v>
      </c>
      <c r="BZ27" s="230"/>
      <c r="CA27" s="230"/>
      <c r="CB27" s="231" t="s">
        <v>960</v>
      </c>
      <c r="CC27" s="232" t="s">
        <v>8</v>
      </c>
      <c r="CD27" s="233" t="s">
        <v>18</v>
      </c>
      <c r="CE27" s="234" t="s">
        <v>5</v>
      </c>
      <c r="CF27" s="235" t="s">
        <v>961</v>
      </c>
      <c r="CG27" s="230"/>
      <c r="CH27" s="230"/>
      <c r="CI27" s="231" t="s">
        <v>960</v>
      </c>
      <c r="CJ27" s="232" t="s">
        <v>8</v>
      </c>
      <c r="CK27" s="233" t="s">
        <v>18</v>
      </c>
      <c r="CL27" s="234" t="s">
        <v>5</v>
      </c>
      <c r="CM27" s="235" t="s">
        <v>961</v>
      </c>
      <c r="CN27" s="230"/>
      <c r="CO27" s="230"/>
      <c r="CP27" s="231" t="s">
        <v>960</v>
      </c>
      <c r="CQ27" s="232" t="s">
        <v>8</v>
      </c>
      <c r="CR27" s="233" t="s">
        <v>18</v>
      </c>
      <c r="CS27" s="234" t="s">
        <v>5</v>
      </c>
      <c r="CT27" s="235" t="s">
        <v>961</v>
      </c>
      <c r="CU27" s="230"/>
      <c r="CV27" s="230"/>
      <c r="CW27" s="231" t="s">
        <v>960</v>
      </c>
      <c r="CX27" s="232" t="s">
        <v>8</v>
      </c>
      <c r="CY27" s="233" t="s">
        <v>18</v>
      </c>
      <c r="CZ27" s="234" t="s">
        <v>5</v>
      </c>
      <c r="DA27" s="235" t="s">
        <v>961</v>
      </c>
      <c r="DB27" s="230"/>
      <c r="DC27" s="230"/>
      <c r="DD27" s="231" t="s">
        <v>960</v>
      </c>
      <c r="DE27" s="232" t="s">
        <v>8</v>
      </c>
      <c r="DF27" s="233" t="s">
        <v>18</v>
      </c>
      <c r="DG27" s="234" t="s">
        <v>5</v>
      </c>
      <c r="DH27" s="235" t="s">
        <v>961</v>
      </c>
      <c r="DI27" s="230"/>
      <c r="DJ27" s="236"/>
      <c r="DK27" s="209"/>
      <c r="DL27" s="220"/>
      <c r="DM27" s="221"/>
      <c r="DO27" s="220"/>
      <c r="DP27" s="222"/>
      <c r="DR27" s="237" t="s">
        <v>962</v>
      </c>
      <c r="DS27" s="238" t="s">
        <v>963</v>
      </c>
      <c r="DT27" s="238" t="s">
        <v>964</v>
      </c>
      <c r="DU27" s="238" t="s">
        <v>965</v>
      </c>
      <c r="DV27" s="238" t="s">
        <v>966</v>
      </c>
      <c r="DW27" s="237" t="s">
        <v>927</v>
      </c>
    </row>
    <row r="28" spans="1:129" s="194" customFormat="1" ht="12.75" customHeight="1" x14ac:dyDescent="0.2">
      <c r="A28" s="239">
        <v>1</v>
      </c>
      <c r="B28" s="240" t="s">
        <v>967</v>
      </c>
      <c r="C28" s="241"/>
      <c r="D28" s="242"/>
      <c r="E28" s="243"/>
      <c r="F28" s="244"/>
      <c r="G28" s="245" t="s">
        <v>968</v>
      </c>
      <c r="H28" s="246">
        <f t="shared" ref="H28:H91" si="0">IF(D28&lt;&gt;"",$B$189,IF(E28&lt;&gt;"",$B$190,IF(F28&lt;&gt;"",$B$191,0)))</f>
        <v>0</v>
      </c>
      <c r="I28" s="247">
        <f t="shared" ref="I28:I91" si="1">IF(AND(D28="",E28="",F28=""),0,IF($DW28&gt;H28,H28,$DW28))</f>
        <v>0</v>
      </c>
      <c r="J28" s="248"/>
      <c r="K28" s="249"/>
      <c r="L28" s="250"/>
      <c r="M28" s="221"/>
      <c r="N28" s="251" t="s">
        <v>968</v>
      </c>
      <c r="O28" s="246">
        <f t="shared" ref="O28:O91" si="2">IF(K28&lt;&gt;"",$B$189,IF(L28&lt;&gt;"",$B$190,IF(M28&lt;&gt;"",$B$191,0)))</f>
        <v>0</v>
      </c>
      <c r="P28" s="247">
        <f t="shared" ref="P28:P91" si="3">IF(AND(K28="",L28="",M28=""),0,IF($DW28&gt;O28,O28,$DW28))</f>
        <v>0</v>
      </c>
      <c r="Q28" s="248"/>
      <c r="R28" s="249"/>
      <c r="S28" s="250"/>
      <c r="T28" s="221"/>
      <c r="U28" s="251" t="s">
        <v>968</v>
      </c>
      <c r="V28" s="246">
        <f t="shared" ref="V28:V91" si="4">IF(R28&lt;&gt;"",$B$189,IF(S28&lt;&gt;"",$B$190,IF(T28&lt;&gt;"",$B$191,0)))</f>
        <v>0</v>
      </c>
      <c r="W28" s="247">
        <f t="shared" ref="W28:W91" si="5">IF(AND(R28="",S28="",T28=""),0,IF($DW28&gt;V28,V28,$DW28))</f>
        <v>0</v>
      </c>
      <c r="X28" s="248"/>
      <c r="Y28" s="249"/>
      <c r="Z28" s="250"/>
      <c r="AA28" s="221"/>
      <c r="AB28" s="251" t="s">
        <v>968</v>
      </c>
      <c r="AC28" s="246">
        <f t="shared" ref="AC28:AC91" si="6">IF(Y28&lt;&gt;"",$B$189,IF(Z28&lt;&gt;"",$B$190,IF(AA28&lt;&gt;"",$B$191,0)))</f>
        <v>0</v>
      </c>
      <c r="AD28" s="247">
        <f t="shared" ref="AD28:AD91" si="7">IF(AND(Y28="",Z28="",AA28=""),0,IF($DW28&gt;AC28,AC28,$DW28))</f>
        <v>0</v>
      </c>
      <c r="AE28" s="248"/>
      <c r="AF28" s="252"/>
      <c r="AG28" s="250"/>
      <c r="AH28" s="221"/>
      <c r="AI28" s="251" t="s">
        <v>968</v>
      </c>
      <c r="AJ28" s="246">
        <f t="shared" ref="AJ28:AJ91" si="8">IF(AF28&lt;&gt;"",$B$189,IF(AG28&lt;&gt;"",$B$190,IF(AH28&lt;&gt;"",$B$191,0)))</f>
        <v>0</v>
      </c>
      <c r="AK28" s="247">
        <f t="shared" ref="AK28:AK91" si="9">IF(AND(AF28="",AG28="",AH28=""),0,IF($DW28&gt;AJ28,AJ28,$DW28))</f>
        <v>0</v>
      </c>
      <c r="AL28" s="248"/>
      <c r="AM28" s="249"/>
      <c r="AN28" s="250"/>
      <c r="AO28" s="221"/>
      <c r="AP28" s="251" t="s">
        <v>968</v>
      </c>
      <c r="AQ28" s="246">
        <f t="shared" ref="AQ28:AQ91" si="10">IF(AM28&lt;&gt;"",$B$189,IF(AN28&lt;&gt;"",$B$190,IF(AO28&lt;&gt;"",$B$191,0)))</f>
        <v>0</v>
      </c>
      <c r="AR28" s="247">
        <f t="shared" ref="AR28:AR91" si="11">IF(AND(AM28="",AN28="",AO28=""),0,IF($DW28&gt;AQ28,AQ28,$DW28))</f>
        <v>0</v>
      </c>
      <c r="AS28" s="248"/>
      <c r="AT28" s="249"/>
      <c r="AU28" s="250"/>
      <c r="AV28" s="221"/>
      <c r="AW28" s="251" t="s">
        <v>968</v>
      </c>
      <c r="AX28" s="246">
        <f t="shared" ref="AX28:AX91" si="12">IF(AT28&lt;&gt;"",$B$189,IF(AU28&lt;&gt;"",$B$190,IF(AV28&lt;&gt;"",$B$191,0)))</f>
        <v>0</v>
      </c>
      <c r="AY28" s="247">
        <f t="shared" ref="AY28:AY91" si="13">IF(AND(AT28="",AU28="",AV28=""),0,IF($DW28&gt;AX28,AX28,$DW28))</f>
        <v>0</v>
      </c>
      <c r="AZ28" s="248"/>
      <c r="BA28" s="249"/>
      <c r="BB28" s="250"/>
      <c r="BC28" s="221"/>
      <c r="BD28" s="251" t="s">
        <v>968</v>
      </c>
      <c r="BE28" s="246">
        <f t="shared" ref="BE28:BE91" si="14">IF(BA28&lt;&gt;"",$B$189,IF(BB28&lt;&gt;"",$B$190,IF(BC28&lt;&gt;"",$B$191,0)))</f>
        <v>0</v>
      </c>
      <c r="BF28" s="247">
        <f t="shared" ref="BF28:BF91" si="15">IF(AND(BA28="",BB28="",BC28=""),0,IF($DW28&gt;BE28,BE28,$DW28))</f>
        <v>0</v>
      </c>
      <c r="BG28" s="248"/>
      <c r="BH28" s="249"/>
      <c r="BI28" s="250"/>
      <c r="BJ28" s="221"/>
      <c r="BK28" s="251" t="s">
        <v>968</v>
      </c>
      <c r="BL28" s="246">
        <f t="shared" ref="BL28:BL91" si="16">IF(BH28&lt;&gt;"",$B$189,IF(BI28&lt;&gt;"",$B$190,IF(BJ28&lt;&gt;"",$B$191,0)))</f>
        <v>0</v>
      </c>
      <c r="BM28" s="247">
        <f t="shared" ref="BM28:BM91" si="17">IF(AND(BH28="",BI28="",BJ28=""),0,IF($DW28&gt;BL28,BL28,$DW28))</f>
        <v>0</v>
      </c>
      <c r="BN28" s="248"/>
      <c r="BO28" s="250"/>
      <c r="BP28" s="253"/>
      <c r="BQ28" s="221"/>
      <c r="BR28" s="251" t="s">
        <v>968</v>
      </c>
      <c r="BS28" s="246">
        <f t="shared" ref="BS28:BS91" si="18">IF(BO28&lt;&gt;"",$B$189,IF(BP28&lt;&gt;"",$B$190,IF(BQ28&lt;&gt;"",$B$191,0)))</f>
        <v>0</v>
      </c>
      <c r="BT28" s="247">
        <f t="shared" ref="BT28:BT91" si="19">IF(AND(BO28="",BP28="",BQ28=""),0,IF($DW28&gt;BS28,BS28,$DW28))</f>
        <v>0</v>
      </c>
      <c r="BU28" s="248"/>
      <c r="BV28" s="249"/>
      <c r="BW28" s="250"/>
      <c r="BX28" s="221"/>
      <c r="BY28" s="251" t="s">
        <v>968</v>
      </c>
      <c r="BZ28" s="246">
        <f t="shared" ref="BZ28:BZ91" si="20">IF(BV28&lt;&gt;"",$B$189,IF(BW28&lt;&gt;"",$B$190,IF(BX28&lt;&gt;"",$B$191,0)))</f>
        <v>0</v>
      </c>
      <c r="CA28" s="247">
        <f t="shared" ref="CA28:CA91" si="21">IF(AND(BV28="",BW28="",BX28=""),0,IF($DW28&gt;BZ28,BZ28,$DW28))</f>
        <v>0</v>
      </c>
      <c r="CB28" s="248"/>
      <c r="CC28" s="249"/>
      <c r="CD28" s="250"/>
      <c r="CE28" s="221"/>
      <c r="CF28" s="251" t="s">
        <v>968</v>
      </c>
      <c r="CG28" s="246">
        <f t="shared" ref="CG28:CG91" si="22">IF(CC28&lt;&gt;"",$B$189,IF(CD28&lt;&gt;"",$B$190,IF(CE28&lt;&gt;"",$B$191,0)))</f>
        <v>0</v>
      </c>
      <c r="CH28" s="247">
        <f t="shared" ref="CH28:CH91" si="23">IF(AND(CC28="",CD28="",CE28=""),0,IF($DW28&gt;CG28,CG28,$DW28))</f>
        <v>0</v>
      </c>
      <c r="CI28" s="254"/>
      <c r="CJ28" s="250"/>
      <c r="CK28" s="250"/>
      <c r="CL28" s="250"/>
      <c r="CM28" s="251"/>
      <c r="CN28" s="246">
        <f t="shared" ref="CN28:CN85" si="24">IF(CJ28&lt;&gt;"",$B$189,IF(CK28&lt;&gt;"",$B$190,IF(CL28&lt;&gt;"",$B$191,0)))</f>
        <v>0</v>
      </c>
      <c r="CO28" s="247">
        <f t="shared" ref="CO28:CO85" si="25">IF(AND(CJ28="",CK28="",CL28=""),0,IF($DW28&gt;CN28,CN28,$DW28))</f>
        <v>0</v>
      </c>
      <c r="CP28" s="254"/>
      <c r="CQ28" s="250"/>
      <c r="CR28" s="250"/>
      <c r="CS28" s="221"/>
      <c r="CT28" s="251"/>
      <c r="CU28" s="246">
        <f t="shared" ref="CU28:CU91" si="26">IF(CQ28&lt;&gt;"",$B$189,IF(CR28&lt;&gt;"",$B$190,IF(CS28&lt;&gt;"",$B$191,0)))</f>
        <v>0</v>
      </c>
      <c r="CV28" s="247">
        <f t="shared" ref="CV28:CV91" si="27">IF(AND(CQ28="",CR28="",CS28=""),0,IF($DW28&gt;CU28,CU28,$DW28))</f>
        <v>0</v>
      </c>
      <c r="CW28" s="254"/>
      <c r="CX28" s="250"/>
      <c r="CY28" s="250"/>
      <c r="CZ28" s="221"/>
      <c r="DA28" s="251"/>
      <c r="DB28" s="246">
        <f t="shared" ref="DB28:DB91" si="28">IF(CX28&lt;&gt;"",$B$189,IF(CY28&lt;&gt;"",$B$190,IF(CZ28&lt;&gt;"",$B$191,0)))</f>
        <v>0</v>
      </c>
      <c r="DC28" s="247">
        <f t="shared" ref="DC28:DC91" si="29">IF(AND(CX28="",CY28="",CZ28=""),0,IF($DW28&gt;DB28,DB28,$DW28))</f>
        <v>0</v>
      </c>
      <c r="DD28" s="248"/>
      <c r="DE28" s="249"/>
      <c r="DF28" s="250"/>
      <c r="DG28" s="221"/>
      <c r="DH28" s="251" t="s">
        <v>968</v>
      </c>
      <c r="DI28" s="246">
        <f t="shared" ref="DI28:DI91" si="30">IF(DE28&lt;&gt;"",$B$189,IF(DF28&lt;&gt;"",$B$190,IF(DG28&lt;&gt;"",$B$191,0)))</f>
        <v>0</v>
      </c>
      <c r="DJ28" s="255">
        <f t="shared" ref="DJ28:DJ91" si="31">IF(AND(DE28="",DF28="",DG28=""),0,IF($DW28&gt;DI28,DI28,$DW28))</f>
        <v>0</v>
      </c>
      <c r="DK28" s="209"/>
      <c r="DL28" s="220"/>
      <c r="DM28" s="221"/>
      <c r="DO28" s="256"/>
      <c r="DP28" s="257"/>
      <c r="DR28" s="258">
        <f>COUNTA(D28:F28,K28:M28,R28:T28,Y28:AA28,AF28:AH28,AM28:AO28,AT28:AV28,BA28:BC28,BH28:BJ28,BO28:BQ28,BV28:BX28,CC28:CE28,CJ28:CL28,CQ28:CS28,CX28:CZ28,DE28:DG28)</f>
        <v>0</v>
      </c>
      <c r="DS28" s="258">
        <f>IF(COUNTA(D28,K28,R28,Y28,AF28,AM28,AT28,BA28,BH28,BO28,BV28,CC28,CJ28,CQ28,CX28,DE28)&gt;0,$B$189,0)</f>
        <v>0</v>
      </c>
      <c r="DT28" s="258">
        <f>IF(COUNTA(E28,L28,S28,Z28,AG28,AN28,AU28,BB28,BI28,BP28,BW28,CD28,CK28,CR28,CY28,DF28)&gt;0,$B$190,0)</f>
        <v>0</v>
      </c>
      <c r="DU28" s="258">
        <f>IF(COUNTA(F28,M28,T28,AA28,AH28,AO28,AV28,BC28,BJ28,BQ28,BX28,CE28,CL28,CS28,CZ28,DG28)&gt;0,$B$191,0)</f>
        <v>0</v>
      </c>
      <c r="DV28" s="259">
        <f>IF(DU28&gt;DT28,DU28,IF(DT28&gt;DS28,DT28,DS28))</f>
        <v>0</v>
      </c>
      <c r="DW28" s="259">
        <f>IF(DR28=0,0,DV28/DR28)</f>
        <v>0</v>
      </c>
    </row>
    <row r="29" spans="1:129" s="194" customFormat="1" ht="12.75" customHeight="1" x14ac:dyDescent="0.2">
      <c r="A29" s="239">
        <v>2</v>
      </c>
      <c r="B29" s="240" t="s">
        <v>222</v>
      </c>
      <c r="C29" s="241"/>
      <c r="D29" s="243"/>
      <c r="E29" s="243"/>
      <c r="F29" s="244"/>
      <c r="G29" s="245" t="s">
        <v>968</v>
      </c>
      <c r="H29" s="246">
        <f t="shared" si="0"/>
        <v>0</v>
      </c>
      <c r="I29" s="247">
        <f t="shared" si="1"/>
        <v>0</v>
      </c>
      <c r="J29" s="248"/>
      <c r="K29" s="249"/>
      <c r="L29" s="250"/>
      <c r="M29" s="221"/>
      <c r="N29" s="251" t="s">
        <v>968</v>
      </c>
      <c r="O29" s="246">
        <f t="shared" si="2"/>
        <v>0</v>
      </c>
      <c r="P29" s="247">
        <f t="shared" si="3"/>
        <v>0</v>
      </c>
      <c r="Q29" s="248"/>
      <c r="R29" s="249"/>
      <c r="S29" s="250"/>
      <c r="T29" s="221"/>
      <c r="U29" s="251" t="s">
        <v>968</v>
      </c>
      <c r="V29" s="246">
        <f t="shared" si="4"/>
        <v>0</v>
      </c>
      <c r="W29" s="247">
        <f t="shared" si="5"/>
        <v>0</v>
      </c>
      <c r="X29" s="248"/>
      <c r="Y29" s="250"/>
      <c r="Z29" s="250"/>
      <c r="AA29" s="221"/>
      <c r="AB29" s="251" t="s">
        <v>968</v>
      </c>
      <c r="AC29" s="246">
        <f t="shared" si="6"/>
        <v>0</v>
      </c>
      <c r="AD29" s="247">
        <f t="shared" si="7"/>
        <v>0</v>
      </c>
      <c r="AE29" s="248"/>
      <c r="AF29" s="252"/>
      <c r="AG29" s="250"/>
      <c r="AH29" s="221"/>
      <c r="AI29" s="251" t="s">
        <v>968</v>
      </c>
      <c r="AJ29" s="246">
        <f t="shared" si="8"/>
        <v>0</v>
      </c>
      <c r="AK29" s="247">
        <f t="shared" si="9"/>
        <v>0</v>
      </c>
      <c r="AL29" s="248"/>
      <c r="AM29" s="249"/>
      <c r="AN29" s="250"/>
      <c r="AO29" s="221"/>
      <c r="AP29" s="251" t="s">
        <v>968</v>
      </c>
      <c r="AQ29" s="246">
        <f t="shared" si="10"/>
        <v>0</v>
      </c>
      <c r="AR29" s="247">
        <f t="shared" si="11"/>
        <v>0</v>
      </c>
      <c r="AS29" s="248"/>
      <c r="AT29" s="249"/>
      <c r="AU29" s="250"/>
      <c r="AV29" s="221"/>
      <c r="AW29" s="251" t="s">
        <v>968</v>
      </c>
      <c r="AX29" s="246">
        <f t="shared" si="12"/>
        <v>0</v>
      </c>
      <c r="AY29" s="247">
        <f t="shared" si="13"/>
        <v>0</v>
      </c>
      <c r="AZ29" s="248"/>
      <c r="BA29" s="250"/>
      <c r="BB29" s="250"/>
      <c r="BC29" s="221"/>
      <c r="BD29" s="251" t="s">
        <v>968</v>
      </c>
      <c r="BE29" s="246">
        <f t="shared" si="14"/>
        <v>0</v>
      </c>
      <c r="BF29" s="247">
        <f t="shared" si="15"/>
        <v>0</v>
      </c>
      <c r="BG29" s="248"/>
      <c r="BH29" s="250"/>
      <c r="BI29" s="250"/>
      <c r="BJ29" s="221"/>
      <c r="BK29" s="251" t="s">
        <v>968</v>
      </c>
      <c r="BL29" s="246">
        <f t="shared" si="16"/>
        <v>0</v>
      </c>
      <c r="BM29" s="247">
        <f t="shared" si="17"/>
        <v>0</v>
      </c>
      <c r="BN29" s="248"/>
      <c r="BO29" s="249"/>
      <c r="BP29" s="250"/>
      <c r="BQ29" s="221"/>
      <c r="BR29" s="251" t="s">
        <v>968</v>
      </c>
      <c r="BS29" s="246">
        <f t="shared" si="18"/>
        <v>0</v>
      </c>
      <c r="BT29" s="247">
        <f t="shared" si="19"/>
        <v>0</v>
      </c>
      <c r="BU29" s="248"/>
      <c r="BV29" s="250"/>
      <c r="BW29" s="250"/>
      <c r="BX29" s="221"/>
      <c r="BY29" s="251" t="s">
        <v>968</v>
      </c>
      <c r="BZ29" s="246">
        <f t="shared" si="20"/>
        <v>0</v>
      </c>
      <c r="CA29" s="247">
        <f t="shared" si="21"/>
        <v>0</v>
      </c>
      <c r="CB29" s="248"/>
      <c r="CC29" s="249"/>
      <c r="CD29" s="250"/>
      <c r="CE29" s="221"/>
      <c r="CF29" s="251" t="s">
        <v>968</v>
      </c>
      <c r="CG29" s="246">
        <f t="shared" si="22"/>
        <v>0</v>
      </c>
      <c r="CH29" s="247">
        <f t="shared" si="23"/>
        <v>0</v>
      </c>
      <c r="CI29" s="248"/>
      <c r="CJ29" s="249"/>
      <c r="CK29" s="250"/>
      <c r="CL29" s="250"/>
      <c r="CM29" s="251" t="s">
        <v>968</v>
      </c>
      <c r="CN29" s="246">
        <f t="shared" si="24"/>
        <v>0</v>
      </c>
      <c r="CO29" s="247">
        <f t="shared" si="25"/>
        <v>0</v>
      </c>
      <c r="CP29" s="254"/>
      <c r="CQ29" s="250"/>
      <c r="CR29" s="250"/>
      <c r="CS29" s="221"/>
      <c r="CT29" s="251"/>
      <c r="CU29" s="246">
        <f t="shared" si="26"/>
        <v>0</v>
      </c>
      <c r="CV29" s="247">
        <f t="shared" si="27"/>
        <v>0</v>
      </c>
      <c r="CW29" s="254"/>
      <c r="CX29" s="250"/>
      <c r="CY29" s="250"/>
      <c r="CZ29" s="221"/>
      <c r="DA29" s="251"/>
      <c r="DB29" s="246">
        <f t="shared" si="28"/>
        <v>0</v>
      </c>
      <c r="DC29" s="247">
        <f t="shared" si="29"/>
        <v>0</v>
      </c>
      <c r="DD29" s="248"/>
      <c r="DE29" s="249"/>
      <c r="DF29" s="250"/>
      <c r="DG29" s="221"/>
      <c r="DH29" s="251" t="s">
        <v>968</v>
      </c>
      <c r="DI29" s="246">
        <f t="shared" si="30"/>
        <v>0</v>
      </c>
      <c r="DJ29" s="255">
        <f t="shared" si="31"/>
        <v>0</v>
      </c>
      <c r="DK29" s="209"/>
      <c r="DL29" s="220"/>
      <c r="DM29" s="221"/>
      <c r="DO29" s="256"/>
      <c r="DP29" s="257"/>
      <c r="DR29" s="258">
        <f t="shared" ref="DR29:DR92" si="32">COUNTA(D29:F29,K29:M29,R29:T29,Y29:AA29,AF29:AH29,AM29:AO29,AT29:AV29,BA29:BC29,BH29:BJ29,BO29:BQ29,BV29:BX29,CC29:CE29,CJ29:CL29,CQ29:CS29,CX29:CZ29,DE29:DG29)</f>
        <v>0</v>
      </c>
      <c r="DS29" s="258">
        <f t="shared" ref="DS29:DS92" si="33">IF(COUNTA(D29,K29,R29,Y29,AF29,AM29,AT29,BA29,BH29,BO29,BV29,CC29,CJ29,CQ29,CX29,DE29)&gt;0,$B$189,0)</f>
        <v>0</v>
      </c>
      <c r="DT29" s="258">
        <f t="shared" ref="DT29:DT92" si="34">IF(COUNTA(E29,L29,S29,Z29,AG29,AN29,AU29,BB29,BI29,BP29,BW29,CD29,CK29,CR29,CY29,DF29)&gt;0,$B$190,0)</f>
        <v>0</v>
      </c>
      <c r="DU29" s="258">
        <f t="shared" ref="DU29:DU92" si="35">IF(COUNTA(F29,M29,T29,AA29,AH29,AO29,AV29,BC29,BJ29,BQ29,BX29,CE29,CL29,CS29,CZ29,DG29)&gt;0,$B$191,0)</f>
        <v>0</v>
      </c>
      <c r="DV29" s="259">
        <f t="shared" ref="DV29:DV92" si="36">IF(DU29&gt;DT29,DU29,IF(DT29&gt;DS29,DT29,DS29))</f>
        <v>0</v>
      </c>
      <c r="DW29" s="259">
        <f t="shared" ref="DW29:DW92" si="37">IF(DR29=0,0,DV29/DR29)</f>
        <v>0</v>
      </c>
    </row>
    <row r="30" spans="1:129" s="194" customFormat="1" ht="25.5" x14ac:dyDescent="0.2">
      <c r="A30" s="239">
        <v>3</v>
      </c>
      <c r="B30" s="240" t="s">
        <v>969</v>
      </c>
      <c r="C30" s="260"/>
      <c r="D30" s="261"/>
      <c r="E30" s="262"/>
      <c r="F30" s="263"/>
      <c r="G30" s="245" t="s">
        <v>968</v>
      </c>
      <c r="H30" s="246">
        <f t="shared" si="0"/>
        <v>0</v>
      </c>
      <c r="I30" s="247">
        <f t="shared" si="1"/>
        <v>0</v>
      </c>
      <c r="J30" s="264"/>
      <c r="K30" s="265"/>
      <c r="L30" s="265"/>
      <c r="M30" s="266"/>
      <c r="N30" s="251" t="s">
        <v>968</v>
      </c>
      <c r="O30" s="246">
        <f t="shared" si="2"/>
        <v>0</v>
      </c>
      <c r="P30" s="247">
        <f t="shared" si="3"/>
        <v>0</v>
      </c>
      <c r="Q30" s="264"/>
      <c r="R30" s="265"/>
      <c r="S30" s="265"/>
      <c r="T30" s="266"/>
      <c r="U30" s="251" t="s">
        <v>968</v>
      </c>
      <c r="V30" s="246">
        <f t="shared" si="4"/>
        <v>0</v>
      </c>
      <c r="W30" s="247">
        <f t="shared" si="5"/>
        <v>0</v>
      </c>
      <c r="X30" s="264"/>
      <c r="Y30" s="265"/>
      <c r="Z30" s="265"/>
      <c r="AA30" s="266"/>
      <c r="AB30" s="251" t="s">
        <v>968</v>
      </c>
      <c r="AC30" s="246">
        <f t="shared" si="6"/>
        <v>0</v>
      </c>
      <c r="AD30" s="247">
        <f t="shared" si="7"/>
        <v>0</v>
      </c>
      <c r="AE30" s="264"/>
      <c r="AF30" s="267"/>
      <c r="AG30" s="265"/>
      <c r="AH30" s="266"/>
      <c r="AI30" s="251" t="s">
        <v>968</v>
      </c>
      <c r="AJ30" s="246">
        <f t="shared" si="8"/>
        <v>0</v>
      </c>
      <c r="AK30" s="247">
        <f t="shared" si="9"/>
        <v>0</v>
      </c>
      <c r="AL30" s="268"/>
      <c r="AM30" s="265"/>
      <c r="AN30" s="265"/>
      <c r="AO30" s="269"/>
      <c r="AP30" s="251"/>
      <c r="AQ30" s="246">
        <f t="shared" si="10"/>
        <v>0</v>
      </c>
      <c r="AR30" s="247">
        <f t="shared" si="11"/>
        <v>0</v>
      </c>
      <c r="AS30" s="268"/>
      <c r="AT30" s="265"/>
      <c r="AU30" s="265"/>
      <c r="AV30" s="269"/>
      <c r="AW30" s="251"/>
      <c r="AX30" s="246">
        <f t="shared" si="12"/>
        <v>0</v>
      </c>
      <c r="AY30" s="247">
        <f t="shared" si="13"/>
        <v>0</v>
      </c>
      <c r="AZ30" s="268"/>
      <c r="BA30" s="265"/>
      <c r="BB30" s="265"/>
      <c r="BC30" s="269"/>
      <c r="BD30" s="251"/>
      <c r="BE30" s="246">
        <f t="shared" si="14"/>
        <v>0</v>
      </c>
      <c r="BF30" s="247">
        <f t="shared" si="15"/>
        <v>0</v>
      </c>
      <c r="BG30" s="268"/>
      <c r="BH30" s="265"/>
      <c r="BI30" s="265"/>
      <c r="BJ30" s="269"/>
      <c r="BK30" s="251"/>
      <c r="BL30" s="246">
        <f t="shared" si="16"/>
        <v>0</v>
      </c>
      <c r="BM30" s="247">
        <f t="shared" si="17"/>
        <v>0</v>
      </c>
      <c r="BN30" s="268"/>
      <c r="BO30" s="265"/>
      <c r="BP30" s="265"/>
      <c r="BQ30" s="269"/>
      <c r="BR30" s="251"/>
      <c r="BS30" s="246">
        <f t="shared" si="18"/>
        <v>0</v>
      </c>
      <c r="BT30" s="247">
        <f t="shared" si="19"/>
        <v>0</v>
      </c>
      <c r="BU30" s="268"/>
      <c r="BV30" s="265"/>
      <c r="BW30" s="265"/>
      <c r="BX30" s="269"/>
      <c r="BY30" s="251"/>
      <c r="BZ30" s="246">
        <f t="shared" si="20"/>
        <v>0</v>
      </c>
      <c r="CA30" s="247">
        <f t="shared" si="21"/>
        <v>0</v>
      </c>
      <c r="CB30" s="268"/>
      <c r="CC30" s="265"/>
      <c r="CD30" s="265"/>
      <c r="CE30" s="269"/>
      <c r="CF30" s="251"/>
      <c r="CG30" s="246">
        <f t="shared" si="22"/>
        <v>0</v>
      </c>
      <c r="CH30" s="247">
        <f t="shared" si="23"/>
        <v>0</v>
      </c>
      <c r="CI30" s="254"/>
      <c r="CJ30" s="265"/>
      <c r="CK30" s="265"/>
      <c r="CL30" s="265"/>
      <c r="CM30" s="251"/>
      <c r="CN30" s="246">
        <f t="shared" si="24"/>
        <v>0</v>
      </c>
      <c r="CO30" s="247">
        <f t="shared" si="25"/>
        <v>0</v>
      </c>
      <c r="CP30" s="268"/>
      <c r="CQ30" s="265"/>
      <c r="CR30" s="265"/>
      <c r="CS30" s="269"/>
      <c r="CT30" s="251"/>
      <c r="CU30" s="246">
        <f t="shared" si="26"/>
        <v>0</v>
      </c>
      <c r="CV30" s="247">
        <f t="shared" si="27"/>
        <v>0</v>
      </c>
      <c r="CW30" s="268"/>
      <c r="CX30" s="265"/>
      <c r="CY30" s="265"/>
      <c r="CZ30" s="269"/>
      <c r="DA30" s="251"/>
      <c r="DB30" s="246">
        <f t="shared" si="28"/>
        <v>0</v>
      </c>
      <c r="DC30" s="247">
        <f t="shared" si="29"/>
        <v>0</v>
      </c>
      <c r="DD30" s="268"/>
      <c r="DE30" s="265"/>
      <c r="DF30" s="265"/>
      <c r="DG30" s="269"/>
      <c r="DH30" s="251"/>
      <c r="DI30" s="246">
        <f t="shared" si="30"/>
        <v>0</v>
      </c>
      <c r="DJ30" s="255">
        <f t="shared" si="31"/>
        <v>0</v>
      </c>
      <c r="DK30" s="209"/>
      <c r="DL30" s="220"/>
      <c r="DM30" s="221"/>
      <c r="DO30" s="256"/>
      <c r="DP30" s="257"/>
      <c r="DR30" s="258">
        <f t="shared" si="32"/>
        <v>0</v>
      </c>
      <c r="DS30" s="258">
        <f t="shared" si="33"/>
        <v>0</v>
      </c>
      <c r="DT30" s="258">
        <f t="shared" si="34"/>
        <v>0</v>
      </c>
      <c r="DU30" s="258">
        <f t="shared" si="35"/>
        <v>0</v>
      </c>
      <c r="DV30" s="259">
        <f t="shared" si="36"/>
        <v>0</v>
      </c>
      <c r="DW30" s="259">
        <f t="shared" si="37"/>
        <v>0</v>
      </c>
    </row>
    <row r="31" spans="1:129" s="194" customFormat="1" ht="12.75" customHeight="1" x14ac:dyDescent="0.2">
      <c r="A31" s="239">
        <v>4</v>
      </c>
      <c r="B31" s="240" t="s">
        <v>970</v>
      </c>
      <c r="C31" s="260"/>
      <c r="D31" s="261"/>
      <c r="E31" s="262"/>
      <c r="F31" s="263"/>
      <c r="G31" s="245" t="s">
        <v>968</v>
      </c>
      <c r="H31" s="246">
        <f>IF(D31&lt;&gt;"",$B$189,IF(E31&lt;&gt;"",$B$190,IF(F31&lt;&gt;"",$B$191,0)))</f>
        <v>0</v>
      </c>
      <c r="I31" s="247">
        <f t="shared" si="1"/>
        <v>0</v>
      </c>
      <c r="J31" s="264"/>
      <c r="K31" s="265"/>
      <c r="L31" s="265"/>
      <c r="M31" s="266"/>
      <c r="N31" s="251" t="s">
        <v>968</v>
      </c>
      <c r="O31" s="246">
        <f t="shared" si="2"/>
        <v>0</v>
      </c>
      <c r="P31" s="247">
        <f t="shared" si="3"/>
        <v>0</v>
      </c>
      <c r="Q31" s="264"/>
      <c r="R31" s="265"/>
      <c r="S31" s="265"/>
      <c r="T31" s="266"/>
      <c r="U31" s="251" t="s">
        <v>968</v>
      </c>
      <c r="V31" s="246">
        <f t="shared" si="4"/>
        <v>0</v>
      </c>
      <c r="W31" s="247">
        <f t="shared" si="5"/>
        <v>0</v>
      </c>
      <c r="X31" s="264"/>
      <c r="Y31" s="265"/>
      <c r="Z31" s="265"/>
      <c r="AA31" s="266"/>
      <c r="AB31" s="251" t="s">
        <v>968</v>
      </c>
      <c r="AC31" s="246">
        <f t="shared" si="6"/>
        <v>0</v>
      </c>
      <c r="AD31" s="247">
        <f t="shared" si="7"/>
        <v>0</v>
      </c>
      <c r="AE31" s="264"/>
      <c r="AF31" s="267"/>
      <c r="AG31" s="265"/>
      <c r="AH31" s="270"/>
      <c r="AI31" s="251" t="s">
        <v>968</v>
      </c>
      <c r="AJ31" s="246">
        <f t="shared" si="8"/>
        <v>0</v>
      </c>
      <c r="AK31" s="247">
        <f t="shared" si="9"/>
        <v>0</v>
      </c>
      <c r="AL31" s="268"/>
      <c r="AM31" s="265"/>
      <c r="AN31" s="265"/>
      <c r="AO31" s="269"/>
      <c r="AP31" s="251"/>
      <c r="AQ31" s="246">
        <f t="shared" si="10"/>
        <v>0</v>
      </c>
      <c r="AR31" s="247">
        <f t="shared" si="11"/>
        <v>0</v>
      </c>
      <c r="AS31" s="268"/>
      <c r="AT31" s="265"/>
      <c r="AU31" s="265"/>
      <c r="AV31" s="269"/>
      <c r="AW31" s="251"/>
      <c r="AX31" s="246">
        <f t="shared" si="12"/>
        <v>0</v>
      </c>
      <c r="AY31" s="247">
        <f t="shared" si="13"/>
        <v>0</v>
      </c>
      <c r="AZ31" s="268"/>
      <c r="BA31" s="265"/>
      <c r="BB31" s="265"/>
      <c r="BC31" s="269"/>
      <c r="BD31" s="251"/>
      <c r="BE31" s="246">
        <f t="shared" si="14"/>
        <v>0</v>
      </c>
      <c r="BF31" s="247">
        <f t="shared" si="15"/>
        <v>0</v>
      </c>
      <c r="BG31" s="268"/>
      <c r="BH31" s="265"/>
      <c r="BI31" s="265"/>
      <c r="BJ31" s="269"/>
      <c r="BK31" s="251"/>
      <c r="BL31" s="246">
        <f t="shared" si="16"/>
        <v>0</v>
      </c>
      <c r="BM31" s="247">
        <f t="shared" si="17"/>
        <v>0</v>
      </c>
      <c r="BN31" s="268"/>
      <c r="BO31" s="265"/>
      <c r="BP31" s="265"/>
      <c r="BQ31" s="269"/>
      <c r="BR31" s="251"/>
      <c r="BS31" s="246">
        <f t="shared" si="18"/>
        <v>0</v>
      </c>
      <c r="BT31" s="247">
        <f t="shared" si="19"/>
        <v>0</v>
      </c>
      <c r="BU31" s="268"/>
      <c r="BV31" s="265"/>
      <c r="BW31" s="265"/>
      <c r="BX31" s="269"/>
      <c r="BY31" s="251"/>
      <c r="BZ31" s="246">
        <f t="shared" si="20"/>
        <v>0</v>
      </c>
      <c r="CA31" s="247">
        <f t="shared" si="21"/>
        <v>0</v>
      </c>
      <c r="CB31" s="268"/>
      <c r="CC31" s="265"/>
      <c r="CD31" s="265"/>
      <c r="CE31" s="269"/>
      <c r="CF31" s="251"/>
      <c r="CG31" s="246">
        <f t="shared" si="22"/>
        <v>0</v>
      </c>
      <c r="CH31" s="247">
        <f t="shared" si="23"/>
        <v>0</v>
      </c>
      <c r="CI31" s="254"/>
      <c r="CJ31" s="265"/>
      <c r="CK31" s="265"/>
      <c r="CL31" s="265"/>
      <c r="CM31" s="251"/>
      <c r="CN31" s="246">
        <f t="shared" si="24"/>
        <v>0</v>
      </c>
      <c r="CO31" s="247">
        <f t="shared" si="25"/>
        <v>0</v>
      </c>
      <c r="CP31" s="268"/>
      <c r="CQ31" s="265"/>
      <c r="CR31" s="265"/>
      <c r="CS31" s="269"/>
      <c r="CT31" s="251"/>
      <c r="CU31" s="246">
        <f t="shared" si="26"/>
        <v>0</v>
      </c>
      <c r="CV31" s="247">
        <f t="shared" si="27"/>
        <v>0</v>
      </c>
      <c r="CW31" s="268"/>
      <c r="CX31" s="265"/>
      <c r="CY31" s="265"/>
      <c r="CZ31" s="269"/>
      <c r="DA31" s="251"/>
      <c r="DB31" s="246">
        <f t="shared" si="28"/>
        <v>0</v>
      </c>
      <c r="DC31" s="247">
        <f t="shared" si="29"/>
        <v>0</v>
      </c>
      <c r="DD31" s="268"/>
      <c r="DE31" s="265"/>
      <c r="DF31" s="265"/>
      <c r="DG31" s="269"/>
      <c r="DH31" s="251"/>
      <c r="DI31" s="246">
        <f t="shared" si="30"/>
        <v>0</v>
      </c>
      <c r="DJ31" s="255">
        <f t="shared" si="31"/>
        <v>0</v>
      </c>
      <c r="DK31" s="209"/>
      <c r="DL31" s="220"/>
      <c r="DM31" s="221"/>
      <c r="DO31" s="256"/>
      <c r="DP31" s="257"/>
      <c r="DR31" s="258">
        <f t="shared" si="32"/>
        <v>0</v>
      </c>
      <c r="DS31" s="258">
        <f t="shared" si="33"/>
        <v>0</v>
      </c>
      <c r="DT31" s="258">
        <f t="shared" si="34"/>
        <v>0</v>
      </c>
      <c r="DU31" s="258">
        <f t="shared" si="35"/>
        <v>0</v>
      </c>
      <c r="DV31" s="259">
        <f t="shared" si="36"/>
        <v>0</v>
      </c>
      <c r="DW31" s="259">
        <f t="shared" si="37"/>
        <v>0</v>
      </c>
    </row>
    <row r="32" spans="1:129" s="194" customFormat="1" ht="12.75" customHeight="1" x14ac:dyDescent="0.2">
      <c r="A32" s="239">
        <v>5</v>
      </c>
      <c r="B32" s="240" t="s">
        <v>971</v>
      </c>
      <c r="C32" s="241"/>
      <c r="D32" s="271"/>
      <c r="E32" s="272"/>
      <c r="F32" s="244"/>
      <c r="G32" s="245" t="s">
        <v>968</v>
      </c>
      <c r="H32" s="246">
        <f t="shared" si="0"/>
        <v>0</v>
      </c>
      <c r="I32" s="247">
        <f t="shared" si="1"/>
        <v>0</v>
      </c>
      <c r="J32" s="254"/>
      <c r="K32" s="250"/>
      <c r="L32" s="250"/>
      <c r="M32" s="221"/>
      <c r="N32" s="251"/>
      <c r="O32" s="246">
        <f t="shared" si="2"/>
        <v>0</v>
      </c>
      <c r="P32" s="247">
        <f t="shared" si="3"/>
        <v>0</v>
      </c>
      <c r="Q32" s="254"/>
      <c r="R32" s="250"/>
      <c r="S32" s="250"/>
      <c r="T32" s="221"/>
      <c r="U32" s="251"/>
      <c r="V32" s="246">
        <f t="shared" si="4"/>
        <v>0</v>
      </c>
      <c r="W32" s="247">
        <f t="shared" si="5"/>
        <v>0</v>
      </c>
      <c r="X32" s="254"/>
      <c r="Y32" s="250"/>
      <c r="Z32" s="250"/>
      <c r="AA32" s="221"/>
      <c r="AB32" s="251"/>
      <c r="AC32" s="246">
        <f t="shared" si="6"/>
        <v>0</v>
      </c>
      <c r="AD32" s="247">
        <f t="shared" si="7"/>
        <v>0</v>
      </c>
      <c r="AE32" s="254"/>
      <c r="AF32" s="273"/>
      <c r="AG32" s="250"/>
      <c r="AH32" s="221"/>
      <c r="AI32" s="251"/>
      <c r="AJ32" s="246">
        <f t="shared" si="8"/>
        <v>0</v>
      </c>
      <c r="AK32" s="247">
        <f t="shared" si="9"/>
        <v>0</v>
      </c>
      <c r="AL32" s="254"/>
      <c r="AM32" s="250"/>
      <c r="AN32" s="250"/>
      <c r="AO32" s="221"/>
      <c r="AP32" s="251"/>
      <c r="AQ32" s="246">
        <f t="shared" si="10"/>
        <v>0</v>
      </c>
      <c r="AR32" s="247">
        <f t="shared" si="11"/>
        <v>0</v>
      </c>
      <c r="AS32" s="254"/>
      <c r="AT32" s="250"/>
      <c r="AU32" s="250"/>
      <c r="AV32" s="221"/>
      <c r="AW32" s="251"/>
      <c r="AX32" s="246">
        <f t="shared" si="12"/>
        <v>0</v>
      </c>
      <c r="AY32" s="247">
        <f t="shared" si="13"/>
        <v>0</v>
      </c>
      <c r="AZ32" s="254"/>
      <c r="BA32" s="250"/>
      <c r="BB32" s="250"/>
      <c r="BC32" s="221"/>
      <c r="BD32" s="251"/>
      <c r="BE32" s="246">
        <f t="shared" si="14"/>
        <v>0</v>
      </c>
      <c r="BF32" s="247">
        <f t="shared" si="15"/>
        <v>0</v>
      </c>
      <c r="BG32" s="254"/>
      <c r="BH32" s="250"/>
      <c r="BI32" s="250"/>
      <c r="BJ32" s="221"/>
      <c r="BK32" s="251"/>
      <c r="BL32" s="246">
        <f t="shared" si="16"/>
        <v>0</v>
      </c>
      <c r="BM32" s="247">
        <f t="shared" si="17"/>
        <v>0</v>
      </c>
      <c r="BN32" s="254"/>
      <c r="BO32" s="250"/>
      <c r="BP32" s="250"/>
      <c r="BQ32" s="221"/>
      <c r="BR32" s="251"/>
      <c r="BS32" s="246">
        <f t="shared" si="18"/>
        <v>0</v>
      </c>
      <c r="BT32" s="247">
        <f t="shared" si="19"/>
        <v>0</v>
      </c>
      <c r="BU32" s="254"/>
      <c r="BV32" s="250"/>
      <c r="BW32" s="250"/>
      <c r="BX32" s="221"/>
      <c r="BY32" s="251"/>
      <c r="BZ32" s="246">
        <f t="shared" si="20"/>
        <v>0</v>
      </c>
      <c r="CA32" s="247">
        <f t="shared" si="21"/>
        <v>0</v>
      </c>
      <c r="CB32" s="254"/>
      <c r="CC32" s="250"/>
      <c r="CD32" s="250"/>
      <c r="CE32" s="221"/>
      <c r="CF32" s="251"/>
      <c r="CG32" s="246">
        <f t="shared" si="22"/>
        <v>0</v>
      </c>
      <c r="CH32" s="247">
        <f t="shared" si="23"/>
        <v>0</v>
      </c>
      <c r="CI32" s="254"/>
      <c r="CJ32" s="250"/>
      <c r="CK32" s="250"/>
      <c r="CL32" s="250"/>
      <c r="CM32" s="251"/>
      <c r="CN32" s="246">
        <f t="shared" si="24"/>
        <v>0</v>
      </c>
      <c r="CO32" s="247">
        <f t="shared" si="25"/>
        <v>0</v>
      </c>
      <c r="CP32" s="254"/>
      <c r="CQ32" s="250"/>
      <c r="CR32" s="250"/>
      <c r="CS32" s="221"/>
      <c r="CT32" s="251"/>
      <c r="CU32" s="246">
        <f t="shared" si="26"/>
        <v>0</v>
      </c>
      <c r="CV32" s="247">
        <f t="shared" si="27"/>
        <v>0</v>
      </c>
      <c r="CW32" s="254"/>
      <c r="CX32" s="250"/>
      <c r="CY32" s="250"/>
      <c r="CZ32" s="221"/>
      <c r="DA32" s="251"/>
      <c r="DB32" s="246">
        <f t="shared" si="28"/>
        <v>0</v>
      </c>
      <c r="DC32" s="247">
        <f t="shared" si="29"/>
        <v>0</v>
      </c>
      <c r="DD32" s="254"/>
      <c r="DE32" s="250"/>
      <c r="DF32" s="250"/>
      <c r="DG32" s="221"/>
      <c r="DH32" s="251"/>
      <c r="DI32" s="246">
        <f t="shared" si="30"/>
        <v>0</v>
      </c>
      <c r="DJ32" s="255">
        <f t="shared" si="31"/>
        <v>0</v>
      </c>
      <c r="DK32" s="209"/>
      <c r="DL32" s="220"/>
      <c r="DM32" s="221"/>
      <c r="DO32" s="256"/>
      <c r="DP32" s="257"/>
      <c r="DR32" s="258">
        <f t="shared" si="32"/>
        <v>0</v>
      </c>
      <c r="DS32" s="258">
        <f t="shared" si="33"/>
        <v>0</v>
      </c>
      <c r="DT32" s="258">
        <f t="shared" si="34"/>
        <v>0</v>
      </c>
      <c r="DU32" s="258">
        <f t="shared" si="35"/>
        <v>0</v>
      </c>
      <c r="DV32" s="259">
        <f t="shared" si="36"/>
        <v>0</v>
      </c>
      <c r="DW32" s="259">
        <f t="shared" si="37"/>
        <v>0</v>
      </c>
    </row>
    <row r="33" spans="1:127" s="194" customFormat="1" ht="15.75" x14ac:dyDescent="0.2">
      <c r="A33" s="239">
        <v>6</v>
      </c>
      <c r="B33" s="240" t="s">
        <v>972</v>
      </c>
      <c r="C33" s="241"/>
      <c r="D33" s="271"/>
      <c r="E33" s="272"/>
      <c r="F33" s="244"/>
      <c r="G33" s="245" t="s">
        <v>968</v>
      </c>
      <c r="H33" s="246">
        <f t="shared" si="0"/>
        <v>0</v>
      </c>
      <c r="I33" s="247">
        <f t="shared" si="1"/>
        <v>0</v>
      </c>
      <c r="J33" s="254"/>
      <c r="K33" s="250"/>
      <c r="L33" s="250"/>
      <c r="M33" s="221"/>
      <c r="N33" s="251"/>
      <c r="O33" s="246">
        <f t="shared" si="2"/>
        <v>0</v>
      </c>
      <c r="P33" s="247">
        <f t="shared" si="3"/>
        <v>0</v>
      </c>
      <c r="Q33" s="254"/>
      <c r="R33" s="250"/>
      <c r="S33" s="250"/>
      <c r="T33" s="221"/>
      <c r="U33" s="251"/>
      <c r="V33" s="246">
        <f t="shared" si="4"/>
        <v>0</v>
      </c>
      <c r="W33" s="247">
        <f t="shared" si="5"/>
        <v>0</v>
      </c>
      <c r="X33" s="254"/>
      <c r="Y33" s="250"/>
      <c r="Z33" s="250"/>
      <c r="AA33" s="221"/>
      <c r="AB33" s="251"/>
      <c r="AC33" s="246">
        <f t="shared" si="6"/>
        <v>0</v>
      </c>
      <c r="AD33" s="247">
        <f t="shared" si="7"/>
        <v>0</v>
      </c>
      <c r="AE33" s="254"/>
      <c r="AF33" s="273"/>
      <c r="AG33" s="250"/>
      <c r="AH33" s="221"/>
      <c r="AI33" s="251"/>
      <c r="AJ33" s="246">
        <f t="shared" si="8"/>
        <v>0</v>
      </c>
      <c r="AK33" s="247">
        <f t="shared" si="9"/>
        <v>0</v>
      </c>
      <c r="AL33" s="254"/>
      <c r="AM33" s="250"/>
      <c r="AN33" s="250"/>
      <c r="AO33" s="221"/>
      <c r="AP33" s="251"/>
      <c r="AQ33" s="246">
        <f t="shared" si="10"/>
        <v>0</v>
      </c>
      <c r="AR33" s="247">
        <f t="shared" si="11"/>
        <v>0</v>
      </c>
      <c r="AS33" s="254"/>
      <c r="AT33" s="250"/>
      <c r="AU33" s="250"/>
      <c r="AV33" s="221"/>
      <c r="AW33" s="251"/>
      <c r="AX33" s="246">
        <f t="shared" si="12"/>
        <v>0</v>
      </c>
      <c r="AY33" s="247">
        <f t="shared" si="13"/>
        <v>0</v>
      </c>
      <c r="AZ33" s="254"/>
      <c r="BA33" s="250"/>
      <c r="BB33" s="250"/>
      <c r="BC33" s="221"/>
      <c r="BD33" s="251"/>
      <c r="BE33" s="246">
        <f t="shared" si="14"/>
        <v>0</v>
      </c>
      <c r="BF33" s="247">
        <f t="shared" si="15"/>
        <v>0</v>
      </c>
      <c r="BG33" s="254"/>
      <c r="BH33" s="250"/>
      <c r="BI33" s="250"/>
      <c r="BJ33" s="221"/>
      <c r="BK33" s="251"/>
      <c r="BL33" s="246">
        <f t="shared" si="16"/>
        <v>0</v>
      </c>
      <c r="BM33" s="247">
        <f t="shared" si="17"/>
        <v>0</v>
      </c>
      <c r="BN33" s="254"/>
      <c r="BO33" s="250"/>
      <c r="BP33" s="250"/>
      <c r="BQ33" s="221"/>
      <c r="BR33" s="251"/>
      <c r="BS33" s="246">
        <f t="shared" si="18"/>
        <v>0</v>
      </c>
      <c r="BT33" s="247">
        <f t="shared" si="19"/>
        <v>0</v>
      </c>
      <c r="BU33" s="254"/>
      <c r="BV33" s="250"/>
      <c r="BW33" s="250"/>
      <c r="BX33" s="221"/>
      <c r="BY33" s="251"/>
      <c r="BZ33" s="246">
        <f t="shared" si="20"/>
        <v>0</v>
      </c>
      <c r="CA33" s="247">
        <f t="shared" si="21"/>
        <v>0</v>
      </c>
      <c r="CB33" s="254"/>
      <c r="CC33" s="250"/>
      <c r="CD33" s="250"/>
      <c r="CE33" s="221"/>
      <c r="CF33" s="251"/>
      <c r="CG33" s="246">
        <f t="shared" si="22"/>
        <v>0</v>
      </c>
      <c r="CH33" s="247">
        <f t="shared" si="23"/>
        <v>0</v>
      </c>
      <c r="CI33" s="254"/>
      <c r="CJ33" s="250"/>
      <c r="CK33" s="250"/>
      <c r="CL33" s="250"/>
      <c r="CM33" s="251"/>
      <c r="CN33" s="246">
        <f t="shared" si="24"/>
        <v>0</v>
      </c>
      <c r="CO33" s="247">
        <f t="shared" si="25"/>
        <v>0</v>
      </c>
      <c r="CP33" s="254"/>
      <c r="CQ33" s="250"/>
      <c r="CR33" s="250"/>
      <c r="CS33" s="221"/>
      <c r="CT33" s="251"/>
      <c r="CU33" s="246">
        <f t="shared" si="26"/>
        <v>0</v>
      </c>
      <c r="CV33" s="247">
        <f t="shared" si="27"/>
        <v>0</v>
      </c>
      <c r="CW33" s="254"/>
      <c r="CX33" s="250"/>
      <c r="CY33" s="250"/>
      <c r="CZ33" s="221"/>
      <c r="DA33" s="251"/>
      <c r="DB33" s="246">
        <f t="shared" si="28"/>
        <v>0</v>
      </c>
      <c r="DC33" s="247">
        <f t="shared" si="29"/>
        <v>0</v>
      </c>
      <c r="DD33" s="254"/>
      <c r="DE33" s="250"/>
      <c r="DF33" s="250"/>
      <c r="DG33" s="221"/>
      <c r="DH33" s="251"/>
      <c r="DI33" s="246">
        <f t="shared" si="30"/>
        <v>0</v>
      </c>
      <c r="DJ33" s="255">
        <f t="shared" si="31"/>
        <v>0</v>
      </c>
      <c r="DK33" s="209"/>
      <c r="DL33" s="220"/>
      <c r="DM33" s="221"/>
      <c r="DO33" s="256"/>
      <c r="DP33" s="257"/>
      <c r="DR33" s="258">
        <f t="shared" si="32"/>
        <v>0</v>
      </c>
      <c r="DS33" s="258">
        <f t="shared" si="33"/>
        <v>0</v>
      </c>
      <c r="DT33" s="258">
        <f t="shared" si="34"/>
        <v>0</v>
      </c>
      <c r="DU33" s="258">
        <f t="shared" si="35"/>
        <v>0</v>
      </c>
      <c r="DV33" s="259">
        <f t="shared" si="36"/>
        <v>0</v>
      </c>
      <c r="DW33" s="259">
        <f t="shared" si="37"/>
        <v>0</v>
      </c>
    </row>
    <row r="34" spans="1:127" s="194" customFormat="1" ht="15.75" x14ac:dyDescent="0.2">
      <c r="A34" s="239">
        <v>7</v>
      </c>
      <c r="B34" s="240" t="s">
        <v>973</v>
      </c>
      <c r="C34" s="241"/>
      <c r="D34" s="271"/>
      <c r="E34" s="272"/>
      <c r="F34" s="263"/>
      <c r="G34" s="245" t="s">
        <v>968</v>
      </c>
      <c r="H34" s="246">
        <f t="shared" si="0"/>
        <v>0</v>
      </c>
      <c r="I34" s="247">
        <f t="shared" si="1"/>
        <v>0</v>
      </c>
      <c r="J34" s="248"/>
      <c r="K34" s="250"/>
      <c r="L34" s="250"/>
      <c r="M34" s="266"/>
      <c r="N34" s="251" t="s">
        <v>968</v>
      </c>
      <c r="O34" s="246">
        <f t="shared" si="2"/>
        <v>0</v>
      </c>
      <c r="P34" s="247">
        <f t="shared" si="3"/>
        <v>0</v>
      </c>
      <c r="Q34" s="248"/>
      <c r="R34" s="250"/>
      <c r="S34" s="250"/>
      <c r="T34" s="266"/>
      <c r="U34" s="251" t="s">
        <v>968</v>
      </c>
      <c r="V34" s="246">
        <f t="shared" si="4"/>
        <v>0</v>
      </c>
      <c r="W34" s="247">
        <f t="shared" si="5"/>
        <v>0</v>
      </c>
      <c r="X34" s="248"/>
      <c r="Y34" s="250"/>
      <c r="Z34" s="250"/>
      <c r="AA34" s="266"/>
      <c r="AB34" s="251" t="s">
        <v>968</v>
      </c>
      <c r="AC34" s="246">
        <f t="shared" si="6"/>
        <v>0</v>
      </c>
      <c r="AD34" s="247">
        <f t="shared" si="7"/>
        <v>0</v>
      </c>
      <c r="AE34" s="248"/>
      <c r="AF34" s="273"/>
      <c r="AG34" s="250"/>
      <c r="AH34" s="266"/>
      <c r="AI34" s="251" t="s">
        <v>968</v>
      </c>
      <c r="AJ34" s="246">
        <f t="shared" si="8"/>
        <v>0</v>
      </c>
      <c r="AK34" s="247">
        <f t="shared" si="9"/>
        <v>0</v>
      </c>
      <c r="AL34" s="248"/>
      <c r="AM34" s="250"/>
      <c r="AN34" s="250"/>
      <c r="AO34" s="266"/>
      <c r="AP34" s="251" t="s">
        <v>968</v>
      </c>
      <c r="AQ34" s="246">
        <f t="shared" si="10"/>
        <v>0</v>
      </c>
      <c r="AR34" s="247">
        <f t="shared" si="11"/>
        <v>0</v>
      </c>
      <c r="AS34" s="248"/>
      <c r="AT34" s="273"/>
      <c r="AU34" s="253"/>
      <c r="AV34" s="221"/>
      <c r="AW34" s="251" t="s">
        <v>968</v>
      </c>
      <c r="AX34" s="246">
        <f t="shared" si="12"/>
        <v>0</v>
      </c>
      <c r="AY34" s="247">
        <f t="shared" si="13"/>
        <v>0</v>
      </c>
      <c r="AZ34" s="248"/>
      <c r="BA34" s="250"/>
      <c r="BB34" s="253"/>
      <c r="BC34" s="221"/>
      <c r="BD34" s="251" t="s">
        <v>968</v>
      </c>
      <c r="BE34" s="246">
        <f t="shared" si="14"/>
        <v>0</v>
      </c>
      <c r="BF34" s="247">
        <f t="shared" si="15"/>
        <v>0</v>
      </c>
      <c r="BG34" s="248"/>
      <c r="BH34" s="273"/>
      <c r="BI34" s="253"/>
      <c r="BJ34" s="221"/>
      <c r="BK34" s="251" t="s">
        <v>968</v>
      </c>
      <c r="BL34" s="246">
        <f t="shared" si="16"/>
        <v>0</v>
      </c>
      <c r="BM34" s="247">
        <f t="shared" si="17"/>
        <v>0</v>
      </c>
      <c r="BN34" s="248"/>
      <c r="BO34" s="250"/>
      <c r="BP34" s="250"/>
      <c r="BQ34" s="266"/>
      <c r="BR34" s="251" t="s">
        <v>968</v>
      </c>
      <c r="BS34" s="246">
        <f t="shared" si="18"/>
        <v>0</v>
      </c>
      <c r="BT34" s="247">
        <f t="shared" si="19"/>
        <v>0</v>
      </c>
      <c r="BU34" s="248"/>
      <c r="BV34" s="250"/>
      <c r="BW34" s="250"/>
      <c r="BX34" s="266"/>
      <c r="BY34" s="251" t="s">
        <v>968</v>
      </c>
      <c r="BZ34" s="246">
        <f t="shared" si="20"/>
        <v>0</v>
      </c>
      <c r="CA34" s="247">
        <f t="shared" si="21"/>
        <v>0</v>
      </c>
      <c r="CB34" s="248"/>
      <c r="CC34" s="250"/>
      <c r="CD34" s="250"/>
      <c r="CE34" s="266"/>
      <c r="CF34" s="251" t="s">
        <v>968</v>
      </c>
      <c r="CG34" s="246">
        <f t="shared" si="22"/>
        <v>0</v>
      </c>
      <c r="CH34" s="247">
        <f t="shared" si="23"/>
        <v>0</v>
      </c>
      <c r="CI34" s="248"/>
      <c r="CJ34" s="250"/>
      <c r="CK34" s="250"/>
      <c r="CL34" s="274"/>
      <c r="CM34" s="251" t="s">
        <v>968</v>
      </c>
      <c r="CN34" s="246">
        <f t="shared" si="24"/>
        <v>0</v>
      </c>
      <c r="CO34" s="247">
        <f t="shared" si="25"/>
        <v>0</v>
      </c>
      <c r="CP34" s="248"/>
      <c r="CQ34" s="250"/>
      <c r="CR34" s="250"/>
      <c r="CS34" s="266"/>
      <c r="CT34" s="251" t="s">
        <v>968</v>
      </c>
      <c r="CU34" s="246">
        <f t="shared" si="26"/>
        <v>0</v>
      </c>
      <c r="CV34" s="247">
        <f t="shared" si="27"/>
        <v>0</v>
      </c>
      <c r="CW34" s="254"/>
      <c r="CX34" s="250"/>
      <c r="CY34" s="250"/>
      <c r="CZ34" s="221"/>
      <c r="DA34" s="251"/>
      <c r="DB34" s="246">
        <f t="shared" si="28"/>
        <v>0</v>
      </c>
      <c r="DC34" s="247">
        <f t="shared" si="29"/>
        <v>0</v>
      </c>
      <c r="DD34" s="248"/>
      <c r="DE34" s="250"/>
      <c r="DF34" s="250"/>
      <c r="DG34" s="266"/>
      <c r="DH34" s="251" t="s">
        <v>968</v>
      </c>
      <c r="DI34" s="246">
        <f t="shared" si="30"/>
        <v>0</v>
      </c>
      <c r="DJ34" s="255">
        <f t="shared" si="31"/>
        <v>0</v>
      </c>
      <c r="DK34" s="209"/>
      <c r="DL34" s="220"/>
      <c r="DM34" s="221"/>
      <c r="DO34" s="256"/>
      <c r="DP34" s="257"/>
      <c r="DR34" s="258">
        <f t="shared" si="32"/>
        <v>0</v>
      </c>
      <c r="DS34" s="258">
        <f t="shared" si="33"/>
        <v>0</v>
      </c>
      <c r="DT34" s="258">
        <f t="shared" si="34"/>
        <v>0</v>
      </c>
      <c r="DU34" s="258">
        <f t="shared" si="35"/>
        <v>0</v>
      </c>
      <c r="DV34" s="259">
        <f t="shared" si="36"/>
        <v>0</v>
      </c>
      <c r="DW34" s="259">
        <f t="shared" si="37"/>
        <v>0</v>
      </c>
    </row>
    <row r="35" spans="1:127" s="194" customFormat="1" ht="25.5" x14ac:dyDescent="0.2">
      <c r="A35" s="239">
        <v>8</v>
      </c>
      <c r="B35" s="240" t="s">
        <v>45</v>
      </c>
      <c r="C35" s="241"/>
      <c r="D35" s="242"/>
      <c r="E35" s="272"/>
      <c r="F35" s="244"/>
      <c r="G35" s="245" t="s">
        <v>968</v>
      </c>
      <c r="H35" s="246">
        <f t="shared" si="0"/>
        <v>0</v>
      </c>
      <c r="I35" s="247">
        <f t="shared" si="1"/>
        <v>0</v>
      </c>
      <c r="J35" s="248"/>
      <c r="K35" s="250"/>
      <c r="L35" s="253"/>
      <c r="M35" s="221"/>
      <c r="N35" s="251" t="s">
        <v>968</v>
      </c>
      <c r="O35" s="246">
        <f t="shared" si="2"/>
        <v>0</v>
      </c>
      <c r="P35" s="247">
        <f t="shared" si="3"/>
        <v>0</v>
      </c>
      <c r="Q35" s="248"/>
      <c r="R35" s="250"/>
      <c r="S35" s="253"/>
      <c r="T35" s="221"/>
      <c r="U35" s="251" t="s">
        <v>968</v>
      </c>
      <c r="V35" s="246">
        <f t="shared" si="4"/>
        <v>0</v>
      </c>
      <c r="W35" s="247">
        <f t="shared" si="5"/>
        <v>0</v>
      </c>
      <c r="X35" s="248"/>
      <c r="Y35" s="249"/>
      <c r="Z35" s="250"/>
      <c r="AA35" s="221"/>
      <c r="AB35" s="251" t="s">
        <v>968</v>
      </c>
      <c r="AC35" s="246">
        <f t="shared" si="6"/>
        <v>0</v>
      </c>
      <c r="AD35" s="247">
        <f t="shared" si="7"/>
        <v>0</v>
      </c>
      <c r="AE35" s="248"/>
      <c r="AF35" s="252"/>
      <c r="AG35" s="250"/>
      <c r="AH35" s="221"/>
      <c r="AI35" s="251" t="s">
        <v>968</v>
      </c>
      <c r="AJ35" s="246">
        <f t="shared" si="8"/>
        <v>0</v>
      </c>
      <c r="AK35" s="247">
        <f t="shared" si="9"/>
        <v>0</v>
      </c>
      <c r="AL35" s="248"/>
      <c r="AM35" s="249"/>
      <c r="AN35" s="250"/>
      <c r="AO35" s="221"/>
      <c r="AP35" s="251" t="s">
        <v>968</v>
      </c>
      <c r="AQ35" s="246">
        <f t="shared" si="10"/>
        <v>0</v>
      </c>
      <c r="AR35" s="247">
        <f t="shared" si="11"/>
        <v>0</v>
      </c>
      <c r="AS35" s="254"/>
      <c r="AT35" s="250"/>
      <c r="AU35" s="250"/>
      <c r="AV35" s="221"/>
      <c r="AW35" s="251"/>
      <c r="AX35" s="246">
        <f t="shared" si="12"/>
        <v>0</v>
      </c>
      <c r="AY35" s="247">
        <f t="shared" si="13"/>
        <v>0</v>
      </c>
      <c r="AZ35" s="254"/>
      <c r="BA35" s="250"/>
      <c r="BB35" s="250"/>
      <c r="BC35" s="221"/>
      <c r="BD35" s="251"/>
      <c r="BE35" s="246">
        <f t="shared" si="14"/>
        <v>0</v>
      </c>
      <c r="BF35" s="247">
        <f t="shared" si="15"/>
        <v>0</v>
      </c>
      <c r="BG35" s="254"/>
      <c r="BH35" s="250"/>
      <c r="BI35" s="250"/>
      <c r="BJ35" s="221"/>
      <c r="BK35" s="251"/>
      <c r="BL35" s="246">
        <f t="shared" si="16"/>
        <v>0</v>
      </c>
      <c r="BM35" s="247">
        <f t="shared" si="17"/>
        <v>0</v>
      </c>
      <c r="BN35" s="254"/>
      <c r="BO35" s="250"/>
      <c r="BP35" s="250"/>
      <c r="BQ35" s="221"/>
      <c r="BR35" s="251"/>
      <c r="BS35" s="246">
        <f t="shared" si="18"/>
        <v>0</v>
      </c>
      <c r="BT35" s="247">
        <f t="shared" si="19"/>
        <v>0</v>
      </c>
      <c r="BU35" s="254"/>
      <c r="BV35" s="250"/>
      <c r="BW35" s="250"/>
      <c r="BX35" s="221"/>
      <c r="BY35" s="251"/>
      <c r="BZ35" s="246">
        <f t="shared" si="20"/>
        <v>0</v>
      </c>
      <c r="CA35" s="247">
        <f t="shared" si="21"/>
        <v>0</v>
      </c>
      <c r="CB35" s="254"/>
      <c r="CC35" s="250"/>
      <c r="CD35" s="250"/>
      <c r="CE35" s="221"/>
      <c r="CF35" s="251"/>
      <c r="CG35" s="246">
        <f t="shared" si="22"/>
        <v>0</v>
      </c>
      <c r="CH35" s="247">
        <f t="shared" si="23"/>
        <v>0</v>
      </c>
      <c r="CI35" s="248"/>
      <c r="CJ35" s="250"/>
      <c r="CK35" s="250"/>
      <c r="CL35" s="274"/>
      <c r="CM35" s="251" t="s">
        <v>968</v>
      </c>
      <c r="CN35" s="246">
        <f t="shared" si="24"/>
        <v>0</v>
      </c>
      <c r="CO35" s="247">
        <f t="shared" si="25"/>
        <v>0</v>
      </c>
      <c r="CP35" s="254"/>
      <c r="CQ35" s="250"/>
      <c r="CR35" s="250"/>
      <c r="CS35" s="221"/>
      <c r="CT35" s="251"/>
      <c r="CU35" s="246">
        <f t="shared" si="26"/>
        <v>0</v>
      </c>
      <c r="CV35" s="247">
        <f t="shared" si="27"/>
        <v>0</v>
      </c>
      <c r="CW35" s="248"/>
      <c r="CX35" s="250"/>
      <c r="CY35" s="250"/>
      <c r="CZ35" s="266"/>
      <c r="DA35" s="251" t="s">
        <v>968</v>
      </c>
      <c r="DB35" s="246">
        <f t="shared" si="28"/>
        <v>0</v>
      </c>
      <c r="DC35" s="247">
        <f t="shared" si="29"/>
        <v>0</v>
      </c>
      <c r="DD35" s="248"/>
      <c r="DE35" s="250"/>
      <c r="DF35" s="253"/>
      <c r="DG35" s="221"/>
      <c r="DH35" s="251" t="s">
        <v>968</v>
      </c>
      <c r="DI35" s="246">
        <f t="shared" si="30"/>
        <v>0</v>
      </c>
      <c r="DJ35" s="255">
        <f t="shared" si="31"/>
        <v>0</v>
      </c>
      <c r="DK35" s="209"/>
      <c r="DL35" s="220"/>
      <c r="DM35" s="221"/>
      <c r="DO35" s="256"/>
      <c r="DP35" s="257"/>
      <c r="DR35" s="258">
        <f t="shared" si="32"/>
        <v>0</v>
      </c>
      <c r="DS35" s="258">
        <f t="shared" si="33"/>
        <v>0</v>
      </c>
      <c r="DT35" s="258">
        <f t="shared" si="34"/>
        <v>0</v>
      </c>
      <c r="DU35" s="258">
        <f t="shared" si="35"/>
        <v>0</v>
      </c>
      <c r="DV35" s="259">
        <f t="shared" si="36"/>
        <v>0</v>
      </c>
      <c r="DW35" s="259">
        <f t="shared" si="37"/>
        <v>0</v>
      </c>
    </row>
    <row r="36" spans="1:127" s="194" customFormat="1" ht="15.75" x14ac:dyDescent="0.2">
      <c r="A36" s="239">
        <v>9</v>
      </c>
      <c r="B36" s="240" t="s">
        <v>46</v>
      </c>
      <c r="C36" s="241"/>
      <c r="D36" s="242"/>
      <c r="E36" s="272"/>
      <c r="F36" s="244"/>
      <c r="G36" s="245" t="s">
        <v>968</v>
      </c>
      <c r="H36" s="246">
        <f t="shared" si="0"/>
        <v>0</v>
      </c>
      <c r="I36" s="247">
        <f t="shared" si="1"/>
        <v>0</v>
      </c>
      <c r="J36" s="248"/>
      <c r="K36" s="250"/>
      <c r="L36" s="253"/>
      <c r="M36" s="221"/>
      <c r="N36" s="251" t="s">
        <v>968</v>
      </c>
      <c r="O36" s="246">
        <f t="shared" si="2"/>
        <v>0</v>
      </c>
      <c r="P36" s="247">
        <f t="shared" si="3"/>
        <v>0</v>
      </c>
      <c r="Q36" s="248"/>
      <c r="R36" s="250"/>
      <c r="S36" s="253"/>
      <c r="T36" s="221"/>
      <c r="U36" s="251" t="s">
        <v>968</v>
      </c>
      <c r="V36" s="246">
        <f t="shared" si="4"/>
        <v>0</v>
      </c>
      <c r="W36" s="247">
        <f t="shared" si="5"/>
        <v>0</v>
      </c>
      <c r="X36" s="248"/>
      <c r="Y36" s="249"/>
      <c r="Z36" s="250"/>
      <c r="AA36" s="221"/>
      <c r="AB36" s="251" t="s">
        <v>968</v>
      </c>
      <c r="AC36" s="246">
        <f t="shared" si="6"/>
        <v>0</v>
      </c>
      <c r="AD36" s="247">
        <f t="shared" si="7"/>
        <v>0</v>
      </c>
      <c r="AE36" s="248"/>
      <c r="AF36" s="252"/>
      <c r="AG36" s="250"/>
      <c r="AH36" s="221"/>
      <c r="AI36" s="251" t="s">
        <v>968</v>
      </c>
      <c r="AJ36" s="246">
        <f t="shared" si="8"/>
        <v>0</v>
      </c>
      <c r="AK36" s="247">
        <f t="shared" si="9"/>
        <v>0</v>
      </c>
      <c r="AL36" s="248"/>
      <c r="AM36" s="249"/>
      <c r="AN36" s="250"/>
      <c r="AO36" s="221"/>
      <c r="AP36" s="251" t="s">
        <v>968</v>
      </c>
      <c r="AQ36" s="246">
        <f t="shared" si="10"/>
        <v>0</v>
      </c>
      <c r="AR36" s="247">
        <f t="shared" si="11"/>
        <v>0</v>
      </c>
      <c r="AS36" s="254"/>
      <c r="AT36" s="250"/>
      <c r="AU36" s="250"/>
      <c r="AV36" s="221"/>
      <c r="AW36" s="251"/>
      <c r="AX36" s="246">
        <f t="shared" si="12"/>
        <v>0</v>
      </c>
      <c r="AY36" s="247">
        <f t="shared" si="13"/>
        <v>0</v>
      </c>
      <c r="AZ36" s="254"/>
      <c r="BA36" s="250"/>
      <c r="BB36" s="250"/>
      <c r="BC36" s="221"/>
      <c r="BD36" s="251"/>
      <c r="BE36" s="246">
        <f t="shared" si="14"/>
        <v>0</v>
      </c>
      <c r="BF36" s="247">
        <f t="shared" si="15"/>
        <v>0</v>
      </c>
      <c r="BG36" s="254"/>
      <c r="BH36" s="250"/>
      <c r="BI36" s="250"/>
      <c r="BJ36" s="221"/>
      <c r="BK36" s="251"/>
      <c r="BL36" s="246">
        <f t="shared" si="16"/>
        <v>0</v>
      </c>
      <c r="BM36" s="247">
        <f t="shared" si="17"/>
        <v>0</v>
      </c>
      <c r="BN36" s="254"/>
      <c r="BO36" s="250"/>
      <c r="BP36" s="250"/>
      <c r="BQ36" s="221"/>
      <c r="BR36" s="251"/>
      <c r="BS36" s="246">
        <f t="shared" si="18"/>
        <v>0</v>
      </c>
      <c r="BT36" s="247">
        <f t="shared" si="19"/>
        <v>0</v>
      </c>
      <c r="BU36" s="254"/>
      <c r="BV36" s="250"/>
      <c r="BW36" s="250"/>
      <c r="BX36" s="221"/>
      <c r="BY36" s="251"/>
      <c r="BZ36" s="246">
        <f t="shared" si="20"/>
        <v>0</v>
      </c>
      <c r="CA36" s="247">
        <f t="shared" si="21"/>
        <v>0</v>
      </c>
      <c r="CB36" s="254"/>
      <c r="CC36" s="250"/>
      <c r="CD36" s="250"/>
      <c r="CE36" s="221"/>
      <c r="CF36" s="251"/>
      <c r="CG36" s="246">
        <f t="shared" si="22"/>
        <v>0</v>
      </c>
      <c r="CH36" s="247">
        <f t="shared" si="23"/>
        <v>0</v>
      </c>
      <c r="CI36" s="248"/>
      <c r="CJ36" s="250"/>
      <c r="CK36" s="250"/>
      <c r="CL36" s="274"/>
      <c r="CM36" s="251" t="s">
        <v>968</v>
      </c>
      <c r="CN36" s="246">
        <f t="shared" si="24"/>
        <v>0</v>
      </c>
      <c r="CO36" s="247">
        <f t="shared" si="25"/>
        <v>0</v>
      </c>
      <c r="CP36" s="254"/>
      <c r="CQ36" s="250"/>
      <c r="CR36" s="250"/>
      <c r="CS36" s="221"/>
      <c r="CT36" s="251"/>
      <c r="CU36" s="246">
        <f t="shared" si="26"/>
        <v>0</v>
      </c>
      <c r="CV36" s="247">
        <f t="shared" si="27"/>
        <v>0</v>
      </c>
      <c r="CW36" s="248"/>
      <c r="CX36" s="250"/>
      <c r="CY36" s="250"/>
      <c r="CZ36" s="266"/>
      <c r="DA36" s="251" t="s">
        <v>968</v>
      </c>
      <c r="DB36" s="246">
        <f t="shared" si="28"/>
        <v>0</v>
      </c>
      <c r="DC36" s="247">
        <f t="shared" si="29"/>
        <v>0</v>
      </c>
      <c r="DD36" s="248"/>
      <c r="DE36" s="250"/>
      <c r="DF36" s="253"/>
      <c r="DG36" s="221"/>
      <c r="DH36" s="251" t="s">
        <v>968</v>
      </c>
      <c r="DI36" s="246">
        <f t="shared" si="30"/>
        <v>0</v>
      </c>
      <c r="DJ36" s="255">
        <f t="shared" si="31"/>
        <v>0</v>
      </c>
      <c r="DK36" s="209"/>
      <c r="DL36" s="220"/>
      <c r="DM36" s="221"/>
      <c r="DO36" s="256"/>
      <c r="DP36" s="257"/>
      <c r="DR36" s="258">
        <f t="shared" si="32"/>
        <v>0</v>
      </c>
      <c r="DS36" s="258">
        <f t="shared" si="33"/>
        <v>0</v>
      </c>
      <c r="DT36" s="258">
        <f t="shared" si="34"/>
        <v>0</v>
      </c>
      <c r="DU36" s="258">
        <f t="shared" si="35"/>
        <v>0</v>
      </c>
      <c r="DV36" s="259">
        <f t="shared" si="36"/>
        <v>0</v>
      </c>
      <c r="DW36" s="259">
        <f t="shared" si="37"/>
        <v>0</v>
      </c>
    </row>
    <row r="37" spans="1:127" s="194" customFormat="1" ht="25.5" x14ac:dyDescent="0.2">
      <c r="A37" s="239">
        <v>10</v>
      </c>
      <c r="B37" s="240" t="s">
        <v>47</v>
      </c>
      <c r="C37" s="241"/>
      <c r="D37" s="271"/>
      <c r="E37" s="272"/>
      <c r="F37" s="263"/>
      <c r="G37" s="245" t="s">
        <v>968</v>
      </c>
      <c r="H37" s="246">
        <f t="shared" si="0"/>
        <v>0</v>
      </c>
      <c r="I37" s="247">
        <f t="shared" si="1"/>
        <v>0</v>
      </c>
      <c r="J37" s="248"/>
      <c r="K37" s="250"/>
      <c r="L37" s="250"/>
      <c r="M37" s="266"/>
      <c r="N37" s="251" t="s">
        <v>968</v>
      </c>
      <c r="O37" s="246">
        <f t="shared" si="2"/>
        <v>0</v>
      </c>
      <c r="P37" s="247">
        <f t="shared" si="3"/>
        <v>0</v>
      </c>
      <c r="Q37" s="248"/>
      <c r="R37" s="250"/>
      <c r="S37" s="250"/>
      <c r="T37" s="266"/>
      <c r="U37" s="251" t="s">
        <v>968</v>
      </c>
      <c r="V37" s="246">
        <f t="shared" si="4"/>
        <v>0</v>
      </c>
      <c r="W37" s="247">
        <f t="shared" si="5"/>
        <v>0</v>
      </c>
      <c r="X37" s="248"/>
      <c r="Y37" s="250"/>
      <c r="Z37" s="250"/>
      <c r="AA37" s="266"/>
      <c r="AB37" s="251" t="s">
        <v>968</v>
      </c>
      <c r="AC37" s="246">
        <f t="shared" si="6"/>
        <v>0</v>
      </c>
      <c r="AD37" s="247">
        <f t="shared" si="7"/>
        <v>0</v>
      </c>
      <c r="AE37" s="248"/>
      <c r="AF37" s="273"/>
      <c r="AG37" s="250"/>
      <c r="AH37" s="266"/>
      <c r="AI37" s="251" t="s">
        <v>968</v>
      </c>
      <c r="AJ37" s="246">
        <f t="shared" si="8"/>
        <v>0</v>
      </c>
      <c r="AK37" s="247">
        <f t="shared" si="9"/>
        <v>0</v>
      </c>
      <c r="AL37" s="254"/>
      <c r="AM37" s="250"/>
      <c r="AN37" s="250"/>
      <c r="AO37" s="221"/>
      <c r="AP37" s="251"/>
      <c r="AQ37" s="246">
        <f t="shared" si="10"/>
        <v>0</v>
      </c>
      <c r="AR37" s="247">
        <f t="shared" si="11"/>
        <v>0</v>
      </c>
      <c r="AS37" s="254"/>
      <c r="AT37" s="250"/>
      <c r="AU37" s="250"/>
      <c r="AV37" s="221"/>
      <c r="AW37" s="251"/>
      <c r="AX37" s="246">
        <f t="shared" si="12"/>
        <v>0</v>
      </c>
      <c r="AY37" s="247">
        <f t="shared" si="13"/>
        <v>0</v>
      </c>
      <c r="AZ37" s="254"/>
      <c r="BA37" s="250"/>
      <c r="BB37" s="250"/>
      <c r="BC37" s="221"/>
      <c r="BD37" s="251"/>
      <c r="BE37" s="246">
        <f t="shared" si="14"/>
        <v>0</v>
      </c>
      <c r="BF37" s="247">
        <f t="shared" si="15"/>
        <v>0</v>
      </c>
      <c r="BG37" s="254"/>
      <c r="BH37" s="250"/>
      <c r="BI37" s="250"/>
      <c r="BJ37" s="221"/>
      <c r="BK37" s="251"/>
      <c r="BL37" s="246">
        <f t="shared" si="16"/>
        <v>0</v>
      </c>
      <c r="BM37" s="247">
        <f t="shared" si="17"/>
        <v>0</v>
      </c>
      <c r="BN37" s="248"/>
      <c r="BO37" s="250"/>
      <c r="BP37" s="250"/>
      <c r="BQ37" s="266"/>
      <c r="BR37" s="251" t="s">
        <v>968</v>
      </c>
      <c r="BS37" s="246">
        <f t="shared" si="18"/>
        <v>0</v>
      </c>
      <c r="BT37" s="247">
        <f t="shared" si="19"/>
        <v>0</v>
      </c>
      <c r="BU37" s="254"/>
      <c r="BV37" s="250"/>
      <c r="BW37" s="250"/>
      <c r="BX37" s="221"/>
      <c r="BY37" s="251"/>
      <c r="BZ37" s="246">
        <f t="shared" si="20"/>
        <v>0</v>
      </c>
      <c r="CA37" s="247">
        <f t="shared" si="21"/>
        <v>0</v>
      </c>
      <c r="CB37" s="254"/>
      <c r="CC37" s="250"/>
      <c r="CD37" s="250"/>
      <c r="CE37" s="221"/>
      <c r="CF37" s="251"/>
      <c r="CG37" s="246">
        <f t="shared" si="22"/>
        <v>0</v>
      </c>
      <c r="CH37" s="247">
        <f t="shared" si="23"/>
        <v>0</v>
      </c>
      <c r="CI37" s="248"/>
      <c r="CJ37" s="250"/>
      <c r="CK37" s="250"/>
      <c r="CL37" s="274"/>
      <c r="CM37" s="251" t="s">
        <v>968</v>
      </c>
      <c r="CN37" s="246">
        <f t="shared" si="24"/>
        <v>0</v>
      </c>
      <c r="CO37" s="247">
        <f t="shared" si="25"/>
        <v>0</v>
      </c>
      <c r="CP37" s="254"/>
      <c r="CQ37" s="250"/>
      <c r="CR37" s="250"/>
      <c r="CS37" s="221"/>
      <c r="CT37" s="251"/>
      <c r="CU37" s="246">
        <f t="shared" si="26"/>
        <v>0</v>
      </c>
      <c r="CV37" s="247">
        <f t="shared" si="27"/>
        <v>0</v>
      </c>
      <c r="CW37" s="248"/>
      <c r="CX37" s="250"/>
      <c r="CY37" s="250"/>
      <c r="CZ37" s="266"/>
      <c r="DA37" s="251" t="s">
        <v>968</v>
      </c>
      <c r="DB37" s="246">
        <f t="shared" si="28"/>
        <v>0</v>
      </c>
      <c r="DC37" s="247">
        <f t="shared" si="29"/>
        <v>0</v>
      </c>
      <c r="DD37" s="248"/>
      <c r="DE37" s="250"/>
      <c r="DF37" s="250"/>
      <c r="DG37" s="266"/>
      <c r="DH37" s="251" t="s">
        <v>968</v>
      </c>
      <c r="DI37" s="246">
        <f t="shared" si="30"/>
        <v>0</v>
      </c>
      <c r="DJ37" s="255">
        <f t="shared" si="31"/>
        <v>0</v>
      </c>
      <c r="DK37" s="209"/>
      <c r="DL37" s="220"/>
      <c r="DM37" s="221"/>
      <c r="DO37" s="256"/>
      <c r="DP37" s="257"/>
      <c r="DR37" s="258">
        <f t="shared" si="32"/>
        <v>0</v>
      </c>
      <c r="DS37" s="258">
        <f t="shared" si="33"/>
        <v>0</v>
      </c>
      <c r="DT37" s="258">
        <f t="shared" si="34"/>
        <v>0</v>
      </c>
      <c r="DU37" s="258">
        <f t="shared" si="35"/>
        <v>0</v>
      </c>
      <c r="DV37" s="259">
        <f t="shared" si="36"/>
        <v>0</v>
      </c>
      <c r="DW37" s="259">
        <f t="shared" si="37"/>
        <v>0</v>
      </c>
    </row>
    <row r="38" spans="1:127" s="194" customFormat="1" ht="15.75" x14ac:dyDescent="0.2">
      <c r="A38" s="239">
        <v>11</v>
      </c>
      <c r="B38" s="240" t="s">
        <v>974</v>
      </c>
      <c r="C38" s="241"/>
      <c r="D38" s="271"/>
      <c r="E38" s="272"/>
      <c r="F38" s="263"/>
      <c r="G38" s="245" t="s">
        <v>968</v>
      </c>
      <c r="H38" s="246">
        <f t="shared" si="0"/>
        <v>0</v>
      </c>
      <c r="I38" s="247">
        <f t="shared" si="1"/>
        <v>0</v>
      </c>
      <c r="J38" s="248"/>
      <c r="K38" s="250"/>
      <c r="L38" s="250"/>
      <c r="M38" s="266"/>
      <c r="N38" s="251" t="s">
        <v>968</v>
      </c>
      <c r="O38" s="246">
        <f t="shared" si="2"/>
        <v>0</v>
      </c>
      <c r="P38" s="247">
        <f t="shared" si="3"/>
        <v>0</v>
      </c>
      <c r="Q38" s="248"/>
      <c r="R38" s="250"/>
      <c r="S38" s="250"/>
      <c r="T38" s="266"/>
      <c r="U38" s="251" t="s">
        <v>968</v>
      </c>
      <c r="V38" s="246">
        <f t="shared" si="4"/>
        <v>0</v>
      </c>
      <c r="W38" s="247">
        <f t="shared" si="5"/>
        <v>0</v>
      </c>
      <c r="X38" s="248"/>
      <c r="Y38" s="250"/>
      <c r="Z38" s="253"/>
      <c r="AA38" s="221"/>
      <c r="AB38" s="251" t="s">
        <v>968</v>
      </c>
      <c r="AC38" s="246">
        <f t="shared" si="6"/>
        <v>0</v>
      </c>
      <c r="AD38" s="247">
        <f t="shared" si="7"/>
        <v>0</v>
      </c>
      <c r="AE38" s="248"/>
      <c r="AF38" s="252"/>
      <c r="AG38" s="275"/>
      <c r="AH38" s="221"/>
      <c r="AI38" s="251" t="s">
        <v>968</v>
      </c>
      <c r="AJ38" s="246">
        <f t="shared" si="8"/>
        <v>0</v>
      </c>
      <c r="AK38" s="247">
        <f t="shared" si="9"/>
        <v>0</v>
      </c>
      <c r="AL38" s="248"/>
      <c r="AM38" s="250"/>
      <c r="AN38" s="250"/>
      <c r="AO38" s="266"/>
      <c r="AP38" s="251" t="s">
        <v>968</v>
      </c>
      <c r="AQ38" s="246">
        <f t="shared" si="10"/>
        <v>0</v>
      </c>
      <c r="AR38" s="247">
        <f t="shared" si="11"/>
        <v>0</v>
      </c>
      <c r="AS38" s="248"/>
      <c r="AT38" s="250"/>
      <c r="AU38" s="253"/>
      <c r="AV38" s="221"/>
      <c r="AW38" s="251" t="s">
        <v>968</v>
      </c>
      <c r="AX38" s="246">
        <f t="shared" si="12"/>
        <v>0</v>
      </c>
      <c r="AY38" s="247">
        <f t="shared" si="13"/>
        <v>0</v>
      </c>
      <c r="AZ38" s="248"/>
      <c r="BA38" s="250"/>
      <c r="BB38" s="253"/>
      <c r="BC38" s="221"/>
      <c r="BD38" s="251" t="s">
        <v>968</v>
      </c>
      <c r="BE38" s="246">
        <f t="shared" si="14"/>
        <v>0</v>
      </c>
      <c r="BF38" s="247">
        <f t="shared" si="15"/>
        <v>0</v>
      </c>
      <c r="BG38" s="248"/>
      <c r="BH38" s="250"/>
      <c r="BI38" s="253"/>
      <c r="BJ38" s="221"/>
      <c r="BK38" s="251" t="s">
        <v>968</v>
      </c>
      <c r="BL38" s="246">
        <f t="shared" si="16"/>
        <v>0</v>
      </c>
      <c r="BM38" s="247">
        <f t="shared" si="17"/>
        <v>0</v>
      </c>
      <c r="BN38" s="248"/>
      <c r="BO38" s="250"/>
      <c r="BP38" s="253"/>
      <c r="BQ38" s="221"/>
      <c r="BR38" s="251" t="s">
        <v>968</v>
      </c>
      <c r="BS38" s="246">
        <f t="shared" si="18"/>
        <v>0</v>
      </c>
      <c r="BT38" s="247">
        <f t="shared" si="19"/>
        <v>0</v>
      </c>
      <c r="BU38" s="254"/>
      <c r="BV38" s="250"/>
      <c r="BW38" s="250"/>
      <c r="BX38" s="221"/>
      <c r="BY38" s="251"/>
      <c r="BZ38" s="246">
        <f t="shared" si="20"/>
        <v>0</v>
      </c>
      <c r="CA38" s="247">
        <f t="shared" si="21"/>
        <v>0</v>
      </c>
      <c r="CB38" s="248"/>
      <c r="CC38" s="250"/>
      <c r="CD38" s="253"/>
      <c r="CE38" s="221"/>
      <c r="CF38" s="251" t="s">
        <v>968</v>
      </c>
      <c r="CG38" s="246">
        <f t="shared" si="22"/>
        <v>0</v>
      </c>
      <c r="CH38" s="247">
        <f t="shared" si="23"/>
        <v>0</v>
      </c>
      <c r="CI38" s="248"/>
      <c r="CJ38" s="250"/>
      <c r="CK38" s="253"/>
      <c r="CL38" s="250"/>
      <c r="CM38" s="251" t="s">
        <v>968</v>
      </c>
      <c r="CN38" s="246">
        <f t="shared" si="24"/>
        <v>0</v>
      </c>
      <c r="CO38" s="247">
        <f t="shared" si="25"/>
        <v>0</v>
      </c>
      <c r="CP38" s="248"/>
      <c r="CQ38" s="250"/>
      <c r="CR38" s="253"/>
      <c r="CS38" s="221"/>
      <c r="CT38" s="251" t="s">
        <v>968</v>
      </c>
      <c r="CU38" s="246">
        <f t="shared" si="26"/>
        <v>0</v>
      </c>
      <c r="CV38" s="247">
        <f t="shared" si="27"/>
        <v>0</v>
      </c>
      <c r="CW38" s="254"/>
      <c r="CX38" s="250"/>
      <c r="CY38" s="250"/>
      <c r="CZ38" s="221"/>
      <c r="DA38" s="251"/>
      <c r="DB38" s="246">
        <f t="shared" si="28"/>
        <v>0</v>
      </c>
      <c r="DC38" s="247">
        <f t="shared" si="29"/>
        <v>0</v>
      </c>
      <c r="DD38" s="248"/>
      <c r="DE38" s="250"/>
      <c r="DF38" s="250"/>
      <c r="DG38" s="266"/>
      <c r="DH38" s="251" t="s">
        <v>968</v>
      </c>
      <c r="DI38" s="246">
        <f t="shared" si="30"/>
        <v>0</v>
      </c>
      <c r="DJ38" s="255">
        <f t="shared" si="31"/>
        <v>0</v>
      </c>
      <c r="DK38" s="209"/>
      <c r="DL38" s="220"/>
      <c r="DM38" s="221"/>
      <c r="DO38" s="256"/>
      <c r="DP38" s="257"/>
      <c r="DR38" s="258">
        <f t="shared" si="32"/>
        <v>0</v>
      </c>
      <c r="DS38" s="258">
        <f t="shared" si="33"/>
        <v>0</v>
      </c>
      <c r="DT38" s="258">
        <f t="shared" si="34"/>
        <v>0</v>
      </c>
      <c r="DU38" s="258">
        <f t="shared" si="35"/>
        <v>0</v>
      </c>
      <c r="DV38" s="259">
        <f t="shared" si="36"/>
        <v>0</v>
      </c>
      <c r="DW38" s="259">
        <f t="shared" si="37"/>
        <v>0</v>
      </c>
    </row>
    <row r="39" spans="1:127" s="194" customFormat="1" ht="15.75" x14ac:dyDescent="0.2">
      <c r="A39" s="239">
        <v>12</v>
      </c>
      <c r="B39" s="240" t="s">
        <v>975</v>
      </c>
      <c r="C39" s="241"/>
      <c r="D39" s="271"/>
      <c r="E39" s="272"/>
      <c r="F39" s="263"/>
      <c r="G39" s="245" t="s">
        <v>968</v>
      </c>
      <c r="H39" s="246">
        <f t="shared" si="0"/>
        <v>0</v>
      </c>
      <c r="I39" s="247">
        <f t="shared" si="1"/>
        <v>0</v>
      </c>
      <c r="J39" s="248"/>
      <c r="K39" s="250"/>
      <c r="L39" s="250"/>
      <c r="M39" s="266"/>
      <c r="N39" s="251" t="s">
        <v>968</v>
      </c>
      <c r="O39" s="246">
        <f t="shared" si="2"/>
        <v>0</v>
      </c>
      <c r="P39" s="247">
        <f t="shared" si="3"/>
        <v>0</v>
      </c>
      <c r="Q39" s="248"/>
      <c r="R39" s="250"/>
      <c r="S39" s="250"/>
      <c r="T39" s="266"/>
      <c r="U39" s="251" t="s">
        <v>968</v>
      </c>
      <c r="V39" s="246">
        <f t="shared" si="4"/>
        <v>0</v>
      </c>
      <c r="W39" s="247">
        <f t="shared" si="5"/>
        <v>0</v>
      </c>
      <c r="X39" s="248"/>
      <c r="Y39" s="250"/>
      <c r="Z39" s="250"/>
      <c r="AA39" s="266"/>
      <c r="AB39" s="251" t="s">
        <v>968</v>
      </c>
      <c r="AC39" s="246">
        <f t="shared" si="6"/>
        <v>0</v>
      </c>
      <c r="AD39" s="247">
        <f t="shared" si="7"/>
        <v>0</v>
      </c>
      <c r="AE39" s="248"/>
      <c r="AF39" s="273"/>
      <c r="AG39" s="253"/>
      <c r="AH39" s="221"/>
      <c r="AI39" s="251" t="s">
        <v>968</v>
      </c>
      <c r="AJ39" s="246">
        <f t="shared" si="8"/>
        <v>0</v>
      </c>
      <c r="AK39" s="247">
        <f t="shared" si="9"/>
        <v>0</v>
      </c>
      <c r="AL39" s="248"/>
      <c r="AM39" s="250"/>
      <c r="AN39" s="250"/>
      <c r="AO39" s="266"/>
      <c r="AP39" s="251" t="s">
        <v>968</v>
      </c>
      <c r="AQ39" s="246">
        <f t="shared" si="10"/>
        <v>0</v>
      </c>
      <c r="AR39" s="247">
        <f t="shared" si="11"/>
        <v>0</v>
      </c>
      <c r="AS39" s="248"/>
      <c r="AT39" s="250"/>
      <c r="AU39" s="253"/>
      <c r="AV39" s="221"/>
      <c r="AW39" s="251" t="s">
        <v>968</v>
      </c>
      <c r="AX39" s="246">
        <f t="shared" si="12"/>
        <v>0</v>
      </c>
      <c r="AY39" s="247">
        <f t="shared" si="13"/>
        <v>0</v>
      </c>
      <c r="AZ39" s="248"/>
      <c r="BA39" s="250"/>
      <c r="BB39" s="253"/>
      <c r="BC39" s="221"/>
      <c r="BD39" s="251" t="s">
        <v>968</v>
      </c>
      <c r="BE39" s="246">
        <f t="shared" si="14"/>
        <v>0</v>
      </c>
      <c r="BF39" s="247">
        <f t="shared" si="15"/>
        <v>0</v>
      </c>
      <c r="BG39" s="248"/>
      <c r="BH39" s="250"/>
      <c r="BI39" s="253"/>
      <c r="BJ39" s="221"/>
      <c r="BK39" s="251" t="s">
        <v>968</v>
      </c>
      <c r="BL39" s="246">
        <f t="shared" si="16"/>
        <v>0</v>
      </c>
      <c r="BM39" s="247">
        <f t="shared" si="17"/>
        <v>0</v>
      </c>
      <c r="BN39" s="248"/>
      <c r="BO39" s="250"/>
      <c r="BP39" s="250"/>
      <c r="BQ39" s="266"/>
      <c r="BR39" s="251" t="s">
        <v>968</v>
      </c>
      <c r="BS39" s="246">
        <f t="shared" si="18"/>
        <v>0</v>
      </c>
      <c r="BT39" s="247">
        <f t="shared" si="19"/>
        <v>0</v>
      </c>
      <c r="BU39" s="248"/>
      <c r="BV39" s="250"/>
      <c r="BW39" s="250"/>
      <c r="BX39" s="221"/>
      <c r="BY39" s="251" t="s">
        <v>968</v>
      </c>
      <c r="BZ39" s="246">
        <f t="shared" si="20"/>
        <v>0</v>
      </c>
      <c r="CA39" s="247">
        <f t="shared" si="21"/>
        <v>0</v>
      </c>
      <c r="CB39" s="248"/>
      <c r="CC39" s="250"/>
      <c r="CD39" s="253"/>
      <c r="CE39" s="221"/>
      <c r="CF39" s="251" t="s">
        <v>968</v>
      </c>
      <c r="CG39" s="246">
        <f t="shared" si="22"/>
        <v>0</v>
      </c>
      <c r="CH39" s="247">
        <f t="shared" si="23"/>
        <v>0</v>
      </c>
      <c r="CI39" s="248"/>
      <c r="CJ39" s="250"/>
      <c r="CK39" s="253"/>
      <c r="CL39" s="250"/>
      <c r="CM39" s="251" t="s">
        <v>968</v>
      </c>
      <c r="CN39" s="246">
        <f t="shared" si="24"/>
        <v>0</v>
      </c>
      <c r="CO39" s="247">
        <f t="shared" si="25"/>
        <v>0</v>
      </c>
      <c r="CP39" s="248"/>
      <c r="CQ39" s="250"/>
      <c r="CR39" s="253"/>
      <c r="CS39" s="221"/>
      <c r="CT39" s="251" t="s">
        <v>968</v>
      </c>
      <c r="CU39" s="246">
        <f t="shared" si="26"/>
        <v>0</v>
      </c>
      <c r="CV39" s="247">
        <f t="shared" si="27"/>
        <v>0</v>
      </c>
      <c r="CW39" s="254"/>
      <c r="CX39" s="250"/>
      <c r="CY39" s="250"/>
      <c r="CZ39" s="221"/>
      <c r="DA39" s="251"/>
      <c r="DB39" s="246">
        <f t="shared" si="28"/>
        <v>0</v>
      </c>
      <c r="DC39" s="247">
        <f t="shared" si="29"/>
        <v>0</v>
      </c>
      <c r="DD39" s="248"/>
      <c r="DE39" s="250"/>
      <c r="DF39" s="250"/>
      <c r="DG39" s="266"/>
      <c r="DH39" s="251" t="s">
        <v>968</v>
      </c>
      <c r="DI39" s="246">
        <f t="shared" si="30"/>
        <v>0</v>
      </c>
      <c r="DJ39" s="255">
        <f t="shared" si="31"/>
        <v>0</v>
      </c>
      <c r="DK39" s="209"/>
      <c r="DL39" s="220"/>
      <c r="DM39" s="221"/>
      <c r="DO39" s="256"/>
      <c r="DP39" s="257"/>
      <c r="DR39" s="258">
        <f t="shared" si="32"/>
        <v>0</v>
      </c>
      <c r="DS39" s="258">
        <f t="shared" si="33"/>
        <v>0</v>
      </c>
      <c r="DT39" s="258">
        <f t="shared" si="34"/>
        <v>0</v>
      </c>
      <c r="DU39" s="258">
        <f t="shared" si="35"/>
        <v>0</v>
      </c>
      <c r="DV39" s="259">
        <f t="shared" si="36"/>
        <v>0</v>
      </c>
      <c r="DW39" s="259">
        <f t="shared" si="37"/>
        <v>0</v>
      </c>
    </row>
    <row r="40" spans="1:127" s="194" customFormat="1" ht="15.75" x14ac:dyDescent="0.2">
      <c r="A40" s="239">
        <v>13</v>
      </c>
      <c r="B40" s="240" t="s">
        <v>976</v>
      </c>
      <c r="C40" s="276"/>
      <c r="D40" s="271"/>
      <c r="E40" s="272"/>
      <c r="F40" s="244"/>
      <c r="G40" s="245"/>
      <c r="H40" s="246">
        <f t="shared" si="0"/>
        <v>0</v>
      </c>
      <c r="I40" s="247">
        <f t="shared" si="1"/>
        <v>0</v>
      </c>
      <c r="J40" s="254"/>
      <c r="K40" s="250"/>
      <c r="L40" s="250"/>
      <c r="M40" s="221"/>
      <c r="N40" s="251"/>
      <c r="O40" s="246">
        <f t="shared" si="2"/>
        <v>0</v>
      </c>
      <c r="P40" s="247">
        <f t="shared" si="3"/>
        <v>0</v>
      </c>
      <c r="Q40" s="254"/>
      <c r="R40" s="250"/>
      <c r="S40" s="250"/>
      <c r="T40" s="221"/>
      <c r="U40" s="251"/>
      <c r="V40" s="246">
        <f t="shared" si="4"/>
        <v>0</v>
      </c>
      <c r="W40" s="247">
        <f t="shared" si="5"/>
        <v>0</v>
      </c>
      <c r="X40" s="254"/>
      <c r="Y40" s="250"/>
      <c r="Z40" s="250"/>
      <c r="AA40" s="221"/>
      <c r="AB40" s="251"/>
      <c r="AC40" s="246">
        <f t="shared" si="6"/>
        <v>0</v>
      </c>
      <c r="AD40" s="247">
        <f t="shared" si="7"/>
        <v>0</v>
      </c>
      <c r="AE40" s="254"/>
      <c r="AF40" s="273"/>
      <c r="AG40" s="250"/>
      <c r="AH40" s="221"/>
      <c r="AI40" s="251"/>
      <c r="AJ40" s="246">
        <f t="shared" si="8"/>
        <v>0</v>
      </c>
      <c r="AK40" s="247">
        <f t="shared" si="9"/>
        <v>0</v>
      </c>
      <c r="AL40" s="254"/>
      <c r="AM40" s="250"/>
      <c r="AN40" s="250"/>
      <c r="AO40" s="221"/>
      <c r="AP40" s="251"/>
      <c r="AQ40" s="246">
        <f t="shared" si="10"/>
        <v>0</v>
      </c>
      <c r="AR40" s="247">
        <f t="shared" si="11"/>
        <v>0</v>
      </c>
      <c r="AS40" s="254"/>
      <c r="AT40" s="250"/>
      <c r="AU40" s="250"/>
      <c r="AV40" s="221"/>
      <c r="AW40" s="251"/>
      <c r="AX40" s="246">
        <f t="shared" si="12"/>
        <v>0</v>
      </c>
      <c r="AY40" s="247">
        <f t="shared" si="13"/>
        <v>0</v>
      </c>
      <c r="AZ40" s="254"/>
      <c r="BA40" s="250"/>
      <c r="BB40" s="250"/>
      <c r="BC40" s="221"/>
      <c r="BD40" s="251"/>
      <c r="BE40" s="246">
        <f t="shared" si="14"/>
        <v>0</v>
      </c>
      <c r="BF40" s="247">
        <f t="shared" si="15"/>
        <v>0</v>
      </c>
      <c r="BG40" s="248"/>
      <c r="BH40" s="249"/>
      <c r="BI40" s="250"/>
      <c r="BJ40" s="221"/>
      <c r="BK40" s="251" t="s">
        <v>968</v>
      </c>
      <c r="BL40" s="246">
        <f t="shared" si="16"/>
        <v>0</v>
      </c>
      <c r="BM40" s="247">
        <f t="shared" si="17"/>
        <v>0</v>
      </c>
      <c r="BN40" s="248"/>
      <c r="BO40" s="249"/>
      <c r="BP40" s="250"/>
      <c r="BQ40" s="221"/>
      <c r="BR40" s="251" t="s">
        <v>968</v>
      </c>
      <c r="BS40" s="246">
        <f t="shared" si="18"/>
        <v>0</v>
      </c>
      <c r="BT40" s="247">
        <f t="shared" si="19"/>
        <v>0</v>
      </c>
      <c r="BU40" s="254"/>
      <c r="BV40" s="250"/>
      <c r="BW40" s="250"/>
      <c r="BX40" s="221"/>
      <c r="BY40" s="251"/>
      <c r="BZ40" s="246">
        <f t="shared" si="20"/>
        <v>0</v>
      </c>
      <c r="CA40" s="247">
        <f t="shared" si="21"/>
        <v>0</v>
      </c>
      <c r="CB40" s="254"/>
      <c r="CC40" s="250"/>
      <c r="CD40" s="250"/>
      <c r="CE40" s="221"/>
      <c r="CF40" s="251"/>
      <c r="CG40" s="246">
        <f t="shared" si="22"/>
        <v>0</v>
      </c>
      <c r="CH40" s="247">
        <f t="shared" si="23"/>
        <v>0</v>
      </c>
      <c r="CI40" s="248"/>
      <c r="CJ40" s="249"/>
      <c r="CK40" s="250"/>
      <c r="CL40" s="250"/>
      <c r="CM40" s="251" t="s">
        <v>968</v>
      </c>
      <c r="CN40" s="246">
        <f t="shared" si="24"/>
        <v>0</v>
      </c>
      <c r="CO40" s="247">
        <f t="shared" si="25"/>
        <v>0</v>
      </c>
      <c r="CP40" s="248"/>
      <c r="CQ40" s="249"/>
      <c r="CR40" s="250"/>
      <c r="CS40" s="221"/>
      <c r="CT40" s="251" t="s">
        <v>968</v>
      </c>
      <c r="CU40" s="246">
        <f t="shared" si="26"/>
        <v>0</v>
      </c>
      <c r="CV40" s="247">
        <f t="shared" si="27"/>
        <v>0</v>
      </c>
      <c r="CW40" s="254"/>
      <c r="CX40" s="250"/>
      <c r="CY40" s="250"/>
      <c r="CZ40" s="221"/>
      <c r="DA40" s="251"/>
      <c r="DB40" s="246">
        <f t="shared" si="28"/>
        <v>0</v>
      </c>
      <c r="DC40" s="247">
        <f t="shared" si="29"/>
        <v>0</v>
      </c>
      <c r="DD40" s="248"/>
      <c r="DE40" s="249"/>
      <c r="DF40" s="250"/>
      <c r="DG40" s="221"/>
      <c r="DH40" s="251" t="s">
        <v>968</v>
      </c>
      <c r="DI40" s="246">
        <f t="shared" si="30"/>
        <v>0</v>
      </c>
      <c r="DJ40" s="255">
        <f t="shared" si="31"/>
        <v>0</v>
      </c>
      <c r="DK40" s="209"/>
      <c r="DL40" s="220"/>
      <c r="DM40" s="221"/>
      <c r="DO40" s="256"/>
      <c r="DP40" s="257"/>
      <c r="DR40" s="258">
        <f t="shared" si="32"/>
        <v>0</v>
      </c>
      <c r="DS40" s="258">
        <f t="shared" si="33"/>
        <v>0</v>
      </c>
      <c r="DT40" s="258">
        <f t="shared" si="34"/>
        <v>0</v>
      </c>
      <c r="DU40" s="258">
        <f t="shared" si="35"/>
        <v>0</v>
      </c>
      <c r="DV40" s="259">
        <f t="shared" si="36"/>
        <v>0</v>
      </c>
      <c r="DW40" s="259">
        <f t="shared" si="37"/>
        <v>0</v>
      </c>
    </row>
    <row r="41" spans="1:127" s="194" customFormat="1" ht="15.75" x14ac:dyDescent="0.2">
      <c r="A41" s="239">
        <v>14</v>
      </c>
      <c r="B41" s="240" t="s">
        <v>977</v>
      </c>
      <c r="C41" s="276"/>
      <c r="D41" s="261"/>
      <c r="E41" s="262"/>
      <c r="F41" s="277"/>
      <c r="G41" s="245"/>
      <c r="H41" s="246">
        <f t="shared" si="0"/>
        <v>0</v>
      </c>
      <c r="I41" s="247">
        <f t="shared" si="1"/>
        <v>0</v>
      </c>
      <c r="J41" s="254"/>
      <c r="K41" s="265"/>
      <c r="L41" s="265"/>
      <c r="M41" s="269"/>
      <c r="N41" s="251"/>
      <c r="O41" s="246">
        <f t="shared" si="2"/>
        <v>0</v>
      </c>
      <c r="P41" s="247">
        <f t="shared" si="3"/>
        <v>0</v>
      </c>
      <c r="Q41" s="254"/>
      <c r="R41" s="265"/>
      <c r="S41" s="265"/>
      <c r="T41" s="269"/>
      <c r="U41" s="251"/>
      <c r="V41" s="246">
        <f t="shared" si="4"/>
        <v>0</v>
      </c>
      <c r="W41" s="247">
        <f t="shared" si="5"/>
        <v>0</v>
      </c>
      <c r="X41" s="254"/>
      <c r="Y41" s="265"/>
      <c r="Z41" s="265"/>
      <c r="AA41" s="269"/>
      <c r="AB41" s="251"/>
      <c r="AC41" s="246">
        <f t="shared" si="6"/>
        <v>0</v>
      </c>
      <c r="AD41" s="247">
        <f t="shared" si="7"/>
        <v>0</v>
      </c>
      <c r="AE41" s="254"/>
      <c r="AF41" s="267"/>
      <c r="AG41" s="265"/>
      <c r="AH41" s="269"/>
      <c r="AI41" s="251"/>
      <c r="AJ41" s="246">
        <f t="shared" si="8"/>
        <v>0</v>
      </c>
      <c r="AK41" s="247">
        <f t="shared" si="9"/>
        <v>0</v>
      </c>
      <c r="AL41" s="254"/>
      <c r="AM41" s="265"/>
      <c r="AN41" s="265"/>
      <c r="AO41" s="269"/>
      <c r="AP41" s="251"/>
      <c r="AQ41" s="246">
        <f t="shared" si="10"/>
        <v>0</v>
      </c>
      <c r="AR41" s="247">
        <f t="shared" si="11"/>
        <v>0</v>
      </c>
      <c r="AS41" s="254"/>
      <c r="AT41" s="265"/>
      <c r="AU41" s="265"/>
      <c r="AV41" s="269"/>
      <c r="AW41" s="251"/>
      <c r="AX41" s="246">
        <f t="shared" si="12"/>
        <v>0</v>
      </c>
      <c r="AY41" s="247">
        <f t="shared" si="13"/>
        <v>0</v>
      </c>
      <c r="AZ41" s="254"/>
      <c r="BA41" s="265"/>
      <c r="BB41" s="265"/>
      <c r="BC41" s="269"/>
      <c r="BD41" s="251"/>
      <c r="BE41" s="246">
        <f t="shared" si="14"/>
        <v>0</v>
      </c>
      <c r="BF41" s="247">
        <f t="shared" si="15"/>
        <v>0</v>
      </c>
      <c r="BG41" s="254"/>
      <c r="BH41" s="265"/>
      <c r="BI41" s="265"/>
      <c r="BJ41" s="269"/>
      <c r="BK41" s="251"/>
      <c r="BL41" s="246">
        <f t="shared" si="16"/>
        <v>0</v>
      </c>
      <c r="BM41" s="247">
        <f t="shared" si="17"/>
        <v>0</v>
      </c>
      <c r="BN41" s="254"/>
      <c r="BO41" s="265"/>
      <c r="BP41" s="265"/>
      <c r="BQ41" s="269"/>
      <c r="BR41" s="251"/>
      <c r="BS41" s="246">
        <f t="shared" si="18"/>
        <v>0</v>
      </c>
      <c r="BT41" s="247">
        <f t="shared" si="19"/>
        <v>0</v>
      </c>
      <c r="BU41" s="254"/>
      <c r="BV41" s="265"/>
      <c r="BW41" s="265"/>
      <c r="BX41" s="269"/>
      <c r="BY41" s="251"/>
      <c r="BZ41" s="246">
        <f t="shared" si="20"/>
        <v>0</v>
      </c>
      <c r="CA41" s="247">
        <f t="shared" si="21"/>
        <v>0</v>
      </c>
      <c r="CB41" s="254"/>
      <c r="CC41" s="265"/>
      <c r="CD41" s="265"/>
      <c r="CE41" s="269"/>
      <c r="CF41" s="251"/>
      <c r="CG41" s="246">
        <f t="shared" si="22"/>
        <v>0</v>
      </c>
      <c r="CH41" s="247">
        <f t="shared" si="23"/>
        <v>0</v>
      </c>
      <c r="CI41" s="264"/>
      <c r="CJ41" s="252"/>
      <c r="CK41" s="265"/>
      <c r="CL41" s="265"/>
      <c r="CM41" s="251" t="s">
        <v>968</v>
      </c>
      <c r="CN41" s="246">
        <f t="shared" si="24"/>
        <v>0</v>
      </c>
      <c r="CO41" s="247">
        <f t="shared" si="25"/>
        <v>0</v>
      </c>
      <c r="CP41" s="254"/>
      <c r="CQ41" s="265"/>
      <c r="CR41" s="265"/>
      <c r="CS41" s="269"/>
      <c r="CT41" s="251"/>
      <c r="CU41" s="246">
        <f t="shared" si="26"/>
        <v>0</v>
      </c>
      <c r="CV41" s="247">
        <f t="shared" si="27"/>
        <v>0</v>
      </c>
      <c r="CW41" s="268"/>
      <c r="CX41" s="265"/>
      <c r="CY41" s="265"/>
      <c r="CZ41" s="269"/>
      <c r="DA41" s="251"/>
      <c r="DB41" s="246">
        <f t="shared" si="28"/>
        <v>0</v>
      </c>
      <c r="DC41" s="247">
        <f t="shared" si="29"/>
        <v>0</v>
      </c>
      <c r="DD41" s="254"/>
      <c r="DE41" s="265"/>
      <c r="DF41" s="265"/>
      <c r="DG41" s="269"/>
      <c r="DH41" s="251"/>
      <c r="DI41" s="246">
        <f t="shared" si="30"/>
        <v>0</v>
      </c>
      <c r="DJ41" s="255">
        <f t="shared" si="31"/>
        <v>0</v>
      </c>
      <c r="DK41" s="209"/>
      <c r="DL41" s="220"/>
      <c r="DM41" s="221"/>
      <c r="DO41" s="256"/>
      <c r="DP41" s="257"/>
      <c r="DR41" s="258">
        <f t="shared" si="32"/>
        <v>0</v>
      </c>
      <c r="DS41" s="258">
        <f t="shared" si="33"/>
        <v>0</v>
      </c>
      <c r="DT41" s="258">
        <f t="shared" si="34"/>
        <v>0</v>
      </c>
      <c r="DU41" s="258">
        <f t="shared" si="35"/>
        <v>0</v>
      </c>
      <c r="DV41" s="259">
        <f t="shared" si="36"/>
        <v>0</v>
      </c>
      <c r="DW41" s="259">
        <f t="shared" si="37"/>
        <v>0</v>
      </c>
    </row>
    <row r="42" spans="1:127" s="194" customFormat="1" ht="15.75" x14ac:dyDescent="0.2">
      <c r="A42" s="239">
        <v>15</v>
      </c>
      <c r="B42" s="240" t="s">
        <v>978</v>
      </c>
      <c r="C42" s="241"/>
      <c r="D42" s="271"/>
      <c r="E42" s="272"/>
      <c r="F42" s="263"/>
      <c r="G42" s="245" t="s">
        <v>968</v>
      </c>
      <c r="H42" s="246">
        <f t="shared" si="0"/>
        <v>0</v>
      </c>
      <c r="I42" s="247">
        <f t="shared" si="1"/>
        <v>0</v>
      </c>
      <c r="J42" s="248"/>
      <c r="K42" s="250"/>
      <c r="L42" s="250"/>
      <c r="M42" s="266"/>
      <c r="N42" s="251" t="s">
        <v>968</v>
      </c>
      <c r="O42" s="246">
        <f t="shared" si="2"/>
        <v>0</v>
      </c>
      <c r="P42" s="247">
        <f t="shared" si="3"/>
        <v>0</v>
      </c>
      <c r="Q42" s="248"/>
      <c r="R42" s="250"/>
      <c r="S42" s="250"/>
      <c r="T42" s="266"/>
      <c r="U42" s="251" t="s">
        <v>968</v>
      </c>
      <c r="V42" s="246">
        <f t="shared" si="4"/>
        <v>0</v>
      </c>
      <c r="W42" s="247">
        <f t="shared" si="5"/>
        <v>0</v>
      </c>
      <c r="X42" s="248"/>
      <c r="Y42" s="250"/>
      <c r="Z42" s="250"/>
      <c r="AA42" s="266"/>
      <c r="AB42" s="251" t="s">
        <v>968</v>
      </c>
      <c r="AC42" s="246">
        <f t="shared" si="6"/>
        <v>0</v>
      </c>
      <c r="AD42" s="247">
        <f t="shared" si="7"/>
        <v>0</v>
      </c>
      <c r="AE42" s="248"/>
      <c r="AF42" s="273"/>
      <c r="AG42" s="250"/>
      <c r="AH42" s="266"/>
      <c r="AI42" s="251" t="s">
        <v>968</v>
      </c>
      <c r="AJ42" s="246">
        <f t="shared" si="8"/>
        <v>0</v>
      </c>
      <c r="AK42" s="247">
        <f t="shared" si="9"/>
        <v>0</v>
      </c>
      <c r="AL42" s="248"/>
      <c r="AM42" s="250"/>
      <c r="AN42" s="250"/>
      <c r="AO42" s="266"/>
      <c r="AP42" s="251" t="s">
        <v>968</v>
      </c>
      <c r="AQ42" s="246">
        <f t="shared" si="10"/>
        <v>0</v>
      </c>
      <c r="AR42" s="247">
        <f t="shared" si="11"/>
        <v>0</v>
      </c>
      <c r="AS42" s="248"/>
      <c r="AT42" s="250"/>
      <c r="AU42" s="250"/>
      <c r="AV42" s="266"/>
      <c r="AW42" s="251" t="s">
        <v>968</v>
      </c>
      <c r="AX42" s="246">
        <f t="shared" si="12"/>
        <v>0</v>
      </c>
      <c r="AY42" s="247">
        <f t="shared" si="13"/>
        <v>0</v>
      </c>
      <c r="AZ42" s="248"/>
      <c r="BA42" s="250"/>
      <c r="BB42" s="250"/>
      <c r="BC42" s="266"/>
      <c r="BD42" s="251" t="s">
        <v>968</v>
      </c>
      <c r="BE42" s="246">
        <f t="shared" si="14"/>
        <v>0</v>
      </c>
      <c r="BF42" s="247">
        <f t="shared" si="15"/>
        <v>0</v>
      </c>
      <c r="BG42" s="248"/>
      <c r="BH42" s="250"/>
      <c r="BI42" s="250"/>
      <c r="BJ42" s="266"/>
      <c r="BK42" s="251" t="s">
        <v>968</v>
      </c>
      <c r="BL42" s="246">
        <f t="shared" si="16"/>
        <v>0</v>
      </c>
      <c r="BM42" s="247">
        <f t="shared" si="17"/>
        <v>0</v>
      </c>
      <c r="BN42" s="248"/>
      <c r="BO42" s="250"/>
      <c r="BP42" s="250"/>
      <c r="BQ42" s="266"/>
      <c r="BR42" s="251" t="s">
        <v>968</v>
      </c>
      <c r="BS42" s="246">
        <f t="shared" si="18"/>
        <v>0</v>
      </c>
      <c r="BT42" s="247">
        <f t="shared" si="19"/>
        <v>0</v>
      </c>
      <c r="BU42" s="248"/>
      <c r="BV42" s="250"/>
      <c r="BW42" s="250"/>
      <c r="BX42" s="266"/>
      <c r="BY42" s="251" t="s">
        <v>968</v>
      </c>
      <c r="BZ42" s="246">
        <f t="shared" si="20"/>
        <v>0</v>
      </c>
      <c r="CA42" s="247">
        <f t="shared" si="21"/>
        <v>0</v>
      </c>
      <c r="CB42" s="248"/>
      <c r="CC42" s="250"/>
      <c r="CD42" s="250"/>
      <c r="CE42" s="266"/>
      <c r="CF42" s="251" t="s">
        <v>968</v>
      </c>
      <c r="CG42" s="246">
        <f t="shared" si="22"/>
        <v>0</v>
      </c>
      <c r="CH42" s="247">
        <f t="shared" si="23"/>
        <v>0</v>
      </c>
      <c r="CI42" s="248"/>
      <c r="CJ42" s="250"/>
      <c r="CK42" s="250"/>
      <c r="CL42" s="274"/>
      <c r="CM42" s="251" t="s">
        <v>968</v>
      </c>
      <c r="CN42" s="246">
        <f t="shared" si="24"/>
        <v>0</v>
      </c>
      <c r="CO42" s="247">
        <f t="shared" si="25"/>
        <v>0</v>
      </c>
      <c r="CP42" s="248"/>
      <c r="CQ42" s="250"/>
      <c r="CR42" s="250"/>
      <c r="CS42" s="266"/>
      <c r="CT42" s="251" t="s">
        <v>968</v>
      </c>
      <c r="CU42" s="246">
        <f t="shared" si="26"/>
        <v>0</v>
      </c>
      <c r="CV42" s="247">
        <f t="shared" si="27"/>
        <v>0</v>
      </c>
      <c r="CW42" s="254"/>
      <c r="CX42" s="250"/>
      <c r="CY42" s="253"/>
      <c r="CZ42" s="221"/>
      <c r="DA42" s="251"/>
      <c r="DB42" s="246">
        <f t="shared" si="28"/>
        <v>0</v>
      </c>
      <c r="DC42" s="247">
        <f t="shared" si="29"/>
        <v>0</v>
      </c>
      <c r="DD42" s="248"/>
      <c r="DE42" s="250"/>
      <c r="DF42" s="250"/>
      <c r="DG42" s="266"/>
      <c r="DH42" s="251" t="s">
        <v>968</v>
      </c>
      <c r="DI42" s="246">
        <f t="shared" si="30"/>
        <v>0</v>
      </c>
      <c r="DJ42" s="255">
        <f t="shared" si="31"/>
        <v>0</v>
      </c>
      <c r="DK42" s="209"/>
      <c r="DL42" s="220"/>
      <c r="DM42" s="221"/>
      <c r="DO42" s="256"/>
      <c r="DP42" s="257"/>
      <c r="DR42" s="258">
        <f t="shared" si="32"/>
        <v>0</v>
      </c>
      <c r="DS42" s="258">
        <f t="shared" si="33"/>
        <v>0</v>
      </c>
      <c r="DT42" s="258">
        <f t="shared" si="34"/>
        <v>0</v>
      </c>
      <c r="DU42" s="258">
        <f t="shared" si="35"/>
        <v>0</v>
      </c>
      <c r="DV42" s="259">
        <f t="shared" si="36"/>
        <v>0</v>
      </c>
      <c r="DW42" s="259">
        <f t="shared" si="37"/>
        <v>0</v>
      </c>
    </row>
    <row r="43" spans="1:127" s="194" customFormat="1" ht="25.5" x14ac:dyDescent="0.2">
      <c r="A43" s="239">
        <v>16</v>
      </c>
      <c r="B43" s="240" t="s">
        <v>979</v>
      </c>
      <c r="C43" s="241"/>
      <c r="D43" s="271"/>
      <c r="E43" s="272"/>
      <c r="F43" s="263"/>
      <c r="G43" s="245" t="s">
        <v>968</v>
      </c>
      <c r="H43" s="246">
        <f t="shared" si="0"/>
        <v>0</v>
      </c>
      <c r="I43" s="247">
        <f t="shared" si="1"/>
        <v>0</v>
      </c>
      <c r="J43" s="248"/>
      <c r="K43" s="250"/>
      <c r="L43" s="250"/>
      <c r="M43" s="266"/>
      <c r="N43" s="251" t="s">
        <v>968</v>
      </c>
      <c r="O43" s="246">
        <f t="shared" si="2"/>
        <v>0</v>
      </c>
      <c r="P43" s="247">
        <f t="shared" si="3"/>
        <v>0</v>
      </c>
      <c r="Q43" s="248"/>
      <c r="R43" s="250"/>
      <c r="S43" s="250"/>
      <c r="T43" s="266"/>
      <c r="U43" s="251" t="s">
        <v>968</v>
      </c>
      <c r="V43" s="246">
        <f t="shared" si="4"/>
        <v>0</v>
      </c>
      <c r="W43" s="247">
        <f t="shared" si="5"/>
        <v>0</v>
      </c>
      <c r="X43" s="248"/>
      <c r="Y43" s="250"/>
      <c r="Z43" s="250"/>
      <c r="AA43" s="266"/>
      <c r="AB43" s="251" t="s">
        <v>968</v>
      </c>
      <c r="AC43" s="246">
        <f t="shared" si="6"/>
        <v>0</v>
      </c>
      <c r="AD43" s="247">
        <f t="shared" si="7"/>
        <v>0</v>
      </c>
      <c r="AE43" s="248"/>
      <c r="AF43" s="273"/>
      <c r="AG43" s="250"/>
      <c r="AH43" s="266"/>
      <c r="AI43" s="251" t="s">
        <v>968</v>
      </c>
      <c r="AJ43" s="246">
        <f t="shared" si="8"/>
        <v>0</v>
      </c>
      <c r="AK43" s="247">
        <f t="shared" si="9"/>
        <v>0</v>
      </c>
      <c r="AL43" s="248"/>
      <c r="AM43" s="250"/>
      <c r="AN43" s="250"/>
      <c r="AO43" s="266"/>
      <c r="AP43" s="251" t="s">
        <v>968</v>
      </c>
      <c r="AQ43" s="246">
        <f t="shared" si="10"/>
        <v>0</v>
      </c>
      <c r="AR43" s="247">
        <f t="shared" si="11"/>
        <v>0</v>
      </c>
      <c r="AS43" s="254"/>
      <c r="AT43" s="250"/>
      <c r="AU43" s="250"/>
      <c r="AV43" s="221"/>
      <c r="AW43" s="251"/>
      <c r="AX43" s="246">
        <f t="shared" si="12"/>
        <v>0</v>
      </c>
      <c r="AY43" s="247">
        <f t="shared" si="13"/>
        <v>0</v>
      </c>
      <c r="AZ43" s="248"/>
      <c r="BA43" s="250"/>
      <c r="BB43" s="250"/>
      <c r="BC43" s="266"/>
      <c r="BD43" s="251" t="s">
        <v>968</v>
      </c>
      <c r="BE43" s="246">
        <f t="shared" si="14"/>
        <v>0</v>
      </c>
      <c r="BF43" s="247">
        <f t="shared" si="15"/>
        <v>0</v>
      </c>
      <c r="BG43" s="248"/>
      <c r="BH43" s="250"/>
      <c r="BI43" s="250"/>
      <c r="BJ43" s="266"/>
      <c r="BK43" s="251" t="s">
        <v>968</v>
      </c>
      <c r="BL43" s="246">
        <f t="shared" si="16"/>
        <v>0</v>
      </c>
      <c r="BM43" s="247">
        <f t="shared" si="17"/>
        <v>0</v>
      </c>
      <c r="BN43" s="248"/>
      <c r="BO43" s="250"/>
      <c r="BP43" s="250"/>
      <c r="BQ43" s="266"/>
      <c r="BR43" s="251" t="s">
        <v>968</v>
      </c>
      <c r="BS43" s="246">
        <f t="shared" si="18"/>
        <v>0</v>
      </c>
      <c r="BT43" s="247">
        <f t="shared" si="19"/>
        <v>0</v>
      </c>
      <c r="BU43" s="254"/>
      <c r="BV43" s="250"/>
      <c r="BW43" s="250"/>
      <c r="BX43" s="221"/>
      <c r="BY43" s="251"/>
      <c r="BZ43" s="246">
        <f t="shared" si="20"/>
        <v>0</v>
      </c>
      <c r="CA43" s="247">
        <f t="shared" si="21"/>
        <v>0</v>
      </c>
      <c r="CB43" s="254"/>
      <c r="CC43" s="250"/>
      <c r="CD43" s="250"/>
      <c r="CE43" s="221"/>
      <c r="CF43" s="251"/>
      <c r="CG43" s="246">
        <f t="shared" si="22"/>
        <v>0</v>
      </c>
      <c r="CH43" s="247">
        <f t="shared" si="23"/>
        <v>0</v>
      </c>
      <c r="CI43" s="254"/>
      <c r="CJ43" s="250"/>
      <c r="CK43" s="250"/>
      <c r="CL43" s="250"/>
      <c r="CM43" s="251"/>
      <c r="CN43" s="246">
        <f t="shared" si="24"/>
        <v>0</v>
      </c>
      <c r="CO43" s="247">
        <f t="shared" si="25"/>
        <v>0</v>
      </c>
      <c r="CP43" s="254"/>
      <c r="CQ43" s="250"/>
      <c r="CR43" s="250"/>
      <c r="CS43" s="221"/>
      <c r="CT43" s="251"/>
      <c r="CU43" s="246">
        <f t="shared" si="26"/>
        <v>0</v>
      </c>
      <c r="CV43" s="247">
        <f t="shared" si="27"/>
        <v>0</v>
      </c>
      <c r="CW43" s="254"/>
      <c r="CX43" s="250"/>
      <c r="CY43" s="250"/>
      <c r="CZ43" s="221"/>
      <c r="DA43" s="251"/>
      <c r="DB43" s="246">
        <f t="shared" si="28"/>
        <v>0</v>
      </c>
      <c r="DC43" s="247">
        <f t="shared" si="29"/>
        <v>0</v>
      </c>
      <c r="DD43" s="248"/>
      <c r="DE43" s="250"/>
      <c r="DF43" s="250"/>
      <c r="DG43" s="266"/>
      <c r="DH43" s="251" t="s">
        <v>968</v>
      </c>
      <c r="DI43" s="246">
        <f t="shared" si="30"/>
        <v>0</v>
      </c>
      <c r="DJ43" s="255">
        <f t="shared" si="31"/>
        <v>0</v>
      </c>
      <c r="DK43" s="209"/>
      <c r="DL43" s="220"/>
      <c r="DM43" s="221"/>
      <c r="DO43" s="256"/>
      <c r="DP43" s="257"/>
      <c r="DR43" s="258">
        <f t="shared" si="32"/>
        <v>0</v>
      </c>
      <c r="DS43" s="258">
        <f t="shared" si="33"/>
        <v>0</v>
      </c>
      <c r="DT43" s="258">
        <f t="shared" si="34"/>
        <v>0</v>
      </c>
      <c r="DU43" s="258">
        <f t="shared" si="35"/>
        <v>0</v>
      </c>
      <c r="DV43" s="259">
        <f t="shared" si="36"/>
        <v>0</v>
      </c>
      <c r="DW43" s="259">
        <f t="shared" si="37"/>
        <v>0</v>
      </c>
    </row>
    <row r="44" spans="1:127" s="194" customFormat="1" ht="15.75" x14ac:dyDescent="0.2">
      <c r="A44" s="239">
        <v>17</v>
      </c>
      <c r="B44" s="240" t="s">
        <v>980</v>
      </c>
      <c r="C44" s="241"/>
      <c r="D44" s="271"/>
      <c r="E44" s="272"/>
      <c r="F44" s="263"/>
      <c r="G44" s="245" t="s">
        <v>968</v>
      </c>
      <c r="H44" s="246">
        <f t="shared" si="0"/>
        <v>0</v>
      </c>
      <c r="I44" s="247">
        <f t="shared" si="1"/>
        <v>0</v>
      </c>
      <c r="J44" s="248"/>
      <c r="K44" s="250"/>
      <c r="L44" s="250"/>
      <c r="M44" s="266"/>
      <c r="N44" s="251" t="s">
        <v>968</v>
      </c>
      <c r="O44" s="246">
        <f t="shared" si="2"/>
        <v>0</v>
      </c>
      <c r="P44" s="247">
        <f t="shared" si="3"/>
        <v>0</v>
      </c>
      <c r="Q44" s="248"/>
      <c r="R44" s="250"/>
      <c r="S44" s="250"/>
      <c r="T44" s="266"/>
      <c r="U44" s="251" t="s">
        <v>968</v>
      </c>
      <c r="V44" s="246">
        <f t="shared" si="4"/>
        <v>0</v>
      </c>
      <c r="W44" s="247">
        <f t="shared" si="5"/>
        <v>0</v>
      </c>
      <c r="X44" s="248"/>
      <c r="Y44" s="250"/>
      <c r="Z44" s="250"/>
      <c r="AA44" s="266"/>
      <c r="AB44" s="251" t="s">
        <v>968</v>
      </c>
      <c r="AC44" s="246">
        <f t="shared" si="6"/>
        <v>0</v>
      </c>
      <c r="AD44" s="247">
        <f t="shared" si="7"/>
        <v>0</v>
      </c>
      <c r="AE44" s="248"/>
      <c r="AF44" s="273"/>
      <c r="AG44" s="250"/>
      <c r="AH44" s="266"/>
      <c r="AI44" s="251" t="s">
        <v>968</v>
      </c>
      <c r="AJ44" s="246">
        <f t="shared" si="8"/>
        <v>0</v>
      </c>
      <c r="AK44" s="247">
        <f t="shared" si="9"/>
        <v>0</v>
      </c>
      <c r="AL44" s="248"/>
      <c r="AM44" s="250"/>
      <c r="AN44" s="250"/>
      <c r="AO44" s="266"/>
      <c r="AP44" s="251" t="s">
        <v>968</v>
      </c>
      <c r="AQ44" s="246">
        <f t="shared" si="10"/>
        <v>0</v>
      </c>
      <c r="AR44" s="247">
        <f t="shared" si="11"/>
        <v>0</v>
      </c>
      <c r="AS44" s="248"/>
      <c r="AT44" s="250"/>
      <c r="AU44" s="250"/>
      <c r="AV44" s="266"/>
      <c r="AW44" s="251" t="s">
        <v>968</v>
      </c>
      <c r="AX44" s="246">
        <f t="shared" si="12"/>
        <v>0</v>
      </c>
      <c r="AY44" s="247">
        <f t="shared" si="13"/>
        <v>0</v>
      </c>
      <c r="AZ44" s="248"/>
      <c r="BA44" s="250"/>
      <c r="BB44" s="250"/>
      <c r="BC44" s="266"/>
      <c r="BD44" s="251" t="s">
        <v>968</v>
      </c>
      <c r="BE44" s="246">
        <f t="shared" si="14"/>
        <v>0</v>
      </c>
      <c r="BF44" s="247">
        <f t="shared" si="15"/>
        <v>0</v>
      </c>
      <c r="BG44" s="248"/>
      <c r="BH44" s="250"/>
      <c r="BI44" s="250"/>
      <c r="BJ44" s="266"/>
      <c r="BK44" s="251" t="s">
        <v>968</v>
      </c>
      <c r="BL44" s="246">
        <f t="shared" si="16"/>
        <v>0</v>
      </c>
      <c r="BM44" s="247">
        <f t="shared" si="17"/>
        <v>0</v>
      </c>
      <c r="BN44" s="248"/>
      <c r="BO44" s="250"/>
      <c r="BP44" s="250"/>
      <c r="BQ44" s="266"/>
      <c r="BR44" s="251" t="s">
        <v>968</v>
      </c>
      <c r="BS44" s="246">
        <f t="shared" si="18"/>
        <v>0</v>
      </c>
      <c r="BT44" s="247">
        <f t="shared" si="19"/>
        <v>0</v>
      </c>
      <c r="BU44" s="248"/>
      <c r="BV44" s="250"/>
      <c r="BW44" s="250"/>
      <c r="BX44" s="266"/>
      <c r="BY44" s="251" t="s">
        <v>968</v>
      </c>
      <c r="BZ44" s="246">
        <f t="shared" si="20"/>
        <v>0</v>
      </c>
      <c r="CA44" s="247">
        <f t="shared" si="21"/>
        <v>0</v>
      </c>
      <c r="CB44" s="248"/>
      <c r="CC44" s="250"/>
      <c r="CD44" s="250"/>
      <c r="CE44" s="266"/>
      <c r="CF44" s="251" t="s">
        <v>968</v>
      </c>
      <c r="CG44" s="246">
        <f t="shared" si="22"/>
        <v>0</v>
      </c>
      <c r="CH44" s="247">
        <f t="shared" si="23"/>
        <v>0</v>
      </c>
      <c r="CI44" s="248"/>
      <c r="CJ44" s="250"/>
      <c r="CK44" s="250"/>
      <c r="CL44" s="274"/>
      <c r="CM44" s="251" t="s">
        <v>968</v>
      </c>
      <c r="CN44" s="246">
        <f t="shared" si="24"/>
        <v>0</v>
      </c>
      <c r="CO44" s="247">
        <f t="shared" si="25"/>
        <v>0</v>
      </c>
      <c r="CP44" s="254"/>
      <c r="CQ44" s="250"/>
      <c r="CR44" s="250"/>
      <c r="CS44" s="221"/>
      <c r="CT44" s="251"/>
      <c r="CU44" s="246">
        <f t="shared" si="26"/>
        <v>0</v>
      </c>
      <c r="CV44" s="247">
        <f t="shared" si="27"/>
        <v>0</v>
      </c>
      <c r="CW44" s="254"/>
      <c r="CX44" s="250"/>
      <c r="CY44" s="250"/>
      <c r="CZ44" s="221"/>
      <c r="DA44" s="251"/>
      <c r="DB44" s="246">
        <f t="shared" si="28"/>
        <v>0</v>
      </c>
      <c r="DC44" s="247">
        <f t="shared" si="29"/>
        <v>0</v>
      </c>
      <c r="DD44" s="248"/>
      <c r="DE44" s="250"/>
      <c r="DF44" s="250"/>
      <c r="DG44" s="266"/>
      <c r="DH44" s="251" t="s">
        <v>968</v>
      </c>
      <c r="DI44" s="246">
        <f t="shared" si="30"/>
        <v>0</v>
      </c>
      <c r="DJ44" s="255">
        <f t="shared" si="31"/>
        <v>0</v>
      </c>
      <c r="DK44" s="209"/>
      <c r="DL44" s="220"/>
      <c r="DM44" s="221"/>
      <c r="DO44" s="256"/>
      <c r="DP44" s="257"/>
      <c r="DR44" s="258">
        <f t="shared" si="32"/>
        <v>0</v>
      </c>
      <c r="DS44" s="258">
        <f t="shared" si="33"/>
        <v>0</v>
      </c>
      <c r="DT44" s="258">
        <f t="shared" si="34"/>
        <v>0</v>
      </c>
      <c r="DU44" s="258">
        <f t="shared" si="35"/>
        <v>0</v>
      </c>
      <c r="DV44" s="259">
        <f t="shared" si="36"/>
        <v>0</v>
      </c>
      <c r="DW44" s="259">
        <f t="shared" si="37"/>
        <v>0</v>
      </c>
    </row>
    <row r="45" spans="1:127" s="194" customFormat="1" ht="15.75" x14ac:dyDescent="0.2">
      <c r="A45" s="239">
        <v>18</v>
      </c>
      <c r="B45" s="240" t="s">
        <v>981</v>
      </c>
      <c r="C45" s="276"/>
      <c r="D45" s="271"/>
      <c r="E45" s="272"/>
      <c r="F45" s="244"/>
      <c r="G45" s="245"/>
      <c r="H45" s="246">
        <f t="shared" si="0"/>
        <v>0</v>
      </c>
      <c r="I45" s="247">
        <f t="shared" si="1"/>
        <v>0</v>
      </c>
      <c r="J45" s="254"/>
      <c r="K45" s="250"/>
      <c r="L45" s="250"/>
      <c r="M45" s="221"/>
      <c r="N45" s="251"/>
      <c r="O45" s="246">
        <f t="shared" si="2"/>
        <v>0</v>
      </c>
      <c r="P45" s="247">
        <f t="shared" si="3"/>
        <v>0</v>
      </c>
      <c r="Q45" s="254"/>
      <c r="R45" s="250"/>
      <c r="S45" s="250"/>
      <c r="T45" s="221"/>
      <c r="U45" s="251"/>
      <c r="V45" s="246">
        <f t="shared" si="4"/>
        <v>0</v>
      </c>
      <c r="W45" s="247">
        <f t="shared" si="5"/>
        <v>0</v>
      </c>
      <c r="X45" s="248"/>
      <c r="Y45" s="250"/>
      <c r="Z45" s="253"/>
      <c r="AA45" s="221"/>
      <c r="AB45" s="251" t="s">
        <v>968</v>
      </c>
      <c r="AC45" s="246">
        <f t="shared" si="6"/>
        <v>0</v>
      </c>
      <c r="AD45" s="247">
        <f t="shared" si="7"/>
        <v>0</v>
      </c>
      <c r="AE45" s="254"/>
      <c r="AF45" s="273"/>
      <c r="AG45" s="250"/>
      <c r="AH45" s="221"/>
      <c r="AI45" s="251"/>
      <c r="AJ45" s="246">
        <f t="shared" si="8"/>
        <v>0</v>
      </c>
      <c r="AK45" s="247">
        <f t="shared" si="9"/>
        <v>0</v>
      </c>
      <c r="AL45" s="248"/>
      <c r="AM45" s="250"/>
      <c r="AN45" s="253"/>
      <c r="AO45" s="221"/>
      <c r="AP45" s="251" t="s">
        <v>968</v>
      </c>
      <c r="AQ45" s="246">
        <f t="shared" si="10"/>
        <v>0</v>
      </c>
      <c r="AR45" s="247">
        <f t="shared" si="11"/>
        <v>0</v>
      </c>
      <c r="AS45" s="254"/>
      <c r="AT45" s="250"/>
      <c r="AU45" s="250"/>
      <c r="AV45" s="221"/>
      <c r="AW45" s="251"/>
      <c r="AX45" s="246">
        <f t="shared" si="12"/>
        <v>0</v>
      </c>
      <c r="AY45" s="247">
        <f t="shared" si="13"/>
        <v>0</v>
      </c>
      <c r="AZ45" s="248"/>
      <c r="BA45" s="250"/>
      <c r="BB45" s="253"/>
      <c r="BC45" s="221"/>
      <c r="BD45" s="251" t="s">
        <v>968</v>
      </c>
      <c r="BE45" s="246">
        <f t="shared" si="14"/>
        <v>0</v>
      </c>
      <c r="BF45" s="247">
        <f t="shared" si="15"/>
        <v>0</v>
      </c>
      <c r="BG45" s="248"/>
      <c r="BH45" s="250"/>
      <c r="BI45" s="253"/>
      <c r="BJ45" s="221"/>
      <c r="BK45" s="251" t="s">
        <v>968</v>
      </c>
      <c r="BL45" s="246">
        <f t="shared" si="16"/>
        <v>0</v>
      </c>
      <c r="BM45" s="247">
        <f t="shared" si="17"/>
        <v>0</v>
      </c>
      <c r="BN45" s="248"/>
      <c r="BO45" s="250"/>
      <c r="BP45" s="253"/>
      <c r="BQ45" s="221"/>
      <c r="BR45" s="251" t="s">
        <v>968</v>
      </c>
      <c r="BS45" s="246">
        <f t="shared" si="18"/>
        <v>0</v>
      </c>
      <c r="BT45" s="247">
        <f t="shared" si="19"/>
        <v>0</v>
      </c>
      <c r="BU45" s="248"/>
      <c r="BV45" s="250"/>
      <c r="BW45" s="253"/>
      <c r="BX45" s="221"/>
      <c r="BY45" s="251" t="s">
        <v>968</v>
      </c>
      <c r="BZ45" s="246">
        <f t="shared" si="20"/>
        <v>0</v>
      </c>
      <c r="CA45" s="247">
        <f t="shared" si="21"/>
        <v>0</v>
      </c>
      <c r="CB45" s="248"/>
      <c r="CC45" s="250"/>
      <c r="CD45" s="253"/>
      <c r="CE45" s="221"/>
      <c r="CF45" s="251" t="s">
        <v>968</v>
      </c>
      <c r="CG45" s="246">
        <f t="shared" si="22"/>
        <v>0</v>
      </c>
      <c r="CH45" s="247">
        <f t="shared" si="23"/>
        <v>0</v>
      </c>
      <c r="CI45" s="254"/>
      <c r="CJ45" s="250"/>
      <c r="CK45" s="250"/>
      <c r="CL45" s="250"/>
      <c r="CM45" s="251"/>
      <c r="CN45" s="246">
        <f t="shared" si="24"/>
        <v>0</v>
      </c>
      <c r="CO45" s="247">
        <f t="shared" si="25"/>
        <v>0</v>
      </c>
      <c r="CP45" s="254"/>
      <c r="CQ45" s="250"/>
      <c r="CR45" s="250"/>
      <c r="CS45" s="221"/>
      <c r="CT45" s="251"/>
      <c r="CU45" s="246">
        <f t="shared" si="26"/>
        <v>0</v>
      </c>
      <c r="CV45" s="247">
        <f t="shared" si="27"/>
        <v>0</v>
      </c>
      <c r="CW45" s="254"/>
      <c r="CX45" s="250"/>
      <c r="CY45" s="250"/>
      <c r="CZ45" s="221"/>
      <c r="DA45" s="251"/>
      <c r="DB45" s="246">
        <f t="shared" si="28"/>
        <v>0</v>
      </c>
      <c r="DC45" s="247">
        <f t="shared" si="29"/>
        <v>0</v>
      </c>
      <c r="DD45" s="248"/>
      <c r="DE45" s="250"/>
      <c r="DF45" s="250"/>
      <c r="DG45" s="266"/>
      <c r="DH45" s="251" t="s">
        <v>968</v>
      </c>
      <c r="DI45" s="246">
        <f t="shared" si="30"/>
        <v>0</v>
      </c>
      <c r="DJ45" s="255">
        <f t="shared" si="31"/>
        <v>0</v>
      </c>
      <c r="DK45" s="209"/>
      <c r="DL45" s="220"/>
      <c r="DM45" s="221"/>
      <c r="DO45" s="256"/>
      <c r="DP45" s="257"/>
      <c r="DR45" s="258">
        <f t="shared" si="32"/>
        <v>0</v>
      </c>
      <c r="DS45" s="258">
        <f t="shared" si="33"/>
        <v>0</v>
      </c>
      <c r="DT45" s="258">
        <f t="shared" si="34"/>
        <v>0</v>
      </c>
      <c r="DU45" s="258">
        <f t="shared" si="35"/>
        <v>0</v>
      </c>
      <c r="DV45" s="259">
        <f t="shared" si="36"/>
        <v>0</v>
      </c>
      <c r="DW45" s="259">
        <f t="shared" si="37"/>
        <v>0</v>
      </c>
    </row>
    <row r="46" spans="1:127" s="194" customFormat="1" ht="15.75" x14ac:dyDescent="0.2">
      <c r="A46" s="239">
        <v>19</v>
      </c>
      <c r="B46" s="240" t="s">
        <v>982</v>
      </c>
      <c r="C46" s="276"/>
      <c r="D46" s="271"/>
      <c r="E46" s="272"/>
      <c r="F46" s="244"/>
      <c r="G46" s="245"/>
      <c r="H46" s="246">
        <f t="shared" si="0"/>
        <v>0</v>
      </c>
      <c r="I46" s="247">
        <f t="shared" si="1"/>
        <v>0</v>
      </c>
      <c r="J46" s="254"/>
      <c r="K46" s="250"/>
      <c r="L46" s="250"/>
      <c r="M46" s="221"/>
      <c r="N46" s="251"/>
      <c r="O46" s="246">
        <f t="shared" si="2"/>
        <v>0</v>
      </c>
      <c r="P46" s="247">
        <f t="shared" si="3"/>
        <v>0</v>
      </c>
      <c r="Q46" s="254"/>
      <c r="R46" s="250"/>
      <c r="S46" s="250"/>
      <c r="T46" s="221"/>
      <c r="U46" s="251"/>
      <c r="V46" s="246">
        <f t="shared" si="4"/>
        <v>0</v>
      </c>
      <c r="W46" s="247">
        <f t="shared" si="5"/>
        <v>0</v>
      </c>
      <c r="X46" s="248"/>
      <c r="Y46" s="250"/>
      <c r="Z46" s="253"/>
      <c r="AA46" s="221"/>
      <c r="AB46" s="251" t="s">
        <v>968</v>
      </c>
      <c r="AC46" s="246">
        <f t="shared" si="6"/>
        <v>0</v>
      </c>
      <c r="AD46" s="247">
        <f t="shared" si="7"/>
        <v>0</v>
      </c>
      <c r="AE46" s="254"/>
      <c r="AF46" s="273"/>
      <c r="AG46" s="250"/>
      <c r="AH46" s="221"/>
      <c r="AI46" s="251"/>
      <c r="AJ46" s="246">
        <f t="shared" si="8"/>
        <v>0</v>
      </c>
      <c r="AK46" s="247">
        <f t="shared" si="9"/>
        <v>0</v>
      </c>
      <c r="AL46" s="248"/>
      <c r="AM46" s="250"/>
      <c r="AN46" s="250"/>
      <c r="AO46" s="266"/>
      <c r="AP46" s="251" t="s">
        <v>968</v>
      </c>
      <c r="AQ46" s="246">
        <f t="shared" si="10"/>
        <v>0</v>
      </c>
      <c r="AR46" s="247">
        <f t="shared" si="11"/>
        <v>0</v>
      </c>
      <c r="AS46" s="254"/>
      <c r="AT46" s="250"/>
      <c r="AU46" s="250"/>
      <c r="AV46" s="221"/>
      <c r="AW46" s="251"/>
      <c r="AX46" s="246">
        <f t="shared" si="12"/>
        <v>0</v>
      </c>
      <c r="AY46" s="247">
        <f t="shared" si="13"/>
        <v>0</v>
      </c>
      <c r="AZ46" s="248"/>
      <c r="BA46" s="250"/>
      <c r="BB46" s="250"/>
      <c r="BC46" s="266"/>
      <c r="BD46" s="251" t="s">
        <v>968</v>
      </c>
      <c r="BE46" s="246">
        <f t="shared" si="14"/>
        <v>0</v>
      </c>
      <c r="BF46" s="247">
        <f t="shared" si="15"/>
        <v>0</v>
      </c>
      <c r="BG46" s="248"/>
      <c r="BH46" s="250"/>
      <c r="BI46" s="250"/>
      <c r="BJ46" s="266"/>
      <c r="BK46" s="251" t="s">
        <v>968</v>
      </c>
      <c r="BL46" s="246">
        <f t="shared" si="16"/>
        <v>0</v>
      </c>
      <c r="BM46" s="247">
        <f t="shared" si="17"/>
        <v>0</v>
      </c>
      <c r="BN46" s="248"/>
      <c r="BO46" s="250"/>
      <c r="BP46" s="253"/>
      <c r="BQ46" s="221"/>
      <c r="BR46" s="251" t="s">
        <v>968</v>
      </c>
      <c r="BS46" s="246">
        <f t="shared" si="18"/>
        <v>0</v>
      </c>
      <c r="BT46" s="247">
        <f t="shared" si="19"/>
        <v>0</v>
      </c>
      <c r="BU46" s="248"/>
      <c r="BV46" s="250"/>
      <c r="BW46" s="250"/>
      <c r="BX46" s="266"/>
      <c r="BY46" s="251" t="s">
        <v>968</v>
      </c>
      <c r="BZ46" s="246">
        <f t="shared" si="20"/>
        <v>0</v>
      </c>
      <c r="CA46" s="247">
        <f t="shared" si="21"/>
        <v>0</v>
      </c>
      <c r="CB46" s="248"/>
      <c r="CC46" s="250"/>
      <c r="CD46" s="250"/>
      <c r="CE46" s="266"/>
      <c r="CF46" s="251" t="s">
        <v>968</v>
      </c>
      <c r="CG46" s="246">
        <f t="shared" si="22"/>
        <v>0</v>
      </c>
      <c r="CH46" s="247">
        <f t="shared" si="23"/>
        <v>0</v>
      </c>
      <c r="CI46" s="248"/>
      <c r="CJ46" s="250"/>
      <c r="CK46" s="250"/>
      <c r="CL46" s="274"/>
      <c r="CM46" s="251" t="s">
        <v>968</v>
      </c>
      <c r="CN46" s="246">
        <f t="shared" si="24"/>
        <v>0</v>
      </c>
      <c r="CO46" s="247">
        <f t="shared" si="25"/>
        <v>0</v>
      </c>
      <c r="CP46" s="254"/>
      <c r="CQ46" s="250"/>
      <c r="CR46" s="250"/>
      <c r="CS46" s="221"/>
      <c r="CT46" s="251"/>
      <c r="CU46" s="246">
        <f t="shared" si="26"/>
        <v>0</v>
      </c>
      <c r="CV46" s="247">
        <f t="shared" si="27"/>
        <v>0</v>
      </c>
      <c r="CW46" s="248"/>
      <c r="CX46" s="250"/>
      <c r="CY46" s="250"/>
      <c r="CZ46" s="266"/>
      <c r="DA46" s="251" t="s">
        <v>968</v>
      </c>
      <c r="DB46" s="246">
        <f t="shared" si="28"/>
        <v>0</v>
      </c>
      <c r="DC46" s="247">
        <f t="shared" si="29"/>
        <v>0</v>
      </c>
      <c r="DD46" s="248"/>
      <c r="DE46" s="250"/>
      <c r="DF46" s="250"/>
      <c r="DG46" s="266"/>
      <c r="DH46" s="251" t="s">
        <v>968</v>
      </c>
      <c r="DI46" s="246">
        <f t="shared" si="30"/>
        <v>0</v>
      </c>
      <c r="DJ46" s="255">
        <f t="shared" si="31"/>
        <v>0</v>
      </c>
      <c r="DK46" s="209"/>
      <c r="DL46" s="220"/>
      <c r="DM46" s="221"/>
      <c r="DO46" s="256"/>
      <c r="DP46" s="257"/>
      <c r="DR46" s="258">
        <f t="shared" si="32"/>
        <v>0</v>
      </c>
      <c r="DS46" s="258">
        <f t="shared" si="33"/>
        <v>0</v>
      </c>
      <c r="DT46" s="258">
        <f t="shared" si="34"/>
        <v>0</v>
      </c>
      <c r="DU46" s="258">
        <f t="shared" si="35"/>
        <v>0</v>
      </c>
      <c r="DV46" s="259">
        <f t="shared" si="36"/>
        <v>0</v>
      </c>
      <c r="DW46" s="259">
        <f t="shared" si="37"/>
        <v>0</v>
      </c>
    </row>
    <row r="47" spans="1:127" s="209" customFormat="1" ht="25.5" x14ac:dyDescent="0.2">
      <c r="A47" s="239">
        <v>20</v>
      </c>
      <c r="B47" s="240" t="s">
        <v>983</v>
      </c>
      <c r="C47" s="241"/>
      <c r="D47" s="271"/>
      <c r="E47" s="272"/>
      <c r="F47" s="263"/>
      <c r="G47" s="245" t="s">
        <v>968</v>
      </c>
      <c r="H47" s="278">
        <f t="shared" si="0"/>
        <v>0</v>
      </c>
      <c r="I47" s="255">
        <f t="shared" si="1"/>
        <v>0</v>
      </c>
      <c r="J47" s="248"/>
      <c r="K47" s="273"/>
      <c r="L47" s="253"/>
      <c r="M47" s="221"/>
      <c r="N47" s="251" t="s">
        <v>968</v>
      </c>
      <c r="O47" s="246">
        <f t="shared" si="2"/>
        <v>0</v>
      </c>
      <c r="P47" s="255">
        <f t="shared" si="3"/>
        <v>0</v>
      </c>
      <c r="Q47" s="248"/>
      <c r="R47" s="273"/>
      <c r="S47" s="253"/>
      <c r="T47" s="221"/>
      <c r="U47" s="251" t="s">
        <v>968</v>
      </c>
      <c r="V47" s="246">
        <f t="shared" si="4"/>
        <v>0</v>
      </c>
      <c r="W47" s="255">
        <f t="shared" si="5"/>
        <v>0</v>
      </c>
      <c r="X47" s="248"/>
      <c r="Y47" s="273"/>
      <c r="Z47" s="253"/>
      <c r="AA47" s="221"/>
      <c r="AB47" s="251" t="s">
        <v>968</v>
      </c>
      <c r="AC47" s="278">
        <f t="shared" si="6"/>
        <v>0</v>
      </c>
      <c r="AD47" s="255">
        <f t="shared" si="7"/>
        <v>0</v>
      </c>
      <c r="AE47" s="248"/>
      <c r="AF47" s="273"/>
      <c r="AG47" s="253"/>
      <c r="AH47" s="221"/>
      <c r="AI47" s="251" t="s">
        <v>968</v>
      </c>
      <c r="AJ47" s="278">
        <f t="shared" si="8"/>
        <v>0</v>
      </c>
      <c r="AK47" s="255">
        <f t="shared" si="9"/>
        <v>0</v>
      </c>
      <c r="AL47" s="248"/>
      <c r="AM47" s="273"/>
      <c r="AN47" s="253"/>
      <c r="AO47" s="221"/>
      <c r="AP47" s="251" t="s">
        <v>968</v>
      </c>
      <c r="AQ47" s="278">
        <f t="shared" si="10"/>
        <v>0</v>
      </c>
      <c r="AR47" s="255">
        <f t="shared" si="11"/>
        <v>0</v>
      </c>
      <c r="AS47" s="248"/>
      <c r="AT47" s="273"/>
      <c r="AU47" s="253"/>
      <c r="AV47" s="221"/>
      <c r="AW47" s="251" t="s">
        <v>968</v>
      </c>
      <c r="AX47" s="278">
        <f t="shared" si="12"/>
        <v>0</v>
      </c>
      <c r="AY47" s="255">
        <f t="shared" si="13"/>
        <v>0</v>
      </c>
      <c r="AZ47" s="248"/>
      <c r="BA47" s="273"/>
      <c r="BB47" s="253"/>
      <c r="BC47" s="221"/>
      <c r="BD47" s="251" t="s">
        <v>968</v>
      </c>
      <c r="BE47" s="278">
        <f t="shared" si="14"/>
        <v>0</v>
      </c>
      <c r="BF47" s="255">
        <f t="shared" si="15"/>
        <v>0</v>
      </c>
      <c r="BG47" s="248"/>
      <c r="BH47" s="273"/>
      <c r="BI47" s="253"/>
      <c r="BJ47" s="221"/>
      <c r="BK47" s="251" t="s">
        <v>968</v>
      </c>
      <c r="BL47" s="278">
        <f t="shared" si="16"/>
        <v>0</v>
      </c>
      <c r="BM47" s="255">
        <f t="shared" si="17"/>
        <v>0</v>
      </c>
      <c r="BN47" s="248"/>
      <c r="BO47" s="273"/>
      <c r="BP47" s="253"/>
      <c r="BQ47" s="221"/>
      <c r="BR47" s="251" t="s">
        <v>968</v>
      </c>
      <c r="BS47" s="278">
        <f t="shared" si="18"/>
        <v>0</v>
      </c>
      <c r="BT47" s="255">
        <f t="shared" si="19"/>
        <v>0</v>
      </c>
      <c r="BU47" s="248"/>
      <c r="BV47" s="273"/>
      <c r="BW47" s="253"/>
      <c r="BX47" s="221"/>
      <c r="BY47" s="251" t="s">
        <v>968</v>
      </c>
      <c r="BZ47" s="278">
        <f t="shared" si="20"/>
        <v>0</v>
      </c>
      <c r="CA47" s="255">
        <f t="shared" si="21"/>
        <v>0</v>
      </c>
      <c r="CB47" s="248"/>
      <c r="CC47" s="250"/>
      <c r="CD47" s="253"/>
      <c r="CE47" s="221"/>
      <c r="CF47" s="251" t="s">
        <v>968</v>
      </c>
      <c r="CG47" s="278">
        <f t="shared" si="22"/>
        <v>0</v>
      </c>
      <c r="CH47" s="255">
        <f t="shared" si="23"/>
        <v>0</v>
      </c>
      <c r="CI47" s="254"/>
      <c r="CJ47" s="250"/>
      <c r="CK47" s="250"/>
      <c r="CL47" s="250"/>
      <c r="CM47" s="251"/>
      <c r="CN47" s="278">
        <f t="shared" si="24"/>
        <v>0</v>
      </c>
      <c r="CO47" s="255">
        <f t="shared" si="25"/>
        <v>0</v>
      </c>
      <c r="CP47" s="248"/>
      <c r="CQ47" s="250"/>
      <c r="CR47" s="253"/>
      <c r="CS47" s="221"/>
      <c r="CT47" s="251" t="s">
        <v>968</v>
      </c>
      <c r="CU47" s="278">
        <f t="shared" si="26"/>
        <v>0</v>
      </c>
      <c r="CV47" s="255">
        <f t="shared" si="27"/>
        <v>0</v>
      </c>
      <c r="CW47" s="248"/>
      <c r="CX47" s="250"/>
      <c r="CY47" s="253"/>
      <c r="CZ47" s="221"/>
      <c r="DA47" s="251" t="s">
        <v>968</v>
      </c>
      <c r="DB47" s="278">
        <f t="shared" si="28"/>
        <v>0</v>
      </c>
      <c r="DC47" s="255">
        <f t="shared" si="29"/>
        <v>0</v>
      </c>
      <c r="DD47" s="248"/>
      <c r="DE47" s="250"/>
      <c r="DF47" s="250"/>
      <c r="DG47" s="266"/>
      <c r="DH47" s="251" t="s">
        <v>968</v>
      </c>
      <c r="DI47" s="278">
        <f t="shared" si="30"/>
        <v>0</v>
      </c>
      <c r="DJ47" s="255">
        <f t="shared" si="31"/>
        <v>0</v>
      </c>
      <c r="DL47" s="220"/>
      <c r="DM47" s="221"/>
      <c r="DO47" s="256"/>
      <c r="DP47" s="257"/>
      <c r="DR47" s="258">
        <f t="shared" si="32"/>
        <v>0</v>
      </c>
      <c r="DS47" s="258">
        <f t="shared" si="33"/>
        <v>0</v>
      </c>
      <c r="DT47" s="258">
        <f t="shared" si="34"/>
        <v>0</v>
      </c>
      <c r="DU47" s="258">
        <f t="shared" si="35"/>
        <v>0</v>
      </c>
      <c r="DV47" s="259">
        <f t="shared" si="36"/>
        <v>0</v>
      </c>
      <c r="DW47" s="259">
        <f t="shared" si="37"/>
        <v>0</v>
      </c>
    </row>
    <row r="48" spans="1:127" s="194" customFormat="1" ht="15.75" x14ac:dyDescent="0.2">
      <c r="A48" s="239">
        <v>21</v>
      </c>
      <c r="B48" s="240" t="s">
        <v>984</v>
      </c>
      <c r="C48" s="241"/>
      <c r="D48" s="242"/>
      <c r="E48" s="272"/>
      <c r="F48" s="244"/>
      <c r="G48" s="245" t="s">
        <v>968</v>
      </c>
      <c r="H48" s="278">
        <f t="shared" si="0"/>
        <v>0</v>
      </c>
      <c r="I48" s="255">
        <f t="shared" si="1"/>
        <v>0</v>
      </c>
      <c r="J48" s="248"/>
      <c r="K48" s="252"/>
      <c r="L48" s="250"/>
      <c r="M48" s="221"/>
      <c r="N48" s="251" t="s">
        <v>968</v>
      </c>
      <c r="O48" s="246">
        <f t="shared" si="2"/>
        <v>0</v>
      </c>
      <c r="P48" s="255">
        <f t="shared" si="3"/>
        <v>0</v>
      </c>
      <c r="Q48" s="248"/>
      <c r="R48" s="252"/>
      <c r="S48" s="250"/>
      <c r="T48" s="221"/>
      <c r="U48" s="251" t="s">
        <v>968</v>
      </c>
      <c r="V48" s="246">
        <f t="shared" si="4"/>
        <v>0</v>
      </c>
      <c r="W48" s="255">
        <f t="shared" si="5"/>
        <v>0</v>
      </c>
      <c r="X48" s="254"/>
      <c r="Y48" s="250"/>
      <c r="Z48" s="250"/>
      <c r="AA48" s="221"/>
      <c r="AB48" s="251"/>
      <c r="AC48" s="278">
        <f t="shared" si="6"/>
        <v>0</v>
      </c>
      <c r="AD48" s="255">
        <f t="shared" si="7"/>
        <v>0</v>
      </c>
      <c r="AE48" s="248"/>
      <c r="AF48" s="252"/>
      <c r="AG48" s="250"/>
      <c r="AH48" s="221"/>
      <c r="AI48" s="251" t="s">
        <v>968</v>
      </c>
      <c r="AJ48" s="278">
        <f t="shared" si="8"/>
        <v>0</v>
      </c>
      <c r="AK48" s="255">
        <f t="shared" si="9"/>
        <v>0</v>
      </c>
      <c r="AL48" s="248"/>
      <c r="AM48" s="252"/>
      <c r="AN48" s="250"/>
      <c r="AO48" s="221"/>
      <c r="AP48" s="251" t="s">
        <v>968</v>
      </c>
      <c r="AQ48" s="278">
        <f t="shared" si="10"/>
        <v>0</v>
      </c>
      <c r="AR48" s="255">
        <f t="shared" si="11"/>
        <v>0</v>
      </c>
      <c r="AS48" s="248"/>
      <c r="AT48" s="252"/>
      <c r="AU48" s="250"/>
      <c r="AV48" s="221"/>
      <c r="AW48" s="251" t="s">
        <v>968</v>
      </c>
      <c r="AX48" s="278">
        <f t="shared" si="12"/>
        <v>0</v>
      </c>
      <c r="AY48" s="255">
        <f t="shared" si="13"/>
        <v>0</v>
      </c>
      <c r="AZ48" s="248"/>
      <c r="BA48" s="252"/>
      <c r="BB48" s="250"/>
      <c r="BC48" s="221"/>
      <c r="BD48" s="251" t="s">
        <v>968</v>
      </c>
      <c r="BE48" s="278">
        <f t="shared" si="14"/>
        <v>0</v>
      </c>
      <c r="BF48" s="255">
        <f t="shared" si="15"/>
        <v>0</v>
      </c>
      <c r="BG48" s="248"/>
      <c r="BH48" s="252"/>
      <c r="BI48" s="250"/>
      <c r="BJ48" s="221"/>
      <c r="BK48" s="251" t="s">
        <v>968</v>
      </c>
      <c r="BL48" s="278">
        <f t="shared" si="16"/>
        <v>0</v>
      </c>
      <c r="BM48" s="255">
        <f t="shared" si="17"/>
        <v>0</v>
      </c>
      <c r="BN48" s="248"/>
      <c r="BO48" s="252"/>
      <c r="BP48" s="250"/>
      <c r="BQ48" s="221"/>
      <c r="BR48" s="251" t="s">
        <v>968</v>
      </c>
      <c r="BS48" s="278">
        <f t="shared" si="18"/>
        <v>0</v>
      </c>
      <c r="BT48" s="255">
        <f t="shared" si="19"/>
        <v>0</v>
      </c>
      <c r="BU48" s="248"/>
      <c r="BV48" s="252"/>
      <c r="BW48" s="250"/>
      <c r="BX48" s="221"/>
      <c r="BY48" s="251" t="s">
        <v>968</v>
      </c>
      <c r="BZ48" s="278">
        <f t="shared" si="20"/>
        <v>0</v>
      </c>
      <c r="CA48" s="255">
        <f t="shared" si="21"/>
        <v>0</v>
      </c>
      <c r="CB48" s="248"/>
      <c r="CC48" s="252"/>
      <c r="CD48" s="250"/>
      <c r="CE48" s="221"/>
      <c r="CF48" s="251" t="s">
        <v>968</v>
      </c>
      <c r="CG48" s="278">
        <f t="shared" si="22"/>
        <v>0</v>
      </c>
      <c r="CH48" s="255">
        <f t="shared" si="23"/>
        <v>0</v>
      </c>
      <c r="CI48" s="254"/>
      <c r="CJ48" s="250"/>
      <c r="CK48" s="250"/>
      <c r="CL48" s="250"/>
      <c r="CM48" s="251"/>
      <c r="CN48" s="278">
        <f t="shared" si="24"/>
        <v>0</v>
      </c>
      <c r="CO48" s="255">
        <f t="shared" si="25"/>
        <v>0</v>
      </c>
      <c r="CP48" s="248"/>
      <c r="CQ48" s="252"/>
      <c r="CR48" s="250"/>
      <c r="CS48" s="221"/>
      <c r="CT48" s="251" t="s">
        <v>968</v>
      </c>
      <c r="CU48" s="278">
        <f t="shared" si="26"/>
        <v>0</v>
      </c>
      <c r="CV48" s="255">
        <f t="shared" si="27"/>
        <v>0</v>
      </c>
      <c r="CW48" s="254"/>
      <c r="CX48" s="250"/>
      <c r="CY48" s="250"/>
      <c r="CZ48" s="221"/>
      <c r="DA48" s="251"/>
      <c r="DB48" s="278">
        <f t="shared" si="28"/>
        <v>0</v>
      </c>
      <c r="DC48" s="255">
        <f t="shared" si="29"/>
        <v>0</v>
      </c>
      <c r="DD48" s="248"/>
      <c r="DE48" s="252"/>
      <c r="DF48" s="250"/>
      <c r="DG48" s="221"/>
      <c r="DH48" s="251" t="s">
        <v>968</v>
      </c>
      <c r="DI48" s="278">
        <f t="shared" si="30"/>
        <v>0</v>
      </c>
      <c r="DJ48" s="255">
        <f t="shared" si="31"/>
        <v>0</v>
      </c>
      <c r="DK48" s="209"/>
      <c r="DL48" s="220"/>
      <c r="DM48" s="221"/>
      <c r="DO48" s="256"/>
      <c r="DP48" s="257"/>
      <c r="DR48" s="258">
        <f t="shared" si="32"/>
        <v>0</v>
      </c>
      <c r="DS48" s="258">
        <f t="shared" si="33"/>
        <v>0</v>
      </c>
      <c r="DT48" s="258">
        <f t="shared" si="34"/>
        <v>0</v>
      </c>
      <c r="DU48" s="258">
        <f t="shared" si="35"/>
        <v>0</v>
      </c>
      <c r="DV48" s="259">
        <f t="shared" si="36"/>
        <v>0</v>
      </c>
      <c r="DW48" s="259">
        <f t="shared" si="37"/>
        <v>0</v>
      </c>
    </row>
    <row r="49" spans="1:127" s="194" customFormat="1" ht="15.75" x14ac:dyDescent="0.2">
      <c r="A49" s="239">
        <v>22</v>
      </c>
      <c r="B49" s="240" t="s">
        <v>985</v>
      </c>
      <c r="C49" s="241"/>
      <c r="D49" s="271"/>
      <c r="E49" s="272"/>
      <c r="F49" s="263"/>
      <c r="G49" s="245" t="s">
        <v>968</v>
      </c>
      <c r="H49" s="246">
        <f t="shared" si="0"/>
        <v>0</v>
      </c>
      <c r="I49" s="247">
        <f t="shared" si="1"/>
        <v>0</v>
      </c>
      <c r="J49" s="248"/>
      <c r="K49" s="250"/>
      <c r="L49" s="250"/>
      <c r="M49" s="266"/>
      <c r="N49" s="251" t="s">
        <v>968</v>
      </c>
      <c r="O49" s="246">
        <f t="shared" si="2"/>
        <v>0</v>
      </c>
      <c r="P49" s="247">
        <f t="shared" si="3"/>
        <v>0</v>
      </c>
      <c r="Q49" s="248"/>
      <c r="R49" s="250"/>
      <c r="S49" s="250"/>
      <c r="T49" s="266"/>
      <c r="U49" s="251" t="s">
        <v>968</v>
      </c>
      <c r="V49" s="246">
        <f t="shared" si="4"/>
        <v>0</v>
      </c>
      <c r="W49" s="247">
        <f t="shared" si="5"/>
        <v>0</v>
      </c>
      <c r="X49" s="248"/>
      <c r="Y49" s="250"/>
      <c r="Z49" s="250"/>
      <c r="AA49" s="266"/>
      <c r="AB49" s="251" t="s">
        <v>968</v>
      </c>
      <c r="AC49" s="246">
        <f t="shared" si="6"/>
        <v>0</v>
      </c>
      <c r="AD49" s="247">
        <f t="shared" si="7"/>
        <v>0</v>
      </c>
      <c r="AE49" s="248"/>
      <c r="AF49" s="273"/>
      <c r="AG49" s="250"/>
      <c r="AH49" s="266"/>
      <c r="AI49" s="251" t="s">
        <v>968</v>
      </c>
      <c r="AJ49" s="246">
        <f t="shared" si="8"/>
        <v>0</v>
      </c>
      <c r="AK49" s="247">
        <f t="shared" si="9"/>
        <v>0</v>
      </c>
      <c r="AL49" s="248"/>
      <c r="AM49" s="250"/>
      <c r="AN49" s="250"/>
      <c r="AO49" s="266"/>
      <c r="AP49" s="251" t="s">
        <v>968</v>
      </c>
      <c r="AQ49" s="246">
        <f t="shared" si="10"/>
        <v>0</v>
      </c>
      <c r="AR49" s="247">
        <f t="shared" si="11"/>
        <v>0</v>
      </c>
      <c r="AS49" s="248"/>
      <c r="AT49" s="250"/>
      <c r="AU49" s="250"/>
      <c r="AV49" s="266"/>
      <c r="AW49" s="251" t="s">
        <v>968</v>
      </c>
      <c r="AX49" s="246">
        <f t="shared" si="12"/>
        <v>0</v>
      </c>
      <c r="AY49" s="247">
        <f t="shared" si="13"/>
        <v>0</v>
      </c>
      <c r="AZ49" s="248"/>
      <c r="BA49" s="250"/>
      <c r="BB49" s="250"/>
      <c r="BC49" s="266"/>
      <c r="BD49" s="251" t="s">
        <v>968</v>
      </c>
      <c r="BE49" s="246">
        <f t="shared" si="14"/>
        <v>0</v>
      </c>
      <c r="BF49" s="247">
        <f t="shared" si="15"/>
        <v>0</v>
      </c>
      <c r="BG49" s="248"/>
      <c r="BH49" s="250"/>
      <c r="BI49" s="250"/>
      <c r="BJ49" s="266"/>
      <c r="BK49" s="251" t="s">
        <v>968</v>
      </c>
      <c r="BL49" s="246">
        <f t="shared" si="16"/>
        <v>0</v>
      </c>
      <c r="BM49" s="247">
        <f t="shared" si="17"/>
        <v>0</v>
      </c>
      <c r="BN49" s="248"/>
      <c r="BO49" s="250"/>
      <c r="BP49" s="250"/>
      <c r="BQ49" s="266"/>
      <c r="BR49" s="251" t="s">
        <v>968</v>
      </c>
      <c r="BS49" s="246">
        <f t="shared" si="18"/>
        <v>0</v>
      </c>
      <c r="BT49" s="247">
        <f t="shared" si="19"/>
        <v>0</v>
      </c>
      <c r="BU49" s="248"/>
      <c r="BV49" s="250"/>
      <c r="BW49" s="253"/>
      <c r="BX49" s="221"/>
      <c r="BY49" s="251" t="s">
        <v>968</v>
      </c>
      <c r="BZ49" s="246">
        <f t="shared" si="20"/>
        <v>0</v>
      </c>
      <c r="CA49" s="247">
        <f t="shared" si="21"/>
        <v>0</v>
      </c>
      <c r="CB49" s="248"/>
      <c r="CC49" s="250"/>
      <c r="CD49" s="253"/>
      <c r="CE49" s="221"/>
      <c r="CF49" s="251" t="s">
        <v>968</v>
      </c>
      <c r="CG49" s="246">
        <f t="shared" si="22"/>
        <v>0</v>
      </c>
      <c r="CH49" s="247">
        <f t="shared" si="23"/>
        <v>0</v>
      </c>
      <c r="CI49" s="254"/>
      <c r="CJ49" s="250"/>
      <c r="CK49" s="250"/>
      <c r="CL49" s="250"/>
      <c r="CM49" s="251"/>
      <c r="CN49" s="246">
        <f t="shared" si="24"/>
        <v>0</v>
      </c>
      <c r="CO49" s="247">
        <f t="shared" si="25"/>
        <v>0</v>
      </c>
      <c r="CP49" s="248"/>
      <c r="CQ49" s="250"/>
      <c r="CR49" s="250"/>
      <c r="CS49" s="266"/>
      <c r="CT49" s="251" t="s">
        <v>968</v>
      </c>
      <c r="CU49" s="246">
        <f t="shared" si="26"/>
        <v>0</v>
      </c>
      <c r="CV49" s="247">
        <f t="shared" si="27"/>
        <v>0</v>
      </c>
      <c r="CW49" s="254"/>
      <c r="CX49" s="250"/>
      <c r="CY49" s="250"/>
      <c r="CZ49" s="221"/>
      <c r="DA49" s="251"/>
      <c r="DB49" s="246">
        <f t="shared" si="28"/>
        <v>0</v>
      </c>
      <c r="DC49" s="247">
        <f t="shared" si="29"/>
        <v>0</v>
      </c>
      <c r="DD49" s="248"/>
      <c r="DE49" s="250"/>
      <c r="DF49" s="250"/>
      <c r="DG49" s="266"/>
      <c r="DH49" s="251" t="s">
        <v>968</v>
      </c>
      <c r="DI49" s="246">
        <f t="shared" si="30"/>
        <v>0</v>
      </c>
      <c r="DJ49" s="255">
        <f t="shared" si="31"/>
        <v>0</v>
      </c>
      <c r="DK49" s="209"/>
      <c r="DL49" s="220"/>
      <c r="DM49" s="221"/>
      <c r="DO49" s="256"/>
      <c r="DP49" s="257"/>
      <c r="DR49" s="258">
        <f t="shared" si="32"/>
        <v>0</v>
      </c>
      <c r="DS49" s="258">
        <f t="shared" si="33"/>
        <v>0</v>
      </c>
      <c r="DT49" s="258">
        <f t="shared" si="34"/>
        <v>0</v>
      </c>
      <c r="DU49" s="258">
        <f t="shared" si="35"/>
        <v>0</v>
      </c>
      <c r="DV49" s="259">
        <f t="shared" si="36"/>
        <v>0</v>
      </c>
      <c r="DW49" s="259">
        <f t="shared" si="37"/>
        <v>0</v>
      </c>
    </row>
    <row r="50" spans="1:127" s="194" customFormat="1" ht="15.75" x14ac:dyDescent="0.2">
      <c r="A50" s="239">
        <v>23</v>
      </c>
      <c r="B50" s="240" t="s">
        <v>212</v>
      </c>
      <c r="C50" s="241"/>
      <c r="D50" s="271"/>
      <c r="E50" s="272"/>
      <c r="F50" s="263"/>
      <c r="G50" s="245" t="s">
        <v>968</v>
      </c>
      <c r="H50" s="246">
        <f t="shared" si="0"/>
        <v>0</v>
      </c>
      <c r="I50" s="247">
        <f t="shared" si="1"/>
        <v>0</v>
      </c>
      <c r="J50" s="248"/>
      <c r="K50" s="250"/>
      <c r="L50" s="250"/>
      <c r="M50" s="266"/>
      <c r="N50" s="251" t="s">
        <v>968</v>
      </c>
      <c r="O50" s="246">
        <f t="shared" si="2"/>
        <v>0</v>
      </c>
      <c r="P50" s="247">
        <f t="shared" si="3"/>
        <v>0</v>
      </c>
      <c r="Q50" s="248"/>
      <c r="R50" s="250"/>
      <c r="S50" s="250"/>
      <c r="T50" s="266"/>
      <c r="U50" s="251" t="s">
        <v>968</v>
      </c>
      <c r="V50" s="246">
        <f t="shared" si="4"/>
        <v>0</v>
      </c>
      <c r="W50" s="247">
        <f t="shared" si="5"/>
        <v>0</v>
      </c>
      <c r="X50" s="248"/>
      <c r="Y50" s="250"/>
      <c r="Z50" s="250"/>
      <c r="AA50" s="266"/>
      <c r="AB50" s="251" t="s">
        <v>968</v>
      </c>
      <c r="AC50" s="246">
        <f t="shared" si="6"/>
        <v>0</v>
      </c>
      <c r="AD50" s="247">
        <f t="shared" si="7"/>
        <v>0</v>
      </c>
      <c r="AE50" s="248"/>
      <c r="AF50" s="273"/>
      <c r="AG50" s="250"/>
      <c r="AH50" s="266"/>
      <c r="AI50" s="251" t="s">
        <v>968</v>
      </c>
      <c r="AJ50" s="246">
        <f t="shared" si="8"/>
        <v>0</v>
      </c>
      <c r="AK50" s="247">
        <f t="shared" si="9"/>
        <v>0</v>
      </c>
      <c r="AL50" s="248"/>
      <c r="AM50" s="250"/>
      <c r="AN50" s="250"/>
      <c r="AO50" s="266"/>
      <c r="AP50" s="251" t="s">
        <v>968</v>
      </c>
      <c r="AQ50" s="246">
        <f t="shared" si="10"/>
        <v>0</v>
      </c>
      <c r="AR50" s="247">
        <f t="shared" si="11"/>
        <v>0</v>
      </c>
      <c r="AS50" s="248"/>
      <c r="AT50" s="250"/>
      <c r="AU50" s="250"/>
      <c r="AV50" s="266"/>
      <c r="AW50" s="251" t="s">
        <v>968</v>
      </c>
      <c r="AX50" s="246">
        <f t="shared" si="12"/>
        <v>0</v>
      </c>
      <c r="AY50" s="247">
        <f t="shared" si="13"/>
        <v>0</v>
      </c>
      <c r="AZ50" s="248"/>
      <c r="BA50" s="250"/>
      <c r="BB50" s="250"/>
      <c r="BC50" s="266"/>
      <c r="BD50" s="251" t="s">
        <v>968</v>
      </c>
      <c r="BE50" s="246">
        <f t="shared" si="14"/>
        <v>0</v>
      </c>
      <c r="BF50" s="247">
        <f t="shared" si="15"/>
        <v>0</v>
      </c>
      <c r="BG50" s="248"/>
      <c r="BH50" s="250"/>
      <c r="BI50" s="250"/>
      <c r="BJ50" s="266"/>
      <c r="BK50" s="251" t="s">
        <v>968</v>
      </c>
      <c r="BL50" s="246">
        <f t="shared" si="16"/>
        <v>0</v>
      </c>
      <c r="BM50" s="247">
        <f t="shared" si="17"/>
        <v>0</v>
      </c>
      <c r="BN50" s="248"/>
      <c r="BO50" s="250"/>
      <c r="BP50" s="250"/>
      <c r="BQ50" s="266"/>
      <c r="BR50" s="251" t="s">
        <v>968</v>
      </c>
      <c r="BS50" s="246">
        <f t="shared" si="18"/>
        <v>0</v>
      </c>
      <c r="BT50" s="247">
        <f t="shared" si="19"/>
        <v>0</v>
      </c>
      <c r="BU50" s="248"/>
      <c r="BV50" s="250"/>
      <c r="BW50" s="250"/>
      <c r="BX50" s="266"/>
      <c r="BY50" s="251" t="s">
        <v>968</v>
      </c>
      <c r="BZ50" s="246">
        <f t="shared" si="20"/>
        <v>0</v>
      </c>
      <c r="CA50" s="247">
        <f t="shared" si="21"/>
        <v>0</v>
      </c>
      <c r="CB50" s="248"/>
      <c r="CC50" s="250"/>
      <c r="CD50" s="250"/>
      <c r="CE50" s="266"/>
      <c r="CF50" s="251" t="s">
        <v>968</v>
      </c>
      <c r="CG50" s="246">
        <f t="shared" si="22"/>
        <v>0</v>
      </c>
      <c r="CH50" s="247">
        <f t="shared" si="23"/>
        <v>0</v>
      </c>
      <c r="CI50" s="254"/>
      <c r="CJ50" s="250"/>
      <c r="CK50" s="250"/>
      <c r="CL50" s="250"/>
      <c r="CM50" s="251"/>
      <c r="CN50" s="246">
        <f t="shared" si="24"/>
        <v>0</v>
      </c>
      <c r="CO50" s="247">
        <f t="shared" si="25"/>
        <v>0</v>
      </c>
      <c r="CP50" s="254"/>
      <c r="CQ50" s="250"/>
      <c r="CR50" s="250"/>
      <c r="CS50" s="221"/>
      <c r="CT50" s="251"/>
      <c r="CU50" s="246">
        <f t="shared" si="26"/>
        <v>0</v>
      </c>
      <c r="CV50" s="247">
        <f t="shared" si="27"/>
        <v>0</v>
      </c>
      <c r="CW50" s="254"/>
      <c r="CX50" s="250"/>
      <c r="CY50" s="250"/>
      <c r="CZ50" s="221"/>
      <c r="DA50" s="251"/>
      <c r="DB50" s="246">
        <f t="shared" si="28"/>
        <v>0</v>
      </c>
      <c r="DC50" s="247">
        <f t="shared" si="29"/>
        <v>0</v>
      </c>
      <c r="DD50" s="248"/>
      <c r="DE50" s="250"/>
      <c r="DF50" s="250"/>
      <c r="DG50" s="266"/>
      <c r="DH50" s="251" t="s">
        <v>968</v>
      </c>
      <c r="DI50" s="246">
        <f t="shared" si="30"/>
        <v>0</v>
      </c>
      <c r="DJ50" s="255">
        <f t="shared" si="31"/>
        <v>0</v>
      </c>
      <c r="DK50" s="209"/>
      <c r="DL50" s="220"/>
      <c r="DM50" s="221"/>
      <c r="DO50" s="256"/>
      <c r="DP50" s="257"/>
      <c r="DR50" s="258">
        <f t="shared" si="32"/>
        <v>0</v>
      </c>
      <c r="DS50" s="258">
        <f t="shared" si="33"/>
        <v>0</v>
      </c>
      <c r="DT50" s="258">
        <f t="shared" si="34"/>
        <v>0</v>
      </c>
      <c r="DU50" s="258">
        <f t="shared" si="35"/>
        <v>0</v>
      </c>
      <c r="DV50" s="259">
        <f t="shared" si="36"/>
        <v>0</v>
      </c>
      <c r="DW50" s="259">
        <f t="shared" si="37"/>
        <v>0</v>
      </c>
    </row>
    <row r="51" spans="1:127" s="194" customFormat="1" ht="15.75" x14ac:dyDescent="0.2">
      <c r="A51" s="239">
        <v>24</v>
      </c>
      <c r="B51" s="240" t="s">
        <v>986</v>
      </c>
      <c r="C51" s="276"/>
      <c r="D51" s="271"/>
      <c r="E51" s="272"/>
      <c r="F51" s="244"/>
      <c r="G51" s="245"/>
      <c r="H51" s="246">
        <f t="shared" si="0"/>
        <v>0</v>
      </c>
      <c r="I51" s="247">
        <f t="shared" si="1"/>
        <v>0</v>
      </c>
      <c r="J51" s="254"/>
      <c r="K51" s="250"/>
      <c r="L51" s="250"/>
      <c r="M51" s="221"/>
      <c r="N51" s="251"/>
      <c r="O51" s="246">
        <f t="shared" si="2"/>
        <v>0</v>
      </c>
      <c r="P51" s="247">
        <f t="shared" si="3"/>
        <v>0</v>
      </c>
      <c r="Q51" s="254"/>
      <c r="R51" s="250"/>
      <c r="S51" s="250"/>
      <c r="T51" s="221"/>
      <c r="U51" s="251"/>
      <c r="V51" s="246">
        <f t="shared" si="4"/>
        <v>0</v>
      </c>
      <c r="W51" s="247">
        <f t="shared" si="5"/>
        <v>0</v>
      </c>
      <c r="X51" s="254"/>
      <c r="Y51" s="250"/>
      <c r="Z51" s="250"/>
      <c r="AA51" s="221"/>
      <c r="AB51" s="251"/>
      <c r="AC51" s="246">
        <f t="shared" si="6"/>
        <v>0</v>
      </c>
      <c r="AD51" s="247">
        <f t="shared" si="7"/>
        <v>0</v>
      </c>
      <c r="AE51" s="254"/>
      <c r="AF51" s="273"/>
      <c r="AG51" s="250"/>
      <c r="AH51" s="221"/>
      <c r="AI51" s="251"/>
      <c r="AJ51" s="246">
        <f t="shared" si="8"/>
        <v>0</v>
      </c>
      <c r="AK51" s="247">
        <f t="shared" si="9"/>
        <v>0</v>
      </c>
      <c r="AL51" s="254"/>
      <c r="AM51" s="250"/>
      <c r="AN51" s="250"/>
      <c r="AO51" s="221"/>
      <c r="AP51" s="251"/>
      <c r="AQ51" s="246">
        <f t="shared" si="10"/>
        <v>0</v>
      </c>
      <c r="AR51" s="247">
        <f t="shared" si="11"/>
        <v>0</v>
      </c>
      <c r="AS51" s="254"/>
      <c r="AT51" s="250"/>
      <c r="AU51" s="250"/>
      <c r="AV51" s="221"/>
      <c r="AW51" s="251"/>
      <c r="AX51" s="246">
        <f t="shared" si="12"/>
        <v>0</v>
      </c>
      <c r="AY51" s="247">
        <f t="shared" si="13"/>
        <v>0</v>
      </c>
      <c r="AZ51" s="254"/>
      <c r="BA51" s="250"/>
      <c r="BB51" s="250"/>
      <c r="BC51" s="221"/>
      <c r="BD51" s="251"/>
      <c r="BE51" s="246">
        <f t="shared" si="14"/>
        <v>0</v>
      </c>
      <c r="BF51" s="247">
        <f t="shared" si="15"/>
        <v>0</v>
      </c>
      <c r="BG51" s="254"/>
      <c r="BH51" s="250"/>
      <c r="BI51" s="250"/>
      <c r="BJ51" s="221"/>
      <c r="BK51" s="251"/>
      <c r="BL51" s="246">
        <f t="shared" si="16"/>
        <v>0</v>
      </c>
      <c r="BM51" s="247">
        <f t="shared" si="17"/>
        <v>0</v>
      </c>
      <c r="BN51" s="254"/>
      <c r="BO51" s="250"/>
      <c r="BP51" s="250"/>
      <c r="BQ51" s="221"/>
      <c r="BR51" s="251"/>
      <c r="BS51" s="246">
        <f t="shared" si="18"/>
        <v>0</v>
      </c>
      <c r="BT51" s="247">
        <f t="shared" si="19"/>
        <v>0</v>
      </c>
      <c r="BU51" s="254"/>
      <c r="BV51" s="250"/>
      <c r="BW51" s="250"/>
      <c r="BX51" s="221"/>
      <c r="BY51" s="251"/>
      <c r="BZ51" s="246">
        <f t="shared" si="20"/>
        <v>0</v>
      </c>
      <c r="CA51" s="247">
        <f t="shared" si="21"/>
        <v>0</v>
      </c>
      <c r="CB51" s="248"/>
      <c r="CC51" s="250"/>
      <c r="CD51" s="250"/>
      <c r="CE51" s="279"/>
      <c r="CF51" s="251" t="s">
        <v>968</v>
      </c>
      <c r="CG51" s="246">
        <f t="shared" si="22"/>
        <v>0</v>
      </c>
      <c r="CH51" s="247">
        <f t="shared" si="23"/>
        <v>0</v>
      </c>
      <c r="CI51" s="254"/>
      <c r="CJ51" s="250"/>
      <c r="CK51" s="250"/>
      <c r="CL51" s="250"/>
      <c r="CM51" s="251"/>
      <c r="CN51" s="246">
        <f t="shared" si="24"/>
        <v>0</v>
      </c>
      <c r="CO51" s="247">
        <f t="shared" si="25"/>
        <v>0</v>
      </c>
      <c r="CP51" s="254"/>
      <c r="CQ51" s="250"/>
      <c r="CR51" s="250"/>
      <c r="CS51" s="221"/>
      <c r="CT51" s="251"/>
      <c r="CU51" s="246">
        <f t="shared" si="26"/>
        <v>0</v>
      </c>
      <c r="CV51" s="247">
        <f t="shared" si="27"/>
        <v>0</v>
      </c>
      <c r="CW51" s="254"/>
      <c r="CX51" s="250"/>
      <c r="CY51" s="250"/>
      <c r="CZ51" s="221"/>
      <c r="DA51" s="251"/>
      <c r="DB51" s="246">
        <f t="shared" si="28"/>
        <v>0</v>
      </c>
      <c r="DC51" s="247">
        <f t="shared" si="29"/>
        <v>0</v>
      </c>
      <c r="DD51" s="254"/>
      <c r="DE51" s="250"/>
      <c r="DF51" s="250"/>
      <c r="DG51" s="221"/>
      <c r="DH51" s="251"/>
      <c r="DI51" s="246">
        <f t="shared" si="30"/>
        <v>0</v>
      </c>
      <c r="DJ51" s="255">
        <f t="shared" si="31"/>
        <v>0</v>
      </c>
      <c r="DK51" s="209"/>
      <c r="DL51" s="220"/>
      <c r="DM51" s="221"/>
      <c r="DO51" s="256"/>
      <c r="DP51" s="257"/>
      <c r="DR51" s="258">
        <f t="shared" si="32"/>
        <v>0</v>
      </c>
      <c r="DS51" s="258">
        <f t="shared" si="33"/>
        <v>0</v>
      </c>
      <c r="DT51" s="258">
        <f t="shared" si="34"/>
        <v>0</v>
      </c>
      <c r="DU51" s="258">
        <f t="shared" si="35"/>
        <v>0</v>
      </c>
      <c r="DV51" s="259">
        <f t="shared" si="36"/>
        <v>0</v>
      </c>
      <c r="DW51" s="259">
        <f t="shared" si="37"/>
        <v>0</v>
      </c>
    </row>
    <row r="52" spans="1:127" s="194" customFormat="1" ht="15.75" x14ac:dyDescent="0.2">
      <c r="A52" s="239">
        <v>25</v>
      </c>
      <c r="B52" s="240" t="s">
        <v>987</v>
      </c>
      <c r="C52" s="276"/>
      <c r="D52" s="271"/>
      <c r="E52" s="272"/>
      <c r="F52" s="244"/>
      <c r="G52" s="245"/>
      <c r="H52" s="246">
        <f t="shared" si="0"/>
        <v>0</v>
      </c>
      <c r="I52" s="247">
        <f t="shared" si="1"/>
        <v>0</v>
      </c>
      <c r="J52" s="254"/>
      <c r="K52" s="250"/>
      <c r="L52" s="250"/>
      <c r="M52" s="221"/>
      <c r="N52" s="251"/>
      <c r="O52" s="246">
        <f t="shared" si="2"/>
        <v>0</v>
      </c>
      <c r="P52" s="247">
        <f t="shared" si="3"/>
        <v>0</v>
      </c>
      <c r="Q52" s="254"/>
      <c r="R52" s="250"/>
      <c r="S52" s="250"/>
      <c r="T52" s="221"/>
      <c r="U52" s="251"/>
      <c r="V52" s="246">
        <f t="shared" si="4"/>
        <v>0</v>
      </c>
      <c r="W52" s="247">
        <f t="shared" si="5"/>
        <v>0</v>
      </c>
      <c r="X52" s="254"/>
      <c r="Y52" s="250"/>
      <c r="Z52" s="250"/>
      <c r="AA52" s="221"/>
      <c r="AB52" s="251"/>
      <c r="AC52" s="246">
        <f t="shared" si="6"/>
        <v>0</v>
      </c>
      <c r="AD52" s="247">
        <f t="shared" si="7"/>
        <v>0</v>
      </c>
      <c r="AE52" s="254"/>
      <c r="AF52" s="273"/>
      <c r="AG52" s="250"/>
      <c r="AH52" s="221"/>
      <c r="AI52" s="251"/>
      <c r="AJ52" s="246">
        <f t="shared" si="8"/>
        <v>0</v>
      </c>
      <c r="AK52" s="247">
        <f t="shared" si="9"/>
        <v>0</v>
      </c>
      <c r="AL52" s="254"/>
      <c r="AM52" s="250"/>
      <c r="AN52" s="250"/>
      <c r="AO52" s="221"/>
      <c r="AP52" s="251"/>
      <c r="AQ52" s="246">
        <f t="shared" si="10"/>
        <v>0</v>
      </c>
      <c r="AR52" s="247">
        <f t="shared" si="11"/>
        <v>0</v>
      </c>
      <c r="AS52" s="254"/>
      <c r="AT52" s="250"/>
      <c r="AU52" s="250"/>
      <c r="AV52" s="221"/>
      <c r="AW52" s="251"/>
      <c r="AX52" s="246">
        <f t="shared" si="12"/>
        <v>0</v>
      </c>
      <c r="AY52" s="247">
        <f t="shared" si="13"/>
        <v>0</v>
      </c>
      <c r="AZ52" s="254"/>
      <c r="BA52" s="250"/>
      <c r="BB52" s="250"/>
      <c r="BC52" s="221"/>
      <c r="BD52" s="251"/>
      <c r="BE52" s="246">
        <f t="shared" si="14"/>
        <v>0</v>
      </c>
      <c r="BF52" s="247">
        <f t="shared" si="15"/>
        <v>0</v>
      </c>
      <c r="BG52" s="254"/>
      <c r="BH52" s="250"/>
      <c r="BI52" s="250"/>
      <c r="BJ52" s="221"/>
      <c r="BK52" s="251"/>
      <c r="BL52" s="246">
        <f t="shared" si="16"/>
        <v>0</v>
      </c>
      <c r="BM52" s="247">
        <f t="shared" si="17"/>
        <v>0</v>
      </c>
      <c r="BN52" s="254"/>
      <c r="BO52" s="250"/>
      <c r="BP52" s="250"/>
      <c r="BQ52" s="221"/>
      <c r="BR52" s="251"/>
      <c r="BS52" s="246">
        <f t="shared" si="18"/>
        <v>0</v>
      </c>
      <c r="BT52" s="247">
        <f t="shared" si="19"/>
        <v>0</v>
      </c>
      <c r="BU52" s="254"/>
      <c r="BV52" s="250"/>
      <c r="BW52" s="250"/>
      <c r="BX52" s="221"/>
      <c r="BY52" s="251"/>
      <c r="BZ52" s="246">
        <f t="shared" si="20"/>
        <v>0</v>
      </c>
      <c r="CA52" s="247">
        <f t="shared" si="21"/>
        <v>0</v>
      </c>
      <c r="CB52" s="248"/>
      <c r="CC52" s="250"/>
      <c r="CD52" s="250"/>
      <c r="CE52" s="266"/>
      <c r="CF52" s="251" t="s">
        <v>968</v>
      </c>
      <c r="CG52" s="246">
        <f t="shared" si="22"/>
        <v>0</v>
      </c>
      <c r="CH52" s="247">
        <f t="shared" si="23"/>
        <v>0</v>
      </c>
      <c r="CI52" s="254"/>
      <c r="CJ52" s="250"/>
      <c r="CK52" s="250"/>
      <c r="CL52" s="250"/>
      <c r="CM52" s="251"/>
      <c r="CN52" s="246">
        <f t="shared" si="24"/>
        <v>0</v>
      </c>
      <c r="CO52" s="247">
        <f t="shared" si="25"/>
        <v>0</v>
      </c>
      <c r="CP52" s="254"/>
      <c r="CQ52" s="250"/>
      <c r="CR52" s="250"/>
      <c r="CS52" s="221"/>
      <c r="CT52" s="251"/>
      <c r="CU52" s="246">
        <f t="shared" si="26"/>
        <v>0</v>
      </c>
      <c r="CV52" s="247">
        <f t="shared" si="27"/>
        <v>0</v>
      </c>
      <c r="CW52" s="254"/>
      <c r="CX52" s="250"/>
      <c r="CY52" s="250"/>
      <c r="CZ52" s="221"/>
      <c r="DA52" s="251"/>
      <c r="DB52" s="246">
        <f t="shared" si="28"/>
        <v>0</v>
      </c>
      <c r="DC52" s="247">
        <f t="shared" si="29"/>
        <v>0</v>
      </c>
      <c r="DD52" s="254"/>
      <c r="DE52" s="250"/>
      <c r="DF52" s="250"/>
      <c r="DG52" s="221"/>
      <c r="DH52" s="251"/>
      <c r="DI52" s="246">
        <f t="shared" si="30"/>
        <v>0</v>
      </c>
      <c r="DJ52" s="255">
        <f t="shared" si="31"/>
        <v>0</v>
      </c>
      <c r="DK52" s="209"/>
      <c r="DL52" s="220"/>
      <c r="DM52" s="221"/>
      <c r="DO52" s="256"/>
      <c r="DP52" s="257"/>
      <c r="DR52" s="258">
        <f t="shared" si="32"/>
        <v>0</v>
      </c>
      <c r="DS52" s="258">
        <f t="shared" si="33"/>
        <v>0</v>
      </c>
      <c r="DT52" s="258">
        <f t="shared" si="34"/>
        <v>0</v>
      </c>
      <c r="DU52" s="258">
        <f t="shared" si="35"/>
        <v>0</v>
      </c>
      <c r="DV52" s="259">
        <f t="shared" si="36"/>
        <v>0</v>
      </c>
      <c r="DW52" s="259">
        <f t="shared" si="37"/>
        <v>0</v>
      </c>
    </row>
    <row r="53" spans="1:127" s="194" customFormat="1" ht="15.75" x14ac:dyDescent="0.2">
      <c r="A53" s="239">
        <v>26</v>
      </c>
      <c r="B53" s="240" t="s">
        <v>988</v>
      </c>
      <c r="C53" s="276"/>
      <c r="D53" s="271"/>
      <c r="E53" s="272"/>
      <c r="F53" s="244"/>
      <c r="G53" s="245"/>
      <c r="H53" s="246">
        <f t="shared" si="0"/>
        <v>0</v>
      </c>
      <c r="I53" s="247">
        <f t="shared" si="1"/>
        <v>0</v>
      </c>
      <c r="J53" s="254"/>
      <c r="K53" s="250"/>
      <c r="L53" s="250"/>
      <c r="M53" s="221"/>
      <c r="N53" s="251"/>
      <c r="O53" s="246">
        <f t="shared" si="2"/>
        <v>0</v>
      </c>
      <c r="P53" s="247">
        <f t="shared" si="3"/>
        <v>0</v>
      </c>
      <c r="Q53" s="254"/>
      <c r="R53" s="250"/>
      <c r="S53" s="250"/>
      <c r="T53" s="221"/>
      <c r="U53" s="251"/>
      <c r="V53" s="246">
        <f t="shared" si="4"/>
        <v>0</v>
      </c>
      <c r="W53" s="247">
        <f t="shared" si="5"/>
        <v>0</v>
      </c>
      <c r="X53" s="254"/>
      <c r="Y53" s="250"/>
      <c r="Z53" s="250"/>
      <c r="AA53" s="221"/>
      <c r="AB53" s="251"/>
      <c r="AC53" s="246">
        <f t="shared" si="6"/>
        <v>0</v>
      </c>
      <c r="AD53" s="247">
        <f t="shared" si="7"/>
        <v>0</v>
      </c>
      <c r="AE53" s="254"/>
      <c r="AF53" s="273"/>
      <c r="AG53" s="250"/>
      <c r="AH53" s="221"/>
      <c r="AI53" s="251"/>
      <c r="AJ53" s="246">
        <f t="shared" si="8"/>
        <v>0</v>
      </c>
      <c r="AK53" s="247">
        <f t="shared" si="9"/>
        <v>0</v>
      </c>
      <c r="AL53" s="254"/>
      <c r="AM53" s="250"/>
      <c r="AN53" s="250"/>
      <c r="AO53" s="221"/>
      <c r="AP53" s="251"/>
      <c r="AQ53" s="246">
        <f t="shared" si="10"/>
        <v>0</v>
      </c>
      <c r="AR53" s="247">
        <f t="shared" si="11"/>
        <v>0</v>
      </c>
      <c r="AS53" s="254"/>
      <c r="AT53" s="250"/>
      <c r="AU53" s="250"/>
      <c r="AV53" s="221"/>
      <c r="AW53" s="251"/>
      <c r="AX53" s="246">
        <f t="shared" si="12"/>
        <v>0</v>
      </c>
      <c r="AY53" s="247">
        <f t="shared" si="13"/>
        <v>0</v>
      </c>
      <c r="AZ53" s="254"/>
      <c r="BA53" s="250"/>
      <c r="BB53" s="250"/>
      <c r="BC53" s="221"/>
      <c r="BD53" s="251"/>
      <c r="BE53" s="246">
        <f t="shared" si="14"/>
        <v>0</v>
      </c>
      <c r="BF53" s="247">
        <f t="shared" si="15"/>
        <v>0</v>
      </c>
      <c r="BG53" s="254"/>
      <c r="BH53" s="250"/>
      <c r="BI53" s="250"/>
      <c r="BJ53" s="221"/>
      <c r="BK53" s="251"/>
      <c r="BL53" s="246">
        <f t="shared" si="16"/>
        <v>0</v>
      </c>
      <c r="BM53" s="247">
        <f t="shared" si="17"/>
        <v>0</v>
      </c>
      <c r="BN53" s="254"/>
      <c r="BO53" s="250"/>
      <c r="BP53" s="250"/>
      <c r="BQ53" s="221"/>
      <c r="BR53" s="251"/>
      <c r="BS53" s="246">
        <f t="shared" si="18"/>
        <v>0</v>
      </c>
      <c r="BT53" s="247">
        <f t="shared" si="19"/>
        <v>0</v>
      </c>
      <c r="BU53" s="254"/>
      <c r="BV53" s="250"/>
      <c r="BW53" s="250"/>
      <c r="BX53" s="221"/>
      <c r="BY53" s="251"/>
      <c r="BZ53" s="246">
        <f t="shared" si="20"/>
        <v>0</v>
      </c>
      <c r="CA53" s="247">
        <f t="shared" si="21"/>
        <v>0</v>
      </c>
      <c r="CB53" s="248"/>
      <c r="CC53" s="250"/>
      <c r="CD53" s="253"/>
      <c r="CE53" s="221"/>
      <c r="CF53" s="251" t="s">
        <v>968</v>
      </c>
      <c r="CG53" s="246">
        <f t="shared" si="22"/>
        <v>0</v>
      </c>
      <c r="CH53" s="247">
        <f t="shared" si="23"/>
        <v>0</v>
      </c>
      <c r="CI53" s="254"/>
      <c r="CJ53" s="250"/>
      <c r="CK53" s="250"/>
      <c r="CL53" s="250"/>
      <c r="CM53" s="251"/>
      <c r="CN53" s="246">
        <f t="shared" si="24"/>
        <v>0</v>
      </c>
      <c r="CO53" s="247">
        <f t="shared" si="25"/>
        <v>0</v>
      </c>
      <c r="CP53" s="254"/>
      <c r="CQ53" s="250"/>
      <c r="CR53" s="250"/>
      <c r="CS53" s="221"/>
      <c r="CT53" s="251"/>
      <c r="CU53" s="246">
        <f t="shared" si="26"/>
        <v>0</v>
      </c>
      <c r="CV53" s="247">
        <f t="shared" si="27"/>
        <v>0</v>
      </c>
      <c r="CW53" s="254"/>
      <c r="CX53" s="250"/>
      <c r="CY53" s="250"/>
      <c r="CZ53" s="221"/>
      <c r="DA53" s="251"/>
      <c r="DB53" s="246">
        <f t="shared" si="28"/>
        <v>0</v>
      </c>
      <c r="DC53" s="247">
        <f t="shared" si="29"/>
        <v>0</v>
      </c>
      <c r="DD53" s="254"/>
      <c r="DE53" s="250"/>
      <c r="DF53" s="250"/>
      <c r="DG53" s="221"/>
      <c r="DH53" s="251"/>
      <c r="DI53" s="246">
        <f t="shared" si="30"/>
        <v>0</v>
      </c>
      <c r="DJ53" s="255">
        <f t="shared" si="31"/>
        <v>0</v>
      </c>
      <c r="DK53" s="209"/>
      <c r="DL53" s="220"/>
      <c r="DM53" s="221"/>
      <c r="DO53" s="256"/>
      <c r="DP53" s="257"/>
      <c r="DR53" s="258">
        <f t="shared" si="32"/>
        <v>0</v>
      </c>
      <c r="DS53" s="258">
        <f t="shared" si="33"/>
        <v>0</v>
      </c>
      <c r="DT53" s="258">
        <f t="shared" si="34"/>
        <v>0</v>
      </c>
      <c r="DU53" s="258">
        <f t="shared" si="35"/>
        <v>0</v>
      </c>
      <c r="DV53" s="259">
        <f t="shared" si="36"/>
        <v>0</v>
      </c>
      <c r="DW53" s="259">
        <f t="shared" si="37"/>
        <v>0</v>
      </c>
    </row>
    <row r="54" spans="1:127" s="194" customFormat="1" ht="15.75" x14ac:dyDescent="0.2">
      <c r="A54" s="239">
        <v>27</v>
      </c>
      <c r="B54" s="240" t="s">
        <v>989</v>
      </c>
      <c r="C54" s="276"/>
      <c r="D54" s="271"/>
      <c r="E54" s="272"/>
      <c r="F54" s="244"/>
      <c r="G54" s="245"/>
      <c r="H54" s="246">
        <f t="shared" si="0"/>
        <v>0</v>
      </c>
      <c r="I54" s="247">
        <f t="shared" si="1"/>
        <v>0</v>
      </c>
      <c r="J54" s="254"/>
      <c r="K54" s="250"/>
      <c r="L54" s="250"/>
      <c r="M54" s="221"/>
      <c r="N54" s="251"/>
      <c r="O54" s="246">
        <f t="shared" si="2"/>
        <v>0</v>
      </c>
      <c r="P54" s="247">
        <f t="shared" si="3"/>
        <v>0</v>
      </c>
      <c r="Q54" s="254"/>
      <c r="R54" s="250"/>
      <c r="S54" s="250"/>
      <c r="T54" s="221"/>
      <c r="U54" s="251"/>
      <c r="V54" s="246">
        <f t="shared" si="4"/>
        <v>0</v>
      </c>
      <c r="W54" s="247">
        <f t="shared" si="5"/>
        <v>0</v>
      </c>
      <c r="X54" s="254"/>
      <c r="Y54" s="250"/>
      <c r="Z54" s="250"/>
      <c r="AA54" s="221"/>
      <c r="AB54" s="251"/>
      <c r="AC54" s="246">
        <f t="shared" si="6"/>
        <v>0</v>
      </c>
      <c r="AD54" s="247">
        <f t="shared" si="7"/>
        <v>0</v>
      </c>
      <c r="AE54" s="254"/>
      <c r="AF54" s="273"/>
      <c r="AG54" s="250"/>
      <c r="AH54" s="221"/>
      <c r="AI54" s="251"/>
      <c r="AJ54" s="246">
        <f t="shared" si="8"/>
        <v>0</v>
      </c>
      <c r="AK54" s="247">
        <f t="shared" si="9"/>
        <v>0</v>
      </c>
      <c r="AL54" s="254"/>
      <c r="AM54" s="250"/>
      <c r="AN54" s="250"/>
      <c r="AO54" s="221"/>
      <c r="AP54" s="251"/>
      <c r="AQ54" s="246">
        <f t="shared" si="10"/>
        <v>0</v>
      </c>
      <c r="AR54" s="247">
        <f t="shared" si="11"/>
        <v>0</v>
      </c>
      <c r="AS54" s="254"/>
      <c r="AT54" s="250"/>
      <c r="AU54" s="250"/>
      <c r="AV54" s="221"/>
      <c r="AW54" s="251"/>
      <c r="AX54" s="246">
        <f t="shared" si="12"/>
        <v>0</v>
      </c>
      <c r="AY54" s="247">
        <f t="shared" si="13"/>
        <v>0</v>
      </c>
      <c r="AZ54" s="254"/>
      <c r="BA54" s="250"/>
      <c r="BB54" s="250"/>
      <c r="BC54" s="221"/>
      <c r="BD54" s="251"/>
      <c r="BE54" s="246">
        <f t="shared" si="14"/>
        <v>0</v>
      </c>
      <c r="BF54" s="247">
        <f t="shared" si="15"/>
        <v>0</v>
      </c>
      <c r="BG54" s="254"/>
      <c r="BH54" s="250"/>
      <c r="BI54" s="250"/>
      <c r="BJ54" s="221"/>
      <c r="BK54" s="251"/>
      <c r="BL54" s="246">
        <f t="shared" si="16"/>
        <v>0</v>
      </c>
      <c r="BM54" s="247">
        <f t="shared" si="17"/>
        <v>0</v>
      </c>
      <c r="BN54" s="254"/>
      <c r="BO54" s="250"/>
      <c r="BP54" s="250"/>
      <c r="BQ54" s="221"/>
      <c r="BR54" s="251"/>
      <c r="BS54" s="246">
        <f t="shared" si="18"/>
        <v>0</v>
      </c>
      <c r="BT54" s="247">
        <f t="shared" si="19"/>
        <v>0</v>
      </c>
      <c r="BU54" s="254"/>
      <c r="BV54" s="250"/>
      <c r="BW54" s="250"/>
      <c r="BX54" s="221"/>
      <c r="BY54" s="251"/>
      <c r="BZ54" s="246">
        <f t="shared" si="20"/>
        <v>0</v>
      </c>
      <c r="CA54" s="247">
        <f t="shared" si="21"/>
        <v>0</v>
      </c>
      <c r="CB54" s="254"/>
      <c r="CC54" s="250"/>
      <c r="CD54" s="250"/>
      <c r="CE54" s="221"/>
      <c r="CF54" s="251"/>
      <c r="CG54" s="246">
        <f t="shared" si="22"/>
        <v>0</v>
      </c>
      <c r="CH54" s="247">
        <f t="shared" si="23"/>
        <v>0</v>
      </c>
      <c r="CI54" s="254"/>
      <c r="CJ54" s="250"/>
      <c r="CK54" s="250"/>
      <c r="CL54" s="250"/>
      <c r="CM54" s="251"/>
      <c r="CN54" s="246">
        <f t="shared" si="24"/>
        <v>0</v>
      </c>
      <c r="CO54" s="247">
        <f t="shared" si="25"/>
        <v>0</v>
      </c>
      <c r="CP54" s="248"/>
      <c r="CQ54" s="273"/>
      <c r="CR54" s="253"/>
      <c r="CS54" s="221"/>
      <c r="CT54" s="251" t="s">
        <v>968</v>
      </c>
      <c r="CU54" s="246">
        <f t="shared" si="26"/>
        <v>0</v>
      </c>
      <c r="CV54" s="247">
        <f t="shared" si="27"/>
        <v>0</v>
      </c>
      <c r="CW54" s="254"/>
      <c r="CX54" s="250"/>
      <c r="CY54" s="250"/>
      <c r="CZ54" s="221"/>
      <c r="DA54" s="251"/>
      <c r="DB54" s="246">
        <f t="shared" si="28"/>
        <v>0</v>
      </c>
      <c r="DC54" s="247">
        <f t="shared" si="29"/>
        <v>0</v>
      </c>
      <c r="DD54" s="254"/>
      <c r="DE54" s="250"/>
      <c r="DF54" s="250"/>
      <c r="DG54" s="221"/>
      <c r="DH54" s="251"/>
      <c r="DI54" s="246">
        <f t="shared" si="30"/>
        <v>0</v>
      </c>
      <c r="DJ54" s="255">
        <f t="shared" si="31"/>
        <v>0</v>
      </c>
      <c r="DK54" s="209"/>
      <c r="DL54" s="220"/>
      <c r="DM54" s="221"/>
      <c r="DO54" s="256"/>
      <c r="DP54" s="257"/>
      <c r="DR54" s="258">
        <f t="shared" si="32"/>
        <v>0</v>
      </c>
      <c r="DS54" s="258">
        <f t="shared" si="33"/>
        <v>0</v>
      </c>
      <c r="DT54" s="258">
        <f t="shared" si="34"/>
        <v>0</v>
      </c>
      <c r="DU54" s="258">
        <f t="shared" si="35"/>
        <v>0</v>
      </c>
      <c r="DV54" s="259">
        <f t="shared" si="36"/>
        <v>0</v>
      </c>
      <c r="DW54" s="259">
        <f t="shared" si="37"/>
        <v>0</v>
      </c>
    </row>
    <row r="55" spans="1:127" s="194" customFormat="1" ht="15.75" x14ac:dyDescent="0.2">
      <c r="A55" s="239">
        <v>28</v>
      </c>
      <c r="B55" s="240" t="s">
        <v>990</v>
      </c>
      <c r="C55" s="276"/>
      <c r="D55" s="271"/>
      <c r="E55" s="272"/>
      <c r="F55" s="244"/>
      <c r="G55" s="245"/>
      <c r="H55" s="246">
        <f t="shared" si="0"/>
        <v>0</v>
      </c>
      <c r="I55" s="247">
        <f t="shared" si="1"/>
        <v>0</v>
      </c>
      <c r="J55" s="254"/>
      <c r="K55" s="250"/>
      <c r="L55" s="250"/>
      <c r="M55" s="221"/>
      <c r="N55" s="251"/>
      <c r="O55" s="246">
        <f t="shared" si="2"/>
        <v>0</v>
      </c>
      <c r="P55" s="247">
        <f t="shared" si="3"/>
        <v>0</v>
      </c>
      <c r="Q55" s="254"/>
      <c r="R55" s="250"/>
      <c r="S55" s="250"/>
      <c r="T55" s="221"/>
      <c r="U55" s="251"/>
      <c r="V55" s="246">
        <f t="shared" si="4"/>
        <v>0</v>
      </c>
      <c r="W55" s="247">
        <f t="shared" si="5"/>
        <v>0</v>
      </c>
      <c r="X55" s="254"/>
      <c r="Y55" s="250"/>
      <c r="Z55" s="250"/>
      <c r="AA55" s="221"/>
      <c r="AB55" s="251"/>
      <c r="AC55" s="246">
        <f t="shared" si="6"/>
        <v>0</v>
      </c>
      <c r="AD55" s="247">
        <f t="shared" si="7"/>
        <v>0</v>
      </c>
      <c r="AE55" s="254"/>
      <c r="AF55" s="273"/>
      <c r="AG55" s="250"/>
      <c r="AH55" s="221"/>
      <c r="AI55" s="251"/>
      <c r="AJ55" s="246">
        <f t="shared" si="8"/>
        <v>0</v>
      </c>
      <c r="AK55" s="247">
        <f t="shared" si="9"/>
        <v>0</v>
      </c>
      <c r="AL55" s="254"/>
      <c r="AM55" s="250"/>
      <c r="AN55" s="250"/>
      <c r="AO55" s="221"/>
      <c r="AP55" s="251"/>
      <c r="AQ55" s="246">
        <f t="shared" si="10"/>
        <v>0</v>
      </c>
      <c r="AR55" s="247">
        <f t="shared" si="11"/>
        <v>0</v>
      </c>
      <c r="AS55" s="254"/>
      <c r="AT55" s="250"/>
      <c r="AU55" s="250"/>
      <c r="AV55" s="221"/>
      <c r="AW55" s="251"/>
      <c r="AX55" s="246">
        <f t="shared" si="12"/>
        <v>0</v>
      </c>
      <c r="AY55" s="247">
        <f t="shared" si="13"/>
        <v>0</v>
      </c>
      <c r="AZ55" s="254"/>
      <c r="BA55" s="250"/>
      <c r="BB55" s="250"/>
      <c r="BC55" s="221"/>
      <c r="BD55" s="251"/>
      <c r="BE55" s="246">
        <f t="shared" si="14"/>
        <v>0</v>
      </c>
      <c r="BF55" s="247">
        <f t="shared" si="15"/>
        <v>0</v>
      </c>
      <c r="BG55" s="254"/>
      <c r="BH55" s="250"/>
      <c r="BI55" s="250"/>
      <c r="BJ55" s="221"/>
      <c r="BK55" s="251"/>
      <c r="BL55" s="246">
        <f t="shared" si="16"/>
        <v>0</v>
      </c>
      <c r="BM55" s="247">
        <f t="shared" si="17"/>
        <v>0</v>
      </c>
      <c r="BN55" s="254"/>
      <c r="BO55" s="250"/>
      <c r="BP55" s="250"/>
      <c r="BQ55" s="221"/>
      <c r="BR55" s="251"/>
      <c r="BS55" s="246">
        <f t="shared" si="18"/>
        <v>0</v>
      </c>
      <c r="BT55" s="247">
        <f t="shared" si="19"/>
        <v>0</v>
      </c>
      <c r="BU55" s="254"/>
      <c r="BV55" s="250"/>
      <c r="BW55" s="250"/>
      <c r="BX55" s="221"/>
      <c r="BY55" s="251"/>
      <c r="BZ55" s="246">
        <f t="shared" si="20"/>
        <v>0</v>
      </c>
      <c r="CA55" s="247">
        <f t="shared" si="21"/>
        <v>0</v>
      </c>
      <c r="CB55" s="254"/>
      <c r="CC55" s="250"/>
      <c r="CD55" s="250"/>
      <c r="CE55" s="221"/>
      <c r="CF55" s="251"/>
      <c r="CG55" s="246">
        <f t="shared" si="22"/>
        <v>0</v>
      </c>
      <c r="CH55" s="247">
        <f t="shared" si="23"/>
        <v>0</v>
      </c>
      <c r="CI55" s="248"/>
      <c r="CJ55" s="250"/>
      <c r="CK55" s="253"/>
      <c r="CL55" s="250"/>
      <c r="CM55" s="251" t="s">
        <v>968</v>
      </c>
      <c r="CN55" s="246">
        <f t="shared" si="24"/>
        <v>0</v>
      </c>
      <c r="CO55" s="247">
        <f t="shared" si="25"/>
        <v>0</v>
      </c>
      <c r="CP55" s="254"/>
      <c r="CQ55" s="250"/>
      <c r="CR55" s="250"/>
      <c r="CS55" s="221"/>
      <c r="CT55" s="251"/>
      <c r="CU55" s="246">
        <f t="shared" si="26"/>
        <v>0</v>
      </c>
      <c r="CV55" s="247">
        <f t="shared" si="27"/>
        <v>0</v>
      </c>
      <c r="CW55" s="248"/>
      <c r="CX55" s="250"/>
      <c r="CY55" s="253"/>
      <c r="CZ55" s="221"/>
      <c r="DA55" s="251" t="s">
        <v>968</v>
      </c>
      <c r="DB55" s="246">
        <f t="shared" si="28"/>
        <v>0</v>
      </c>
      <c r="DC55" s="247">
        <f t="shared" si="29"/>
        <v>0</v>
      </c>
      <c r="DD55" s="254"/>
      <c r="DE55" s="250"/>
      <c r="DF55" s="250"/>
      <c r="DG55" s="221"/>
      <c r="DH55" s="251"/>
      <c r="DI55" s="246">
        <f t="shared" si="30"/>
        <v>0</v>
      </c>
      <c r="DJ55" s="255">
        <f t="shared" si="31"/>
        <v>0</v>
      </c>
      <c r="DK55" s="209"/>
      <c r="DL55" s="220"/>
      <c r="DM55" s="221"/>
      <c r="DO55" s="256"/>
      <c r="DP55" s="257"/>
      <c r="DR55" s="258">
        <f t="shared" si="32"/>
        <v>0</v>
      </c>
      <c r="DS55" s="258">
        <f t="shared" si="33"/>
        <v>0</v>
      </c>
      <c r="DT55" s="258">
        <f t="shared" si="34"/>
        <v>0</v>
      </c>
      <c r="DU55" s="258">
        <f t="shared" si="35"/>
        <v>0</v>
      </c>
      <c r="DV55" s="259">
        <f t="shared" si="36"/>
        <v>0</v>
      </c>
      <c r="DW55" s="259">
        <f t="shared" si="37"/>
        <v>0</v>
      </c>
    </row>
    <row r="56" spans="1:127" s="194" customFormat="1" ht="15.75" x14ac:dyDescent="0.2">
      <c r="A56" s="239">
        <v>29</v>
      </c>
      <c r="B56" s="240" t="s">
        <v>991</v>
      </c>
      <c r="C56" s="276"/>
      <c r="D56" s="271"/>
      <c r="E56" s="272"/>
      <c r="F56" s="244"/>
      <c r="G56" s="245"/>
      <c r="H56" s="246">
        <f t="shared" si="0"/>
        <v>0</v>
      </c>
      <c r="I56" s="247">
        <f t="shared" si="1"/>
        <v>0</v>
      </c>
      <c r="J56" s="254"/>
      <c r="K56" s="250"/>
      <c r="L56" s="250"/>
      <c r="M56" s="221"/>
      <c r="N56" s="251"/>
      <c r="O56" s="246">
        <f t="shared" si="2"/>
        <v>0</v>
      </c>
      <c r="P56" s="247">
        <f t="shared" si="3"/>
        <v>0</v>
      </c>
      <c r="Q56" s="254"/>
      <c r="R56" s="250"/>
      <c r="S56" s="250"/>
      <c r="T56" s="221"/>
      <c r="U56" s="251"/>
      <c r="V56" s="246">
        <f t="shared" si="4"/>
        <v>0</v>
      </c>
      <c r="W56" s="247">
        <f t="shared" si="5"/>
        <v>0</v>
      </c>
      <c r="X56" s="254"/>
      <c r="Y56" s="250"/>
      <c r="Z56" s="250"/>
      <c r="AA56" s="221"/>
      <c r="AB56" s="251"/>
      <c r="AC56" s="246">
        <f t="shared" si="6"/>
        <v>0</v>
      </c>
      <c r="AD56" s="247">
        <f t="shared" si="7"/>
        <v>0</v>
      </c>
      <c r="AE56" s="254"/>
      <c r="AF56" s="273"/>
      <c r="AG56" s="250"/>
      <c r="AH56" s="221"/>
      <c r="AI56" s="251"/>
      <c r="AJ56" s="246">
        <f t="shared" si="8"/>
        <v>0</v>
      </c>
      <c r="AK56" s="247">
        <f t="shared" si="9"/>
        <v>0</v>
      </c>
      <c r="AL56" s="254"/>
      <c r="AM56" s="250"/>
      <c r="AN56" s="250"/>
      <c r="AO56" s="221"/>
      <c r="AP56" s="251"/>
      <c r="AQ56" s="246">
        <f t="shared" si="10"/>
        <v>0</v>
      </c>
      <c r="AR56" s="247">
        <f t="shared" si="11"/>
        <v>0</v>
      </c>
      <c r="AS56" s="254"/>
      <c r="AT56" s="250"/>
      <c r="AU56" s="250"/>
      <c r="AV56" s="221"/>
      <c r="AW56" s="251"/>
      <c r="AX56" s="246">
        <f t="shared" si="12"/>
        <v>0</v>
      </c>
      <c r="AY56" s="247">
        <f t="shared" si="13"/>
        <v>0</v>
      </c>
      <c r="AZ56" s="254"/>
      <c r="BA56" s="250"/>
      <c r="BB56" s="250"/>
      <c r="BC56" s="221"/>
      <c r="BD56" s="251"/>
      <c r="BE56" s="246">
        <f t="shared" si="14"/>
        <v>0</v>
      </c>
      <c r="BF56" s="247">
        <f t="shared" si="15"/>
        <v>0</v>
      </c>
      <c r="BG56" s="254"/>
      <c r="BH56" s="250"/>
      <c r="BI56" s="250"/>
      <c r="BJ56" s="221"/>
      <c r="BK56" s="251"/>
      <c r="BL56" s="246">
        <f t="shared" si="16"/>
        <v>0</v>
      </c>
      <c r="BM56" s="247">
        <f t="shared" si="17"/>
        <v>0</v>
      </c>
      <c r="BN56" s="254"/>
      <c r="BO56" s="250"/>
      <c r="BP56" s="250"/>
      <c r="BQ56" s="221"/>
      <c r="BR56" s="251"/>
      <c r="BS56" s="246">
        <f t="shared" si="18"/>
        <v>0</v>
      </c>
      <c r="BT56" s="247">
        <f t="shared" si="19"/>
        <v>0</v>
      </c>
      <c r="BU56" s="254"/>
      <c r="BV56" s="250"/>
      <c r="BW56" s="250"/>
      <c r="BX56" s="221"/>
      <c r="BY56" s="251"/>
      <c r="BZ56" s="246">
        <f t="shared" si="20"/>
        <v>0</v>
      </c>
      <c r="CA56" s="247">
        <f t="shared" si="21"/>
        <v>0</v>
      </c>
      <c r="CB56" s="254"/>
      <c r="CC56" s="250"/>
      <c r="CD56" s="250"/>
      <c r="CE56" s="221"/>
      <c r="CF56" s="251"/>
      <c r="CG56" s="246">
        <f t="shared" si="22"/>
        <v>0</v>
      </c>
      <c r="CH56" s="247">
        <f t="shared" si="23"/>
        <v>0</v>
      </c>
      <c r="CI56" s="248"/>
      <c r="CJ56" s="249"/>
      <c r="CK56" s="250"/>
      <c r="CL56" s="250"/>
      <c r="CM56" s="251" t="s">
        <v>968</v>
      </c>
      <c r="CN56" s="246">
        <f t="shared" si="24"/>
        <v>0</v>
      </c>
      <c r="CO56" s="247">
        <f t="shared" si="25"/>
        <v>0</v>
      </c>
      <c r="CP56" s="254"/>
      <c r="CQ56" s="250"/>
      <c r="CR56" s="250"/>
      <c r="CS56" s="221"/>
      <c r="CT56" s="251"/>
      <c r="CU56" s="246">
        <f t="shared" si="26"/>
        <v>0</v>
      </c>
      <c r="CV56" s="247">
        <f t="shared" si="27"/>
        <v>0</v>
      </c>
      <c r="CW56" s="248"/>
      <c r="CX56" s="249"/>
      <c r="CY56" s="250"/>
      <c r="CZ56" s="221"/>
      <c r="DA56" s="251" t="s">
        <v>968</v>
      </c>
      <c r="DB56" s="246">
        <f t="shared" si="28"/>
        <v>0</v>
      </c>
      <c r="DC56" s="247">
        <f t="shared" si="29"/>
        <v>0</v>
      </c>
      <c r="DD56" s="254"/>
      <c r="DE56" s="250"/>
      <c r="DF56" s="250"/>
      <c r="DG56" s="221"/>
      <c r="DH56" s="251"/>
      <c r="DI56" s="246">
        <f t="shared" si="30"/>
        <v>0</v>
      </c>
      <c r="DJ56" s="255">
        <f t="shared" si="31"/>
        <v>0</v>
      </c>
      <c r="DK56" s="209"/>
      <c r="DL56" s="220"/>
      <c r="DM56" s="221"/>
      <c r="DO56" s="256"/>
      <c r="DP56" s="257"/>
      <c r="DR56" s="258">
        <f t="shared" si="32"/>
        <v>0</v>
      </c>
      <c r="DS56" s="258">
        <f t="shared" si="33"/>
        <v>0</v>
      </c>
      <c r="DT56" s="258">
        <f t="shared" si="34"/>
        <v>0</v>
      </c>
      <c r="DU56" s="258">
        <f t="shared" si="35"/>
        <v>0</v>
      </c>
      <c r="DV56" s="259">
        <f t="shared" si="36"/>
        <v>0</v>
      </c>
      <c r="DW56" s="259">
        <f t="shared" si="37"/>
        <v>0</v>
      </c>
    </row>
    <row r="57" spans="1:127" s="194" customFormat="1" ht="15.75" x14ac:dyDescent="0.2">
      <c r="A57" s="239">
        <v>30</v>
      </c>
      <c r="B57" s="240" t="s">
        <v>992</v>
      </c>
      <c r="C57" s="276"/>
      <c r="D57" s="271"/>
      <c r="E57" s="272"/>
      <c r="F57" s="244"/>
      <c r="G57" s="245"/>
      <c r="H57" s="246">
        <f t="shared" si="0"/>
        <v>0</v>
      </c>
      <c r="I57" s="247">
        <f t="shared" si="1"/>
        <v>0</v>
      </c>
      <c r="J57" s="248"/>
      <c r="K57" s="273"/>
      <c r="L57" s="253"/>
      <c r="M57" s="221"/>
      <c r="N57" s="251" t="s">
        <v>968</v>
      </c>
      <c r="O57" s="246">
        <f t="shared" si="2"/>
        <v>0</v>
      </c>
      <c r="P57" s="247">
        <f t="shared" si="3"/>
        <v>0</v>
      </c>
      <c r="Q57" s="248"/>
      <c r="R57" s="273"/>
      <c r="S57" s="253"/>
      <c r="T57" s="221"/>
      <c r="U57" s="251" t="s">
        <v>968</v>
      </c>
      <c r="V57" s="246">
        <f t="shared" si="4"/>
        <v>0</v>
      </c>
      <c r="W57" s="247">
        <f t="shared" si="5"/>
        <v>0</v>
      </c>
      <c r="X57" s="254"/>
      <c r="Y57" s="250"/>
      <c r="Z57" s="250"/>
      <c r="AA57" s="221"/>
      <c r="AB57" s="251"/>
      <c r="AC57" s="246">
        <f t="shared" si="6"/>
        <v>0</v>
      </c>
      <c r="AD57" s="247">
        <f t="shared" si="7"/>
        <v>0</v>
      </c>
      <c r="AE57" s="254"/>
      <c r="AF57" s="273"/>
      <c r="AG57" s="250"/>
      <c r="AH57" s="221"/>
      <c r="AI57" s="251"/>
      <c r="AJ57" s="246">
        <f t="shared" si="8"/>
        <v>0</v>
      </c>
      <c r="AK57" s="247">
        <f t="shared" si="9"/>
        <v>0</v>
      </c>
      <c r="AL57" s="248"/>
      <c r="AM57" s="250"/>
      <c r="AN57" s="253"/>
      <c r="AO57" s="221"/>
      <c r="AP57" s="251" t="s">
        <v>968</v>
      </c>
      <c r="AQ57" s="246">
        <f t="shared" si="10"/>
        <v>0</v>
      </c>
      <c r="AR57" s="247">
        <f t="shared" si="11"/>
        <v>0</v>
      </c>
      <c r="AS57" s="248"/>
      <c r="AT57" s="250"/>
      <c r="AU57" s="253"/>
      <c r="AV57" s="221"/>
      <c r="AW57" s="251" t="s">
        <v>968</v>
      </c>
      <c r="AX57" s="246">
        <f t="shared" si="12"/>
        <v>0</v>
      </c>
      <c r="AY57" s="247">
        <f t="shared" si="13"/>
        <v>0</v>
      </c>
      <c r="AZ57" s="248"/>
      <c r="BA57" s="250"/>
      <c r="BB57" s="253"/>
      <c r="BC57" s="221"/>
      <c r="BD57" s="251" t="s">
        <v>968</v>
      </c>
      <c r="BE57" s="246">
        <f t="shared" si="14"/>
        <v>0</v>
      </c>
      <c r="BF57" s="247">
        <f t="shared" si="15"/>
        <v>0</v>
      </c>
      <c r="BG57" s="248"/>
      <c r="BH57" s="250"/>
      <c r="BI57" s="253"/>
      <c r="BJ57" s="221"/>
      <c r="BK57" s="251" t="s">
        <v>968</v>
      </c>
      <c r="BL57" s="246">
        <f t="shared" si="16"/>
        <v>0</v>
      </c>
      <c r="BM57" s="247">
        <f t="shared" si="17"/>
        <v>0</v>
      </c>
      <c r="BN57" s="248"/>
      <c r="BO57" s="250"/>
      <c r="BP57" s="253"/>
      <c r="BQ57" s="221"/>
      <c r="BR57" s="251" t="s">
        <v>968</v>
      </c>
      <c r="BS57" s="246">
        <f t="shared" si="18"/>
        <v>0</v>
      </c>
      <c r="BT57" s="247">
        <f t="shared" si="19"/>
        <v>0</v>
      </c>
      <c r="BU57" s="248"/>
      <c r="BV57" s="250"/>
      <c r="BW57" s="253"/>
      <c r="BX57" s="221"/>
      <c r="BY57" s="251" t="s">
        <v>968</v>
      </c>
      <c r="BZ57" s="246">
        <f t="shared" si="20"/>
        <v>0</v>
      </c>
      <c r="CA57" s="247">
        <f t="shared" si="21"/>
        <v>0</v>
      </c>
      <c r="CB57" s="254"/>
      <c r="CC57" s="250"/>
      <c r="CD57" s="253"/>
      <c r="CE57" s="221"/>
      <c r="CF57" s="251" t="s">
        <v>968</v>
      </c>
      <c r="CG57" s="246">
        <f t="shared" si="22"/>
        <v>0</v>
      </c>
      <c r="CH57" s="247">
        <f t="shared" si="23"/>
        <v>0</v>
      </c>
      <c r="CI57" s="254"/>
      <c r="CJ57" s="250"/>
      <c r="CK57" s="250"/>
      <c r="CL57" s="221"/>
      <c r="CM57" s="251"/>
      <c r="CN57" s="246">
        <f t="shared" si="24"/>
        <v>0</v>
      </c>
      <c r="CO57" s="247">
        <f t="shared" si="25"/>
        <v>0</v>
      </c>
      <c r="CP57" s="248"/>
      <c r="CQ57" s="250"/>
      <c r="CR57" s="250"/>
      <c r="CS57" s="266"/>
      <c r="CT57" s="251" t="s">
        <v>968</v>
      </c>
      <c r="CU57" s="246">
        <f t="shared" si="26"/>
        <v>0</v>
      </c>
      <c r="CV57" s="247">
        <f t="shared" si="27"/>
        <v>0</v>
      </c>
      <c r="CW57" s="254"/>
      <c r="CX57" s="250"/>
      <c r="CY57" s="250"/>
      <c r="CZ57" s="221"/>
      <c r="DA57" s="251"/>
      <c r="DB57" s="246">
        <f t="shared" si="28"/>
        <v>0</v>
      </c>
      <c r="DC57" s="247">
        <f t="shared" si="29"/>
        <v>0</v>
      </c>
      <c r="DD57" s="248"/>
      <c r="DE57" s="250"/>
      <c r="DF57" s="253"/>
      <c r="DG57" s="221"/>
      <c r="DH57" s="251" t="s">
        <v>968</v>
      </c>
      <c r="DI57" s="246">
        <f t="shared" si="30"/>
        <v>0</v>
      </c>
      <c r="DJ57" s="255">
        <f t="shared" si="31"/>
        <v>0</v>
      </c>
      <c r="DK57" s="209"/>
      <c r="DL57" s="220"/>
      <c r="DM57" s="221"/>
      <c r="DO57" s="256"/>
      <c r="DP57" s="257"/>
      <c r="DR57" s="258">
        <f t="shared" si="32"/>
        <v>0</v>
      </c>
      <c r="DS57" s="258">
        <f t="shared" si="33"/>
        <v>0</v>
      </c>
      <c r="DT57" s="258">
        <f t="shared" si="34"/>
        <v>0</v>
      </c>
      <c r="DU57" s="258">
        <f t="shared" si="35"/>
        <v>0</v>
      </c>
      <c r="DV57" s="259">
        <f t="shared" si="36"/>
        <v>0</v>
      </c>
      <c r="DW57" s="259">
        <f t="shared" si="37"/>
        <v>0</v>
      </c>
    </row>
    <row r="58" spans="1:127" s="194" customFormat="1" ht="15.75" x14ac:dyDescent="0.2">
      <c r="A58" s="239">
        <v>31</v>
      </c>
      <c r="B58" s="240" t="s">
        <v>993</v>
      </c>
      <c r="C58" s="241"/>
      <c r="D58" s="271"/>
      <c r="E58" s="272"/>
      <c r="F58" s="263"/>
      <c r="G58" s="245" t="s">
        <v>968</v>
      </c>
      <c r="H58" s="246">
        <f t="shared" si="0"/>
        <v>0</v>
      </c>
      <c r="I58" s="247">
        <f t="shared" si="1"/>
        <v>0</v>
      </c>
      <c r="J58" s="248"/>
      <c r="K58" s="250"/>
      <c r="L58" s="253"/>
      <c r="M58" s="221"/>
      <c r="N58" s="251" t="s">
        <v>968</v>
      </c>
      <c r="O58" s="246">
        <f t="shared" si="2"/>
        <v>0</v>
      </c>
      <c r="P58" s="247">
        <f t="shared" si="3"/>
        <v>0</v>
      </c>
      <c r="Q58" s="248"/>
      <c r="R58" s="250"/>
      <c r="S58" s="253"/>
      <c r="T58" s="221"/>
      <c r="U58" s="251" t="s">
        <v>968</v>
      </c>
      <c r="V58" s="246">
        <f t="shared" si="4"/>
        <v>0</v>
      </c>
      <c r="W58" s="247">
        <f t="shared" si="5"/>
        <v>0</v>
      </c>
      <c r="X58" s="254"/>
      <c r="Y58" s="250"/>
      <c r="Z58" s="250"/>
      <c r="AA58" s="221"/>
      <c r="AB58" s="251"/>
      <c r="AC58" s="246">
        <f t="shared" si="6"/>
        <v>0</v>
      </c>
      <c r="AD58" s="247">
        <f t="shared" si="7"/>
        <v>0</v>
      </c>
      <c r="AE58" s="248"/>
      <c r="AF58" s="273"/>
      <c r="AG58" s="253"/>
      <c r="AH58" s="221"/>
      <c r="AI58" s="251" t="s">
        <v>968</v>
      </c>
      <c r="AJ58" s="246">
        <f t="shared" si="8"/>
        <v>0</v>
      </c>
      <c r="AK58" s="247">
        <f t="shared" si="9"/>
        <v>0</v>
      </c>
      <c r="AL58" s="248"/>
      <c r="AM58" s="250"/>
      <c r="AN58" s="253"/>
      <c r="AO58" s="221"/>
      <c r="AP58" s="251" t="s">
        <v>968</v>
      </c>
      <c r="AQ58" s="246">
        <f t="shared" si="10"/>
        <v>0</v>
      </c>
      <c r="AR58" s="247">
        <f t="shared" si="11"/>
        <v>0</v>
      </c>
      <c r="AS58" s="248"/>
      <c r="AT58" s="250"/>
      <c r="AU58" s="253"/>
      <c r="AV58" s="221"/>
      <c r="AW58" s="251" t="s">
        <v>968</v>
      </c>
      <c r="AX58" s="246">
        <f t="shared" si="12"/>
        <v>0</v>
      </c>
      <c r="AY58" s="247">
        <f t="shared" si="13"/>
        <v>0</v>
      </c>
      <c r="AZ58" s="248"/>
      <c r="BA58" s="250"/>
      <c r="BB58" s="253"/>
      <c r="BC58" s="221"/>
      <c r="BD58" s="251" t="s">
        <v>968</v>
      </c>
      <c r="BE58" s="246">
        <f t="shared" si="14"/>
        <v>0</v>
      </c>
      <c r="BF58" s="247">
        <f t="shared" si="15"/>
        <v>0</v>
      </c>
      <c r="BG58" s="248"/>
      <c r="BH58" s="273"/>
      <c r="BI58" s="253"/>
      <c r="BJ58" s="221"/>
      <c r="BK58" s="251" t="s">
        <v>968</v>
      </c>
      <c r="BL58" s="246">
        <f t="shared" si="16"/>
        <v>0</v>
      </c>
      <c r="BM58" s="247">
        <f t="shared" si="17"/>
        <v>0</v>
      </c>
      <c r="BN58" s="248"/>
      <c r="BO58" s="250"/>
      <c r="BP58" s="253"/>
      <c r="BQ58" s="221"/>
      <c r="BR58" s="251" t="s">
        <v>968</v>
      </c>
      <c r="BS58" s="246">
        <f t="shared" si="18"/>
        <v>0</v>
      </c>
      <c r="BT58" s="247">
        <f t="shared" si="19"/>
        <v>0</v>
      </c>
      <c r="BU58" s="248"/>
      <c r="BV58" s="250"/>
      <c r="BW58" s="253"/>
      <c r="BX58" s="221"/>
      <c r="BY58" s="251" t="s">
        <v>968</v>
      </c>
      <c r="BZ58" s="246">
        <f t="shared" si="20"/>
        <v>0</v>
      </c>
      <c r="CA58" s="247">
        <f t="shared" si="21"/>
        <v>0</v>
      </c>
      <c r="CB58" s="248"/>
      <c r="CC58" s="250"/>
      <c r="CD58" s="253"/>
      <c r="CE58" s="221"/>
      <c r="CF58" s="251" t="s">
        <v>968</v>
      </c>
      <c r="CG58" s="246">
        <f t="shared" si="22"/>
        <v>0</v>
      </c>
      <c r="CH58" s="247">
        <f t="shared" si="23"/>
        <v>0</v>
      </c>
      <c r="CI58" s="254"/>
      <c r="CJ58" s="250"/>
      <c r="CK58" s="250"/>
      <c r="CL58" s="221"/>
      <c r="CM58" s="251"/>
      <c r="CN58" s="246">
        <f t="shared" si="24"/>
        <v>0</v>
      </c>
      <c r="CO58" s="247">
        <f t="shared" si="25"/>
        <v>0</v>
      </c>
      <c r="CP58" s="248"/>
      <c r="CQ58" s="250"/>
      <c r="CR58" s="250"/>
      <c r="CS58" s="266"/>
      <c r="CT58" s="251" t="s">
        <v>968</v>
      </c>
      <c r="CU58" s="246">
        <f t="shared" si="26"/>
        <v>0</v>
      </c>
      <c r="CV58" s="247">
        <f t="shared" si="27"/>
        <v>0</v>
      </c>
      <c r="CW58" s="254"/>
      <c r="CX58" s="250"/>
      <c r="CY58" s="250"/>
      <c r="CZ58" s="221"/>
      <c r="DA58" s="251"/>
      <c r="DB58" s="246">
        <f t="shared" si="28"/>
        <v>0</v>
      </c>
      <c r="DC58" s="247">
        <f t="shared" si="29"/>
        <v>0</v>
      </c>
      <c r="DD58" s="248"/>
      <c r="DE58" s="250"/>
      <c r="DF58" s="253"/>
      <c r="DG58" s="221"/>
      <c r="DH58" s="251" t="s">
        <v>968</v>
      </c>
      <c r="DI58" s="246">
        <f t="shared" si="30"/>
        <v>0</v>
      </c>
      <c r="DJ58" s="255">
        <f t="shared" si="31"/>
        <v>0</v>
      </c>
      <c r="DK58" s="209"/>
      <c r="DL58" s="220"/>
      <c r="DM58" s="221"/>
      <c r="DO58" s="256"/>
      <c r="DP58" s="257"/>
      <c r="DR58" s="258">
        <f t="shared" si="32"/>
        <v>0</v>
      </c>
      <c r="DS58" s="258">
        <f t="shared" si="33"/>
        <v>0</v>
      </c>
      <c r="DT58" s="258">
        <f t="shared" si="34"/>
        <v>0</v>
      </c>
      <c r="DU58" s="258">
        <f t="shared" si="35"/>
        <v>0</v>
      </c>
      <c r="DV58" s="259">
        <f t="shared" si="36"/>
        <v>0</v>
      </c>
      <c r="DW58" s="259">
        <f t="shared" si="37"/>
        <v>0</v>
      </c>
    </row>
    <row r="59" spans="1:127" s="194" customFormat="1" ht="15.75" x14ac:dyDescent="0.2">
      <c r="A59" s="239">
        <v>32</v>
      </c>
      <c r="B59" s="240" t="s">
        <v>994</v>
      </c>
      <c r="C59" s="241"/>
      <c r="D59" s="242"/>
      <c r="E59" s="272"/>
      <c r="F59" s="244"/>
      <c r="G59" s="245" t="s">
        <v>968</v>
      </c>
      <c r="H59" s="246">
        <f t="shared" si="0"/>
        <v>0</v>
      </c>
      <c r="I59" s="247">
        <f t="shared" si="1"/>
        <v>0</v>
      </c>
      <c r="J59" s="248"/>
      <c r="K59" s="249"/>
      <c r="L59" s="250"/>
      <c r="M59" s="221"/>
      <c r="N59" s="251" t="s">
        <v>968</v>
      </c>
      <c r="O59" s="246">
        <f t="shared" si="2"/>
        <v>0</v>
      </c>
      <c r="P59" s="247">
        <f t="shared" si="3"/>
        <v>0</v>
      </c>
      <c r="Q59" s="248"/>
      <c r="R59" s="249"/>
      <c r="S59" s="250"/>
      <c r="T59" s="221"/>
      <c r="U59" s="251" t="s">
        <v>968</v>
      </c>
      <c r="V59" s="246">
        <f t="shared" si="4"/>
        <v>0</v>
      </c>
      <c r="W59" s="247">
        <f t="shared" si="5"/>
        <v>0</v>
      </c>
      <c r="X59" s="248"/>
      <c r="Y59" s="249"/>
      <c r="Z59" s="250"/>
      <c r="AA59" s="221"/>
      <c r="AB59" s="251" t="s">
        <v>968</v>
      </c>
      <c r="AC59" s="246">
        <f t="shared" si="6"/>
        <v>0</v>
      </c>
      <c r="AD59" s="247">
        <f t="shared" si="7"/>
        <v>0</v>
      </c>
      <c r="AE59" s="248"/>
      <c r="AF59" s="252"/>
      <c r="AG59" s="250"/>
      <c r="AH59" s="221"/>
      <c r="AI59" s="251" t="s">
        <v>968</v>
      </c>
      <c r="AJ59" s="246">
        <f t="shared" si="8"/>
        <v>0</v>
      </c>
      <c r="AK59" s="247">
        <f t="shared" si="9"/>
        <v>0</v>
      </c>
      <c r="AL59" s="248"/>
      <c r="AM59" s="252"/>
      <c r="AN59" s="250"/>
      <c r="AO59" s="221"/>
      <c r="AP59" s="251" t="s">
        <v>968</v>
      </c>
      <c r="AQ59" s="246">
        <f t="shared" si="10"/>
        <v>0</v>
      </c>
      <c r="AR59" s="247">
        <f t="shared" si="11"/>
        <v>0</v>
      </c>
      <c r="AS59" s="248"/>
      <c r="AT59" s="249"/>
      <c r="AU59" s="250"/>
      <c r="AV59" s="221"/>
      <c r="AW59" s="251" t="s">
        <v>968</v>
      </c>
      <c r="AX59" s="246">
        <f t="shared" si="12"/>
        <v>0</v>
      </c>
      <c r="AY59" s="247">
        <f t="shared" si="13"/>
        <v>0</v>
      </c>
      <c r="AZ59" s="248"/>
      <c r="BA59" s="249"/>
      <c r="BB59" s="250"/>
      <c r="BC59" s="221"/>
      <c r="BD59" s="251" t="s">
        <v>968</v>
      </c>
      <c r="BE59" s="246">
        <f t="shared" si="14"/>
        <v>0</v>
      </c>
      <c r="BF59" s="247">
        <f t="shared" si="15"/>
        <v>0</v>
      </c>
      <c r="BG59" s="248"/>
      <c r="BH59" s="249"/>
      <c r="BI59" s="250"/>
      <c r="BJ59" s="221"/>
      <c r="BK59" s="251" t="s">
        <v>968</v>
      </c>
      <c r="BL59" s="246">
        <f t="shared" si="16"/>
        <v>0</v>
      </c>
      <c r="BM59" s="247">
        <f t="shared" si="17"/>
        <v>0</v>
      </c>
      <c r="BN59" s="248"/>
      <c r="BO59" s="249"/>
      <c r="BP59" s="250"/>
      <c r="BQ59" s="221"/>
      <c r="BR59" s="251" t="s">
        <v>968</v>
      </c>
      <c r="BS59" s="246">
        <f t="shared" si="18"/>
        <v>0</v>
      </c>
      <c r="BT59" s="247">
        <f t="shared" si="19"/>
        <v>0</v>
      </c>
      <c r="BU59" s="248"/>
      <c r="BV59" s="249"/>
      <c r="BW59" s="250"/>
      <c r="BX59" s="221"/>
      <c r="BY59" s="251" t="s">
        <v>968</v>
      </c>
      <c r="BZ59" s="246">
        <f t="shared" si="20"/>
        <v>0</v>
      </c>
      <c r="CA59" s="247">
        <f t="shared" si="21"/>
        <v>0</v>
      </c>
      <c r="CB59" s="248"/>
      <c r="CC59" s="249"/>
      <c r="CD59" s="250"/>
      <c r="CE59" s="221"/>
      <c r="CF59" s="251" t="s">
        <v>968</v>
      </c>
      <c r="CG59" s="246">
        <f t="shared" si="22"/>
        <v>0</v>
      </c>
      <c r="CH59" s="247">
        <f t="shared" si="23"/>
        <v>0</v>
      </c>
      <c r="CI59" s="254"/>
      <c r="CJ59" s="250"/>
      <c r="CK59" s="250"/>
      <c r="CL59" s="250"/>
      <c r="CM59" s="251"/>
      <c r="CN59" s="246">
        <f t="shared" si="24"/>
        <v>0</v>
      </c>
      <c r="CO59" s="247">
        <f t="shared" si="25"/>
        <v>0</v>
      </c>
      <c r="CP59" s="254"/>
      <c r="CQ59" s="250"/>
      <c r="CR59" s="250"/>
      <c r="CS59" s="221"/>
      <c r="CT59" s="251"/>
      <c r="CU59" s="246">
        <f t="shared" si="26"/>
        <v>0</v>
      </c>
      <c r="CV59" s="247">
        <f t="shared" si="27"/>
        <v>0</v>
      </c>
      <c r="CW59" s="254"/>
      <c r="CX59" s="250"/>
      <c r="CY59" s="250"/>
      <c r="CZ59" s="221"/>
      <c r="DA59" s="251"/>
      <c r="DB59" s="246">
        <f t="shared" si="28"/>
        <v>0</v>
      </c>
      <c r="DC59" s="247">
        <f t="shared" si="29"/>
        <v>0</v>
      </c>
      <c r="DD59" s="248"/>
      <c r="DE59" s="249"/>
      <c r="DF59" s="250"/>
      <c r="DG59" s="221"/>
      <c r="DH59" s="251" t="s">
        <v>968</v>
      </c>
      <c r="DI59" s="246">
        <f t="shared" si="30"/>
        <v>0</v>
      </c>
      <c r="DJ59" s="255">
        <f t="shared" si="31"/>
        <v>0</v>
      </c>
      <c r="DK59" s="209"/>
      <c r="DL59" s="220"/>
      <c r="DM59" s="221"/>
      <c r="DO59" s="256"/>
      <c r="DP59" s="257"/>
      <c r="DR59" s="258">
        <f t="shared" si="32"/>
        <v>0</v>
      </c>
      <c r="DS59" s="258">
        <f t="shared" si="33"/>
        <v>0</v>
      </c>
      <c r="DT59" s="258">
        <f t="shared" si="34"/>
        <v>0</v>
      </c>
      <c r="DU59" s="258">
        <f t="shared" si="35"/>
        <v>0</v>
      </c>
      <c r="DV59" s="259">
        <f t="shared" si="36"/>
        <v>0</v>
      </c>
      <c r="DW59" s="259">
        <f t="shared" si="37"/>
        <v>0</v>
      </c>
    </row>
    <row r="60" spans="1:127" s="194" customFormat="1" ht="15.75" x14ac:dyDescent="0.2">
      <c r="A60" s="239">
        <v>33</v>
      </c>
      <c r="B60" s="240" t="s">
        <v>995</v>
      </c>
      <c r="C60" s="241"/>
      <c r="D60" s="271"/>
      <c r="E60" s="280"/>
      <c r="F60" s="244"/>
      <c r="G60" s="245" t="s">
        <v>968</v>
      </c>
      <c r="H60" s="246">
        <f t="shared" si="0"/>
        <v>0</v>
      </c>
      <c r="I60" s="247">
        <f t="shared" si="1"/>
        <v>0</v>
      </c>
      <c r="J60" s="248"/>
      <c r="K60" s="250"/>
      <c r="L60" s="250"/>
      <c r="M60" s="221"/>
      <c r="N60" s="251" t="s">
        <v>968</v>
      </c>
      <c r="O60" s="246">
        <f t="shared" si="2"/>
        <v>0</v>
      </c>
      <c r="P60" s="247">
        <f t="shared" si="3"/>
        <v>0</v>
      </c>
      <c r="Q60" s="248"/>
      <c r="R60" s="250"/>
      <c r="S60" s="250"/>
      <c r="T60" s="221"/>
      <c r="U60" s="251" t="s">
        <v>968</v>
      </c>
      <c r="V60" s="246">
        <f t="shared" si="4"/>
        <v>0</v>
      </c>
      <c r="W60" s="247">
        <f t="shared" si="5"/>
        <v>0</v>
      </c>
      <c r="X60" s="254"/>
      <c r="Y60" s="250"/>
      <c r="Z60" s="250"/>
      <c r="AA60" s="221"/>
      <c r="AB60" s="251"/>
      <c r="AC60" s="246">
        <f t="shared" si="6"/>
        <v>0</v>
      </c>
      <c r="AD60" s="247">
        <f t="shared" si="7"/>
        <v>0</v>
      </c>
      <c r="AE60" s="254"/>
      <c r="AF60" s="273"/>
      <c r="AG60" s="250"/>
      <c r="AH60" s="221"/>
      <c r="AI60" s="251"/>
      <c r="AJ60" s="246">
        <f t="shared" si="8"/>
        <v>0</v>
      </c>
      <c r="AK60" s="247">
        <f t="shared" si="9"/>
        <v>0</v>
      </c>
      <c r="AL60" s="254"/>
      <c r="AM60" s="250"/>
      <c r="AN60" s="250"/>
      <c r="AO60" s="221"/>
      <c r="AP60" s="251"/>
      <c r="AQ60" s="246">
        <f t="shared" si="10"/>
        <v>0</v>
      </c>
      <c r="AR60" s="247">
        <f t="shared" si="11"/>
        <v>0</v>
      </c>
      <c r="AS60" s="254"/>
      <c r="AT60" s="250"/>
      <c r="AU60" s="250"/>
      <c r="AV60" s="221"/>
      <c r="AW60" s="251"/>
      <c r="AX60" s="246">
        <f t="shared" si="12"/>
        <v>0</v>
      </c>
      <c r="AY60" s="247">
        <f t="shared" si="13"/>
        <v>0</v>
      </c>
      <c r="AZ60" s="248"/>
      <c r="BA60" s="250"/>
      <c r="BB60" s="250"/>
      <c r="BC60" s="221"/>
      <c r="BD60" s="251" t="s">
        <v>968</v>
      </c>
      <c r="BE60" s="246">
        <f t="shared" si="14"/>
        <v>0</v>
      </c>
      <c r="BF60" s="247">
        <f t="shared" si="15"/>
        <v>0</v>
      </c>
      <c r="BG60" s="248"/>
      <c r="BH60" s="273"/>
      <c r="BI60" s="253"/>
      <c r="BJ60" s="221"/>
      <c r="BK60" s="251" t="s">
        <v>968</v>
      </c>
      <c r="BL60" s="246">
        <f t="shared" si="16"/>
        <v>0</v>
      </c>
      <c r="BM60" s="247">
        <f t="shared" si="17"/>
        <v>0</v>
      </c>
      <c r="BN60" s="248"/>
      <c r="BO60" s="249"/>
      <c r="BP60" s="250"/>
      <c r="BQ60" s="221"/>
      <c r="BR60" s="251" t="s">
        <v>968</v>
      </c>
      <c r="BS60" s="246">
        <f t="shared" si="18"/>
        <v>0</v>
      </c>
      <c r="BT60" s="247">
        <f t="shared" si="19"/>
        <v>0</v>
      </c>
      <c r="BU60" s="254"/>
      <c r="BV60" s="250"/>
      <c r="BW60" s="250"/>
      <c r="BX60" s="221"/>
      <c r="BY60" s="251"/>
      <c r="BZ60" s="246">
        <f t="shared" si="20"/>
        <v>0</v>
      </c>
      <c r="CA60" s="247">
        <f t="shared" si="21"/>
        <v>0</v>
      </c>
      <c r="CB60" s="254"/>
      <c r="CC60" s="250"/>
      <c r="CD60" s="250"/>
      <c r="CE60" s="221"/>
      <c r="CF60" s="251"/>
      <c r="CG60" s="246">
        <f t="shared" si="22"/>
        <v>0</v>
      </c>
      <c r="CH60" s="247">
        <f t="shared" si="23"/>
        <v>0</v>
      </c>
      <c r="CI60" s="248"/>
      <c r="CJ60" s="250"/>
      <c r="CK60" s="250"/>
      <c r="CL60" s="274"/>
      <c r="CM60" s="251" t="s">
        <v>968</v>
      </c>
      <c r="CN60" s="246">
        <f t="shared" si="24"/>
        <v>0</v>
      </c>
      <c r="CO60" s="247">
        <f t="shared" si="25"/>
        <v>0</v>
      </c>
      <c r="CP60" s="248"/>
      <c r="CQ60" s="250"/>
      <c r="CR60" s="250"/>
      <c r="CS60" s="266"/>
      <c r="CT60" s="251" t="s">
        <v>968</v>
      </c>
      <c r="CU60" s="246">
        <f t="shared" si="26"/>
        <v>0</v>
      </c>
      <c r="CV60" s="247">
        <f t="shared" si="27"/>
        <v>0</v>
      </c>
      <c r="CW60" s="254"/>
      <c r="CX60" s="250"/>
      <c r="CY60" s="250"/>
      <c r="CZ60" s="221"/>
      <c r="DA60" s="251"/>
      <c r="DB60" s="246">
        <f t="shared" si="28"/>
        <v>0</v>
      </c>
      <c r="DC60" s="247">
        <f t="shared" si="29"/>
        <v>0</v>
      </c>
      <c r="DD60" s="248"/>
      <c r="DE60" s="252"/>
      <c r="DF60" s="275"/>
      <c r="DG60" s="221"/>
      <c r="DH60" s="251" t="s">
        <v>968</v>
      </c>
      <c r="DI60" s="246">
        <f t="shared" si="30"/>
        <v>0</v>
      </c>
      <c r="DJ60" s="255">
        <f t="shared" si="31"/>
        <v>0</v>
      </c>
      <c r="DK60" s="209"/>
      <c r="DL60" s="220"/>
      <c r="DM60" s="221"/>
      <c r="DO60" s="256"/>
      <c r="DP60" s="257"/>
      <c r="DR60" s="258">
        <f t="shared" si="32"/>
        <v>0</v>
      </c>
      <c r="DS60" s="258">
        <f t="shared" si="33"/>
        <v>0</v>
      </c>
      <c r="DT60" s="258">
        <f t="shared" si="34"/>
        <v>0</v>
      </c>
      <c r="DU60" s="258">
        <f t="shared" si="35"/>
        <v>0</v>
      </c>
      <c r="DV60" s="259">
        <f t="shared" si="36"/>
        <v>0</v>
      </c>
      <c r="DW60" s="259">
        <f t="shared" si="37"/>
        <v>0</v>
      </c>
    </row>
    <row r="61" spans="1:127" s="194" customFormat="1" ht="15.75" x14ac:dyDescent="0.2">
      <c r="A61" s="239">
        <v>34</v>
      </c>
      <c r="B61" s="240" t="s">
        <v>996</v>
      </c>
      <c r="C61" s="241"/>
      <c r="D61" s="271"/>
      <c r="E61" s="280"/>
      <c r="F61" s="244"/>
      <c r="G61" s="245" t="s">
        <v>968</v>
      </c>
      <c r="H61" s="246">
        <f t="shared" si="0"/>
        <v>0</v>
      </c>
      <c r="I61" s="247">
        <f t="shared" si="1"/>
        <v>0</v>
      </c>
      <c r="J61" s="254"/>
      <c r="K61" s="250"/>
      <c r="L61" s="250"/>
      <c r="M61" s="221"/>
      <c r="N61" s="251"/>
      <c r="O61" s="246">
        <f t="shared" si="2"/>
        <v>0</v>
      </c>
      <c r="P61" s="247">
        <f t="shared" si="3"/>
        <v>0</v>
      </c>
      <c r="Q61" s="254"/>
      <c r="R61" s="250"/>
      <c r="S61" s="250"/>
      <c r="T61" s="221"/>
      <c r="U61" s="251"/>
      <c r="V61" s="246">
        <f t="shared" si="4"/>
        <v>0</v>
      </c>
      <c r="W61" s="247">
        <f t="shared" si="5"/>
        <v>0</v>
      </c>
      <c r="X61" s="254"/>
      <c r="Y61" s="250"/>
      <c r="Z61" s="250"/>
      <c r="AA61" s="221"/>
      <c r="AB61" s="251"/>
      <c r="AC61" s="246">
        <f t="shared" si="6"/>
        <v>0</v>
      </c>
      <c r="AD61" s="247">
        <f t="shared" si="7"/>
        <v>0</v>
      </c>
      <c r="AE61" s="254"/>
      <c r="AF61" s="273"/>
      <c r="AG61" s="250"/>
      <c r="AH61" s="221"/>
      <c r="AI61" s="251"/>
      <c r="AJ61" s="246">
        <f t="shared" si="8"/>
        <v>0</v>
      </c>
      <c r="AK61" s="247">
        <f t="shared" si="9"/>
        <v>0</v>
      </c>
      <c r="AL61" s="254"/>
      <c r="AM61" s="250"/>
      <c r="AN61" s="250"/>
      <c r="AO61" s="221"/>
      <c r="AP61" s="251"/>
      <c r="AQ61" s="246">
        <f t="shared" si="10"/>
        <v>0</v>
      </c>
      <c r="AR61" s="247">
        <f t="shared" si="11"/>
        <v>0</v>
      </c>
      <c r="AS61" s="254"/>
      <c r="AT61" s="250"/>
      <c r="AU61" s="250"/>
      <c r="AV61" s="221"/>
      <c r="AW61" s="251"/>
      <c r="AX61" s="246">
        <f t="shared" si="12"/>
        <v>0</v>
      </c>
      <c r="AY61" s="247">
        <f t="shared" si="13"/>
        <v>0</v>
      </c>
      <c r="AZ61" s="254"/>
      <c r="BA61" s="250"/>
      <c r="BB61" s="250"/>
      <c r="BC61" s="221"/>
      <c r="BD61" s="251"/>
      <c r="BE61" s="246">
        <f t="shared" si="14"/>
        <v>0</v>
      </c>
      <c r="BF61" s="247">
        <f t="shared" si="15"/>
        <v>0</v>
      </c>
      <c r="BG61" s="248"/>
      <c r="BH61" s="250"/>
      <c r="BI61" s="253"/>
      <c r="BJ61" s="221"/>
      <c r="BK61" s="251" t="s">
        <v>968</v>
      </c>
      <c r="BL61" s="246">
        <f t="shared" si="16"/>
        <v>0</v>
      </c>
      <c r="BM61" s="247">
        <f t="shared" si="17"/>
        <v>0</v>
      </c>
      <c r="BN61" s="248"/>
      <c r="BO61" s="250"/>
      <c r="BP61" s="253"/>
      <c r="BQ61" s="221"/>
      <c r="BR61" s="251" t="s">
        <v>968</v>
      </c>
      <c r="BS61" s="246">
        <f t="shared" si="18"/>
        <v>0</v>
      </c>
      <c r="BT61" s="247">
        <f t="shared" si="19"/>
        <v>0</v>
      </c>
      <c r="BU61" s="254"/>
      <c r="BV61" s="250"/>
      <c r="BW61" s="250"/>
      <c r="BX61" s="221"/>
      <c r="BY61" s="251"/>
      <c r="BZ61" s="246">
        <f t="shared" si="20"/>
        <v>0</v>
      </c>
      <c r="CA61" s="247">
        <f t="shared" si="21"/>
        <v>0</v>
      </c>
      <c r="CB61" s="254"/>
      <c r="CC61" s="250"/>
      <c r="CD61" s="250"/>
      <c r="CE61" s="221"/>
      <c r="CF61" s="251"/>
      <c r="CG61" s="246">
        <f t="shared" si="22"/>
        <v>0</v>
      </c>
      <c r="CH61" s="247">
        <f t="shared" si="23"/>
        <v>0</v>
      </c>
      <c r="CI61" s="248"/>
      <c r="CJ61" s="250"/>
      <c r="CK61" s="253"/>
      <c r="CL61" s="250"/>
      <c r="CM61" s="251" t="s">
        <v>968</v>
      </c>
      <c r="CN61" s="246">
        <f t="shared" si="24"/>
        <v>0</v>
      </c>
      <c r="CO61" s="247">
        <f t="shared" si="25"/>
        <v>0</v>
      </c>
      <c r="CP61" s="248"/>
      <c r="CQ61" s="250"/>
      <c r="CR61" s="253"/>
      <c r="CS61" s="221"/>
      <c r="CT61" s="251" t="s">
        <v>968</v>
      </c>
      <c r="CU61" s="246">
        <f t="shared" si="26"/>
        <v>0</v>
      </c>
      <c r="CV61" s="247">
        <f t="shared" si="27"/>
        <v>0</v>
      </c>
      <c r="CW61" s="254"/>
      <c r="CX61" s="250"/>
      <c r="CY61" s="250"/>
      <c r="CZ61" s="221"/>
      <c r="DA61" s="251"/>
      <c r="DB61" s="246">
        <f t="shared" si="28"/>
        <v>0</v>
      </c>
      <c r="DC61" s="247">
        <f t="shared" si="29"/>
        <v>0</v>
      </c>
      <c r="DD61" s="248"/>
      <c r="DE61" s="250"/>
      <c r="DF61" s="253"/>
      <c r="DG61" s="221"/>
      <c r="DH61" s="251" t="s">
        <v>968</v>
      </c>
      <c r="DI61" s="246">
        <f t="shared" si="30"/>
        <v>0</v>
      </c>
      <c r="DJ61" s="255">
        <f t="shared" si="31"/>
        <v>0</v>
      </c>
      <c r="DK61" s="209"/>
      <c r="DL61" s="220"/>
      <c r="DM61" s="221"/>
      <c r="DO61" s="256"/>
      <c r="DP61" s="257"/>
      <c r="DR61" s="258">
        <f t="shared" si="32"/>
        <v>0</v>
      </c>
      <c r="DS61" s="258">
        <f t="shared" si="33"/>
        <v>0</v>
      </c>
      <c r="DT61" s="258">
        <f t="shared" si="34"/>
        <v>0</v>
      </c>
      <c r="DU61" s="258">
        <f t="shared" si="35"/>
        <v>0</v>
      </c>
      <c r="DV61" s="259">
        <f t="shared" si="36"/>
        <v>0</v>
      </c>
      <c r="DW61" s="259">
        <f t="shared" si="37"/>
        <v>0</v>
      </c>
    </row>
    <row r="62" spans="1:127" s="194" customFormat="1" ht="15.75" x14ac:dyDescent="0.2">
      <c r="A62" s="239">
        <v>35</v>
      </c>
      <c r="B62" s="240" t="s">
        <v>997</v>
      </c>
      <c r="C62" s="241"/>
      <c r="D62" s="242"/>
      <c r="E62" s="272"/>
      <c r="F62" s="244"/>
      <c r="G62" s="245" t="s">
        <v>968</v>
      </c>
      <c r="H62" s="246">
        <f t="shared" si="0"/>
        <v>0</v>
      </c>
      <c r="I62" s="247">
        <f t="shared" si="1"/>
        <v>0</v>
      </c>
      <c r="J62" s="248"/>
      <c r="K62" s="249"/>
      <c r="L62" s="250"/>
      <c r="M62" s="221"/>
      <c r="N62" s="251" t="s">
        <v>968</v>
      </c>
      <c r="O62" s="246">
        <f t="shared" si="2"/>
        <v>0</v>
      </c>
      <c r="P62" s="247">
        <f t="shared" si="3"/>
        <v>0</v>
      </c>
      <c r="Q62" s="248"/>
      <c r="R62" s="249"/>
      <c r="S62" s="250"/>
      <c r="T62" s="221"/>
      <c r="U62" s="251" t="s">
        <v>968</v>
      </c>
      <c r="V62" s="246">
        <f t="shared" si="4"/>
        <v>0</v>
      </c>
      <c r="W62" s="247">
        <f t="shared" si="5"/>
        <v>0</v>
      </c>
      <c r="X62" s="248"/>
      <c r="Y62" s="249"/>
      <c r="Z62" s="250"/>
      <c r="AA62" s="221"/>
      <c r="AB62" s="251" t="s">
        <v>968</v>
      </c>
      <c r="AC62" s="246">
        <f t="shared" si="6"/>
        <v>0</v>
      </c>
      <c r="AD62" s="247">
        <f t="shared" si="7"/>
        <v>0</v>
      </c>
      <c r="AE62" s="254"/>
      <c r="AF62" s="273"/>
      <c r="AG62" s="250"/>
      <c r="AH62" s="221"/>
      <c r="AI62" s="251"/>
      <c r="AJ62" s="246">
        <f t="shared" si="8"/>
        <v>0</v>
      </c>
      <c r="AK62" s="247">
        <f t="shared" si="9"/>
        <v>0</v>
      </c>
      <c r="AL62" s="248"/>
      <c r="AM62" s="249"/>
      <c r="AN62" s="250"/>
      <c r="AO62" s="221"/>
      <c r="AP62" s="251" t="s">
        <v>968</v>
      </c>
      <c r="AQ62" s="246">
        <f t="shared" si="10"/>
        <v>0</v>
      </c>
      <c r="AR62" s="247">
        <f t="shared" si="11"/>
        <v>0</v>
      </c>
      <c r="AS62" s="248"/>
      <c r="AT62" s="249"/>
      <c r="AU62" s="250"/>
      <c r="AV62" s="221"/>
      <c r="AW62" s="251" t="s">
        <v>968</v>
      </c>
      <c r="AX62" s="246">
        <f t="shared" si="12"/>
        <v>0</v>
      </c>
      <c r="AY62" s="247">
        <f t="shared" si="13"/>
        <v>0</v>
      </c>
      <c r="AZ62" s="248"/>
      <c r="BA62" s="249"/>
      <c r="BB62" s="250"/>
      <c r="BC62" s="221"/>
      <c r="BD62" s="251" t="s">
        <v>968</v>
      </c>
      <c r="BE62" s="246">
        <f t="shared" si="14"/>
        <v>0</v>
      </c>
      <c r="BF62" s="247">
        <f t="shared" si="15"/>
        <v>0</v>
      </c>
      <c r="BG62" s="248"/>
      <c r="BH62" s="249"/>
      <c r="BI62" s="250"/>
      <c r="BJ62" s="221"/>
      <c r="BK62" s="251" t="s">
        <v>968</v>
      </c>
      <c r="BL62" s="246">
        <f t="shared" si="16"/>
        <v>0</v>
      </c>
      <c r="BM62" s="247">
        <f t="shared" si="17"/>
        <v>0</v>
      </c>
      <c r="BN62" s="248"/>
      <c r="BO62" s="249"/>
      <c r="BP62" s="250"/>
      <c r="BQ62" s="221"/>
      <c r="BR62" s="251" t="s">
        <v>968</v>
      </c>
      <c r="BS62" s="246">
        <f t="shared" si="18"/>
        <v>0</v>
      </c>
      <c r="BT62" s="247">
        <f t="shared" si="19"/>
        <v>0</v>
      </c>
      <c r="BU62" s="254"/>
      <c r="BV62" s="250"/>
      <c r="BW62" s="250"/>
      <c r="BX62" s="221"/>
      <c r="BY62" s="251"/>
      <c r="BZ62" s="246">
        <f t="shared" si="20"/>
        <v>0</v>
      </c>
      <c r="CA62" s="247">
        <f t="shared" si="21"/>
        <v>0</v>
      </c>
      <c r="CB62" s="248"/>
      <c r="CC62" s="249"/>
      <c r="CD62" s="250"/>
      <c r="CE62" s="221"/>
      <c r="CF62" s="251" t="s">
        <v>968</v>
      </c>
      <c r="CG62" s="246">
        <f t="shared" si="22"/>
        <v>0</v>
      </c>
      <c r="CH62" s="247">
        <f t="shared" si="23"/>
        <v>0</v>
      </c>
      <c r="CI62" s="248"/>
      <c r="CJ62" s="249"/>
      <c r="CK62" s="250"/>
      <c r="CL62" s="250"/>
      <c r="CM62" s="251" t="s">
        <v>968</v>
      </c>
      <c r="CN62" s="246">
        <f t="shared" si="24"/>
        <v>0</v>
      </c>
      <c r="CO62" s="247">
        <f t="shared" si="25"/>
        <v>0</v>
      </c>
      <c r="CP62" s="248"/>
      <c r="CQ62" s="249"/>
      <c r="CR62" s="250"/>
      <c r="CS62" s="221"/>
      <c r="CT62" s="251" t="s">
        <v>968</v>
      </c>
      <c r="CU62" s="246">
        <f t="shared" si="26"/>
        <v>0</v>
      </c>
      <c r="CV62" s="247">
        <f t="shared" si="27"/>
        <v>0</v>
      </c>
      <c r="CW62" s="254"/>
      <c r="CX62" s="250"/>
      <c r="CY62" s="250"/>
      <c r="CZ62" s="221"/>
      <c r="DA62" s="251"/>
      <c r="DB62" s="246">
        <f t="shared" si="28"/>
        <v>0</v>
      </c>
      <c r="DC62" s="247">
        <f t="shared" si="29"/>
        <v>0</v>
      </c>
      <c r="DD62" s="248"/>
      <c r="DE62" s="249"/>
      <c r="DF62" s="250"/>
      <c r="DG62" s="221"/>
      <c r="DH62" s="251" t="s">
        <v>968</v>
      </c>
      <c r="DI62" s="246">
        <f t="shared" si="30"/>
        <v>0</v>
      </c>
      <c r="DJ62" s="255">
        <f t="shared" si="31"/>
        <v>0</v>
      </c>
      <c r="DK62" s="209"/>
      <c r="DL62" s="220"/>
      <c r="DM62" s="221"/>
      <c r="DO62" s="256"/>
      <c r="DP62" s="257"/>
      <c r="DR62" s="258">
        <f t="shared" si="32"/>
        <v>0</v>
      </c>
      <c r="DS62" s="258">
        <f t="shared" si="33"/>
        <v>0</v>
      </c>
      <c r="DT62" s="258">
        <f t="shared" si="34"/>
        <v>0</v>
      </c>
      <c r="DU62" s="258">
        <f t="shared" si="35"/>
        <v>0</v>
      </c>
      <c r="DV62" s="259">
        <f t="shared" si="36"/>
        <v>0</v>
      </c>
      <c r="DW62" s="259">
        <f t="shared" si="37"/>
        <v>0</v>
      </c>
    </row>
    <row r="63" spans="1:127" s="194" customFormat="1" ht="15.75" x14ac:dyDescent="0.2">
      <c r="A63" s="239">
        <v>36</v>
      </c>
      <c r="B63" s="240" t="s">
        <v>998</v>
      </c>
      <c r="C63" s="241"/>
      <c r="D63" s="272"/>
      <c r="E63" s="272"/>
      <c r="F63" s="244"/>
      <c r="G63" s="245" t="s">
        <v>968</v>
      </c>
      <c r="H63" s="246">
        <f t="shared" si="0"/>
        <v>0</v>
      </c>
      <c r="I63" s="247">
        <f t="shared" si="1"/>
        <v>0</v>
      </c>
      <c r="J63" s="248"/>
      <c r="K63" s="250"/>
      <c r="L63" s="250"/>
      <c r="M63" s="221"/>
      <c r="N63" s="251" t="s">
        <v>968</v>
      </c>
      <c r="O63" s="246">
        <f t="shared" si="2"/>
        <v>0</v>
      </c>
      <c r="P63" s="247">
        <f t="shared" si="3"/>
        <v>0</v>
      </c>
      <c r="Q63" s="248"/>
      <c r="R63" s="250"/>
      <c r="S63" s="250"/>
      <c r="T63" s="221"/>
      <c r="U63" s="251" t="s">
        <v>968</v>
      </c>
      <c r="V63" s="246">
        <f t="shared" si="4"/>
        <v>0</v>
      </c>
      <c r="W63" s="247">
        <f t="shared" si="5"/>
        <v>0</v>
      </c>
      <c r="X63" s="248"/>
      <c r="Y63" s="250"/>
      <c r="Z63" s="250"/>
      <c r="AA63" s="221"/>
      <c r="AB63" s="251" t="s">
        <v>968</v>
      </c>
      <c r="AC63" s="246">
        <f t="shared" si="6"/>
        <v>0</v>
      </c>
      <c r="AD63" s="247">
        <f t="shared" si="7"/>
        <v>0</v>
      </c>
      <c r="AE63" s="254"/>
      <c r="AF63" s="273"/>
      <c r="AG63" s="250"/>
      <c r="AH63" s="221"/>
      <c r="AI63" s="251"/>
      <c r="AJ63" s="246">
        <f t="shared" si="8"/>
        <v>0</v>
      </c>
      <c r="AK63" s="247">
        <f t="shared" si="9"/>
        <v>0</v>
      </c>
      <c r="AL63" s="248"/>
      <c r="AM63" s="250"/>
      <c r="AN63" s="250"/>
      <c r="AO63" s="221"/>
      <c r="AP63" s="251" t="s">
        <v>968</v>
      </c>
      <c r="AQ63" s="246">
        <f t="shared" si="10"/>
        <v>0</v>
      </c>
      <c r="AR63" s="247">
        <f t="shared" si="11"/>
        <v>0</v>
      </c>
      <c r="AS63" s="248"/>
      <c r="AT63" s="250"/>
      <c r="AU63" s="250"/>
      <c r="AV63" s="221"/>
      <c r="AW63" s="251" t="s">
        <v>968</v>
      </c>
      <c r="AX63" s="246">
        <f t="shared" si="12"/>
        <v>0</v>
      </c>
      <c r="AY63" s="247">
        <f t="shared" si="13"/>
        <v>0</v>
      </c>
      <c r="AZ63" s="248"/>
      <c r="BA63" s="250"/>
      <c r="BB63" s="250"/>
      <c r="BC63" s="221"/>
      <c r="BD63" s="251" t="s">
        <v>968</v>
      </c>
      <c r="BE63" s="246">
        <f t="shared" si="14"/>
        <v>0</v>
      </c>
      <c r="BF63" s="247">
        <f t="shared" si="15"/>
        <v>0</v>
      </c>
      <c r="BG63" s="248"/>
      <c r="BH63" s="250"/>
      <c r="BI63" s="250"/>
      <c r="BJ63" s="221"/>
      <c r="BK63" s="251" t="s">
        <v>968</v>
      </c>
      <c r="BL63" s="246">
        <f t="shared" si="16"/>
        <v>0</v>
      </c>
      <c r="BM63" s="247">
        <f t="shared" si="17"/>
        <v>0</v>
      </c>
      <c r="BN63" s="248"/>
      <c r="BO63" s="250"/>
      <c r="BP63" s="250"/>
      <c r="BQ63" s="221"/>
      <c r="BR63" s="251" t="s">
        <v>968</v>
      </c>
      <c r="BS63" s="246">
        <f t="shared" si="18"/>
        <v>0</v>
      </c>
      <c r="BT63" s="247">
        <f t="shared" si="19"/>
        <v>0</v>
      </c>
      <c r="BU63" s="254"/>
      <c r="BV63" s="250"/>
      <c r="BW63" s="250"/>
      <c r="BX63" s="221"/>
      <c r="BY63" s="251"/>
      <c r="BZ63" s="246">
        <f t="shared" si="20"/>
        <v>0</v>
      </c>
      <c r="CA63" s="247">
        <f t="shared" si="21"/>
        <v>0</v>
      </c>
      <c r="CB63" s="248"/>
      <c r="CC63" s="249"/>
      <c r="CD63" s="250"/>
      <c r="CE63" s="221"/>
      <c r="CF63" s="251" t="s">
        <v>968</v>
      </c>
      <c r="CG63" s="246">
        <f t="shared" si="22"/>
        <v>0</v>
      </c>
      <c r="CH63" s="247">
        <f t="shared" si="23"/>
        <v>0</v>
      </c>
      <c r="CI63" s="248"/>
      <c r="CJ63" s="250"/>
      <c r="CK63" s="250"/>
      <c r="CL63" s="250"/>
      <c r="CM63" s="251" t="s">
        <v>968</v>
      </c>
      <c r="CN63" s="246">
        <f t="shared" si="24"/>
        <v>0</v>
      </c>
      <c r="CO63" s="247">
        <f t="shared" si="25"/>
        <v>0</v>
      </c>
      <c r="CP63" s="248"/>
      <c r="CQ63" s="250"/>
      <c r="CR63" s="250"/>
      <c r="CS63" s="221"/>
      <c r="CT63" s="251" t="s">
        <v>968</v>
      </c>
      <c r="CU63" s="246">
        <f t="shared" si="26"/>
        <v>0</v>
      </c>
      <c r="CV63" s="247">
        <f t="shared" si="27"/>
        <v>0</v>
      </c>
      <c r="CW63" s="254"/>
      <c r="CX63" s="250"/>
      <c r="CY63" s="250"/>
      <c r="CZ63" s="221"/>
      <c r="DA63" s="251"/>
      <c r="DB63" s="246">
        <f t="shared" si="28"/>
        <v>0</v>
      </c>
      <c r="DC63" s="247">
        <f t="shared" si="29"/>
        <v>0</v>
      </c>
      <c r="DD63" s="248"/>
      <c r="DE63" s="250"/>
      <c r="DF63" s="250"/>
      <c r="DG63" s="221"/>
      <c r="DH63" s="251" t="s">
        <v>968</v>
      </c>
      <c r="DI63" s="246">
        <f t="shared" si="30"/>
        <v>0</v>
      </c>
      <c r="DJ63" s="255">
        <f t="shared" si="31"/>
        <v>0</v>
      </c>
      <c r="DK63" s="209"/>
      <c r="DL63" s="220"/>
      <c r="DM63" s="221"/>
      <c r="DO63" s="256"/>
      <c r="DP63" s="257"/>
      <c r="DR63" s="258">
        <f t="shared" si="32"/>
        <v>0</v>
      </c>
      <c r="DS63" s="258">
        <f t="shared" si="33"/>
        <v>0</v>
      </c>
      <c r="DT63" s="258">
        <f t="shared" si="34"/>
        <v>0</v>
      </c>
      <c r="DU63" s="258">
        <f t="shared" si="35"/>
        <v>0</v>
      </c>
      <c r="DV63" s="259">
        <f t="shared" si="36"/>
        <v>0</v>
      </c>
      <c r="DW63" s="259">
        <f t="shared" si="37"/>
        <v>0</v>
      </c>
    </row>
    <row r="64" spans="1:127" s="194" customFormat="1" ht="15.75" x14ac:dyDescent="0.2">
      <c r="A64" s="239">
        <v>37</v>
      </c>
      <c r="B64" s="240" t="s">
        <v>999</v>
      </c>
      <c r="C64" s="241"/>
      <c r="D64" s="242"/>
      <c r="E64" s="272"/>
      <c r="F64" s="244"/>
      <c r="G64" s="245" t="s">
        <v>968</v>
      </c>
      <c r="H64" s="246">
        <f t="shared" si="0"/>
        <v>0</v>
      </c>
      <c r="I64" s="247">
        <f t="shared" si="1"/>
        <v>0</v>
      </c>
      <c r="J64" s="248"/>
      <c r="K64" s="249"/>
      <c r="L64" s="250"/>
      <c r="M64" s="221"/>
      <c r="N64" s="251" t="s">
        <v>968</v>
      </c>
      <c r="O64" s="246">
        <f t="shared" si="2"/>
        <v>0</v>
      </c>
      <c r="P64" s="247">
        <f t="shared" si="3"/>
        <v>0</v>
      </c>
      <c r="Q64" s="248"/>
      <c r="R64" s="249"/>
      <c r="S64" s="250"/>
      <c r="T64" s="221"/>
      <c r="U64" s="251" t="s">
        <v>968</v>
      </c>
      <c r="V64" s="246">
        <f t="shared" si="4"/>
        <v>0</v>
      </c>
      <c r="W64" s="247">
        <f t="shared" si="5"/>
        <v>0</v>
      </c>
      <c r="X64" s="248"/>
      <c r="Y64" s="250"/>
      <c r="Z64" s="250"/>
      <c r="AA64" s="221"/>
      <c r="AB64" s="251" t="s">
        <v>968</v>
      </c>
      <c r="AC64" s="246">
        <f t="shared" si="6"/>
        <v>0</v>
      </c>
      <c r="AD64" s="247">
        <f t="shared" si="7"/>
        <v>0</v>
      </c>
      <c r="AE64" s="254"/>
      <c r="AF64" s="273"/>
      <c r="AG64" s="250"/>
      <c r="AH64" s="221"/>
      <c r="AI64" s="251"/>
      <c r="AJ64" s="246">
        <f t="shared" si="8"/>
        <v>0</v>
      </c>
      <c r="AK64" s="247">
        <f t="shared" si="9"/>
        <v>0</v>
      </c>
      <c r="AL64" s="254"/>
      <c r="AM64" s="250"/>
      <c r="AN64" s="250"/>
      <c r="AO64" s="221"/>
      <c r="AP64" s="251"/>
      <c r="AQ64" s="246">
        <f t="shared" si="10"/>
        <v>0</v>
      </c>
      <c r="AR64" s="247">
        <f t="shared" si="11"/>
        <v>0</v>
      </c>
      <c r="AS64" s="248"/>
      <c r="AT64" s="250"/>
      <c r="AU64" s="250"/>
      <c r="AV64" s="221"/>
      <c r="AW64" s="251" t="s">
        <v>968</v>
      </c>
      <c r="AX64" s="246">
        <f t="shared" si="12"/>
        <v>0</v>
      </c>
      <c r="AY64" s="247">
        <f t="shared" si="13"/>
        <v>0</v>
      </c>
      <c r="AZ64" s="248"/>
      <c r="BA64" s="252"/>
      <c r="BB64" s="250"/>
      <c r="BC64" s="221"/>
      <c r="BD64" s="251" t="s">
        <v>968</v>
      </c>
      <c r="BE64" s="246">
        <f t="shared" si="14"/>
        <v>0</v>
      </c>
      <c r="BF64" s="247">
        <f t="shared" si="15"/>
        <v>0</v>
      </c>
      <c r="BG64" s="248"/>
      <c r="BH64" s="252"/>
      <c r="BI64" s="250"/>
      <c r="BJ64" s="221"/>
      <c r="BK64" s="251" t="s">
        <v>968</v>
      </c>
      <c r="BL64" s="246">
        <f t="shared" si="16"/>
        <v>0</v>
      </c>
      <c r="BM64" s="247">
        <f t="shared" si="17"/>
        <v>0</v>
      </c>
      <c r="BN64" s="248"/>
      <c r="BO64" s="252"/>
      <c r="BP64" s="250"/>
      <c r="BQ64" s="221"/>
      <c r="BR64" s="251" t="s">
        <v>968</v>
      </c>
      <c r="BS64" s="246">
        <f t="shared" si="18"/>
        <v>0</v>
      </c>
      <c r="BT64" s="247">
        <f t="shared" si="19"/>
        <v>0</v>
      </c>
      <c r="BU64" s="254"/>
      <c r="BV64" s="250"/>
      <c r="BW64" s="250"/>
      <c r="BX64" s="221"/>
      <c r="BY64" s="251"/>
      <c r="BZ64" s="246">
        <f t="shared" si="20"/>
        <v>0</v>
      </c>
      <c r="CA64" s="247">
        <f t="shared" si="21"/>
        <v>0</v>
      </c>
      <c r="CB64" s="248"/>
      <c r="CC64" s="250"/>
      <c r="CD64" s="253"/>
      <c r="CE64" s="221"/>
      <c r="CF64" s="251" t="s">
        <v>968</v>
      </c>
      <c r="CG64" s="246">
        <f t="shared" si="22"/>
        <v>0</v>
      </c>
      <c r="CH64" s="247">
        <f t="shared" si="23"/>
        <v>0</v>
      </c>
      <c r="CI64" s="248"/>
      <c r="CJ64" s="252"/>
      <c r="CK64" s="250"/>
      <c r="CL64" s="250"/>
      <c r="CM64" s="251" t="s">
        <v>968</v>
      </c>
      <c r="CN64" s="246">
        <f t="shared" si="24"/>
        <v>0</v>
      </c>
      <c r="CO64" s="247">
        <f t="shared" si="25"/>
        <v>0</v>
      </c>
      <c r="CP64" s="248"/>
      <c r="CQ64" s="252"/>
      <c r="CR64" s="250"/>
      <c r="CS64" s="221"/>
      <c r="CT64" s="251" t="s">
        <v>968</v>
      </c>
      <c r="CU64" s="246">
        <f t="shared" si="26"/>
        <v>0</v>
      </c>
      <c r="CV64" s="247">
        <f t="shared" si="27"/>
        <v>0</v>
      </c>
      <c r="CW64" s="254"/>
      <c r="CX64" s="250"/>
      <c r="CY64" s="250"/>
      <c r="CZ64" s="221"/>
      <c r="DA64" s="251"/>
      <c r="DB64" s="246">
        <f t="shared" si="28"/>
        <v>0</v>
      </c>
      <c r="DC64" s="247">
        <f t="shared" si="29"/>
        <v>0</v>
      </c>
      <c r="DD64" s="248"/>
      <c r="DE64" s="252"/>
      <c r="DF64" s="250"/>
      <c r="DG64" s="221"/>
      <c r="DH64" s="251" t="s">
        <v>968</v>
      </c>
      <c r="DI64" s="246">
        <f t="shared" si="30"/>
        <v>0</v>
      </c>
      <c r="DJ64" s="255">
        <f t="shared" si="31"/>
        <v>0</v>
      </c>
      <c r="DK64" s="209"/>
      <c r="DL64" s="220"/>
      <c r="DM64" s="221"/>
      <c r="DO64" s="256"/>
      <c r="DP64" s="257"/>
      <c r="DR64" s="258">
        <f t="shared" si="32"/>
        <v>0</v>
      </c>
      <c r="DS64" s="258">
        <f t="shared" si="33"/>
        <v>0</v>
      </c>
      <c r="DT64" s="258">
        <f t="shared" si="34"/>
        <v>0</v>
      </c>
      <c r="DU64" s="258">
        <f t="shared" si="35"/>
        <v>0</v>
      </c>
      <c r="DV64" s="259">
        <f t="shared" si="36"/>
        <v>0</v>
      </c>
      <c r="DW64" s="259">
        <f t="shared" si="37"/>
        <v>0</v>
      </c>
    </row>
    <row r="65" spans="1:127" s="194" customFormat="1" ht="25.5" x14ac:dyDescent="0.2">
      <c r="A65" s="239">
        <v>38</v>
      </c>
      <c r="B65" s="240" t="s">
        <v>1000</v>
      </c>
      <c r="C65" s="260"/>
      <c r="D65" s="242"/>
      <c r="E65" s="272"/>
      <c r="F65" s="244"/>
      <c r="G65" s="245" t="s">
        <v>968</v>
      </c>
      <c r="H65" s="246">
        <f t="shared" si="0"/>
        <v>0</v>
      </c>
      <c r="I65" s="247">
        <f t="shared" si="1"/>
        <v>0</v>
      </c>
      <c r="J65" s="254"/>
      <c r="K65" s="265"/>
      <c r="L65" s="265"/>
      <c r="M65" s="269"/>
      <c r="N65" s="251"/>
      <c r="O65" s="246">
        <f t="shared" si="2"/>
        <v>0</v>
      </c>
      <c r="P65" s="247">
        <f t="shared" si="3"/>
        <v>0</v>
      </c>
      <c r="Q65" s="254"/>
      <c r="R65" s="265"/>
      <c r="S65" s="265"/>
      <c r="T65" s="269"/>
      <c r="U65" s="251"/>
      <c r="V65" s="246">
        <f t="shared" si="4"/>
        <v>0</v>
      </c>
      <c r="W65" s="247">
        <f t="shared" si="5"/>
        <v>0</v>
      </c>
      <c r="X65" s="254"/>
      <c r="Y65" s="265"/>
      <c r="Z65" s="265"/>
      <c r="AA65" s="269"/>
      <c r="AB65" s="251"/>
      <c r="AC65" s="246">
        <f t="shared" si="6"/>
        <v>0</v>
      </c>
      <c r="AD65" s="247">
        <f t="shared" si="7"/>
        <v>0</v>
      </c>
      <c r="AE65" s="254"/>
      <c r="AF65" s="267"/>
      <c r="AG65" s="265"/>
      <c r="AH65" s="269"/>
      <c r="AI65" s="251"/>
      <c r="AJ65" s="246">
        <f t="shared" si="8"/>
        <v>0</v>
      </c>
      <c r="AK65" s="247">
        <f t="shared" si="9"/>
        <v>0</v>
      </c>
      <c r="AL65" s="254"/>
      <c r="AM65" s="265"/>
      <c r="AN65" s="265"/>
      <c r="AO65" s="269"/>
      <c r="AP65" s="251"/>
      <c r="AQ65" s="246">
        <f t="shared" si="10"/>
        <v>0</v>
      </c>
      <c r="AR65" s="247">
        <f t="shared" si="11"/>
        <v>0</v>
      </c>
      <c r="AS65" s="254"/>
      <c r="AT65" s="265"/>
      <c r="AU65" s="265"/>
      <c r="AV65" s="269"/>
      <c r="AW65" s="251"/>
      <c r="AX65" s="246">
        <f t="shared" si="12"/>
        <v>0</v>
      </c>
      <c r="AY65" s="247">
        <f t="shared" si="13"/>
        <v>0</v>
      </c>
      <c r="AZ65" s="254"/>
      <c r="BA65" s="265"/>
      <c r="BB65" s="265"/>
      <c r="BC65" s="269"/>
      <c r="BD65" s="251"/>
      <c r="BE65" s="246">
        <f t="shared" si="14"/>
        <v>0</v>
      </c>
      <c r="BF65" s="247">
        <f t="shared" si="15"/>
        <v>0</v>
      </c>
      <c r="BG65" s="264"/>
      <c r="BH65" s="252"/>
      <c r="BI65" s="250"/>
      <c r="BJ65" s="221"/>
      <c r="BK65" s="251" t="s">
        <v>968</v>
      </c>
      <c r="BL65" s="246">
        <f t="shared" si="16"/>
        <v>0</v>
      </c>
      <c r="BM65" s="247">
        <f t="shared" si="17"/>
        <v>0</v>
      </c>
      <c r="BN65" s="264"/>
      <c r="BO65" s="252"/>
      <c r="BP65" s="250"/>
      <c r="BQ65" s="221"/>
      <c r="BR65" s="251" t="s">
        <v>968</v>
      </c>
      <c r="BS65" s="246">
        <f t="shared" si="18"/>
        <v>0</v>
      </c>
      <c r="BT65" s="247">
        <f t="shared" si="19"/>
        <v>0</v>
      </c>
      <c r="BU65" s="254"/>
      <c r="BV65" s="265"/>
      <c r="BW65" s="265"/>
      <c r="BX65" s="269"/>
      <c r="BY65" s="251"/>
      <c r="BZ65" s="246">
        <f t="shared" si="20"/>
        <v>0</v>
      </c>
      <c r="CA65" s="247">
        <f t="shared" si="21"/>
        <v>0</v>
      </c>
      <c r="CB65" s="254"/>
      <c r="CC65" s="265"/>
      <c r="CD65" s="265"/>
      <c r="CE65" s="269"/>
      <c r="CF65" s="251"/>
      <c r="CG65" s="246">
        <f t="shared" si="22"/>
        <v>0</v>
      </c>
      <c r="CH65" s="247">
        <f t="shared" si="23"/>
        <v>0</v>
      </c>
      <c r="CI65" s="264"/>
      <c r="CJ65" s="252"/>
      <c r="CK65" s="250"/>
      <c r="CL65" s="281"/>
      <c r="CM65" s="251" t="s">
        <v>968</v>
      </c>
      <c r="CN65" s="246">
        <f t="shared" si="24"/>
        <v>0</v>
      </c>
      <c r="CO65" s="247">
        <f t="shared" si="25"/>
        <v>0</v>
      </c>
      <c r="CP65" s="264"/>
      <c r="CQ65" s="252"/>
      <c r="CR65" s="250"/>
      <c r="CS65" s="221"/>
      <c r="CT65" s="251" t="s">
        <v>968</v>
      </c>
      <c r="CU65" s="246">
        <f t="shared" si="26"/>
        <v>0</v>
      </c>
      <c r="CV65" s="247">
        <f t="shared" si="27"/>
        <v>0</v>
      </c>
      <c r="CW65" s="254"/>
      <c r="CX65" s="265"/>
      <c r="CY65" s="265"/>
      <c r="CZ65" s="269"/>
      <c r="DA65" s="251"/>
      <c r="DB65" s="246">
        <f t="shared" si="28"/>
        <v>0</v>
      </c>
      <c r="DC65" s="247">
        <f t="shared" si="29"/>
        <v>0</v>
      </c>
      <c r="DD65" s="254"/>
      <c r="DE65" s="265"/>
      <c r="DF65" s="265"/>
      <c r="DG65" s="269"/>
      <c r="DH65" s="251"/>
      <c r="DI65" s="246">
        <f t="shared" si="30"/>
        <v>0</v>
      </c>
      <c r="DJ65" s="255">
        <f t="shared" si="31"/>
        <v>0</v>
      </c>
      <c r="DK65" s="209"/>
      <c r="DL65" s="220"/>
      <c r="DM65" s="221"/>
      <c r="DO65" s="256"/>
      <c r="DP65" s="257"/>
      <c r="DR65" s="258">
        <f t="shared" si="32"/>
        <v>0</v>
      </c>
      <c r="DS65" s="258">
        <f t="shared" si="33"/>
        <v>0</v>
      </c>
      <c r="DT65" s="258">
        <f t="shared" si="34"/>
        <v>0</v>
      </c>
      <c r="DU65" s="258">
        <f t="shared" si="35"/>
        <v>0</v>
      </c>
      <c r="DV65" s="259">
        <f t="shared" si="36"/>
        <v>0</v>
      </c>
      <c r="DW65" s="259">
        <f t="shared" si="37"/>
        <v>0</v>
      </c>
    </row>
    <row r="66" spans="1:127" s="194" customFormat="1" ht="15.75" x14ac:dyDescent="0.2">
      <c r="A66" s="239">
        <v>39</v>
      </c>
      <c r="B66" s="240" t="s">
        <v>1001</v>
      </c>
      <c r="C66" s="241"/>
      <c r="D66" s="242"/>
      <c r="E66" s="272"/>
      <c r="F66" s="244"/>
      <c r="G66" s="245" t="s">
        <v>968</v>
      </c>
      <c r="H66" s="246">
        <f t="shared" si="0"/>
        <v>0</v>
      </c>
      <c r="I66" s="247">
        <f t="shared" si="1"/>
        <v>0</v>
      </c>
      <c r="J66" s="248"/>
      <c r="K66" s="249"/>
      <c r="L66" s="250"/>
      <c r="M66" s="221"/>
      <c r="N66" s="251" t="s">
        <v>968</v>
      </c>
      <c r="O66" s="246">
        <f t="shared" si="2"/>
        <v>0</v>
      </c>
      <c r="P66" s="247">
        <f t="shared" si="3"/>
        <v>0</v>
      </c>
      <c r="Q66" s="248"/>
      <c r="R66" s="249"/>
      <c r="S66" s="250"/>
      <c r="T66" s="221"/>
      <c r="U66" s="251" t="s">
        <v>968</v>
      </c>
      <c r="V66" s="246">
        <f t="shared" si="4"/>
        <v>0</v>
      </c>
      <c r="W66" s="247">
        <f t="shared" si="5"/>
        <v>0</v>
      </c>
      <c r="X66" s="248"/>
      <c r="Y66" s="252"/>
      <c r="Z66" s="250"/>
      <c r="AA66" s="221"/>
      <c r="AB66" s="251" t="s">
        <v>968</v>
      </c>
      <c r="AC66" s="246">
        <f t="shared" si="6"/>
        <v>0</v>
      </c>
      <c r="AD66" s="247">
        <f t="shared" si="7"/>
        <v>0</v>
      </c>
      <c r="AE66" s="248"/>
      <c r="AF66" s="252"/>
      <c r="AG66" s="250"/>
      <c r="AH66" s="221"/>
      <c r="AI66" s="251" t="s">
        <v>968</v>
      </c>
      <c r="AJ66" s="246">
        <f t="shared" si="8"/>
        <v>0</v>
      </c>
      <c r="AK66" s="247">
        <f t="shared" si="9"/>
        <v>0</v>
      </c>
      <c r="AL66" s="248"/>
      <c r="AM66" s="250"/>
      <c r="AN66" s="250"/>
      <c r="AO66" s="221"/>
      <c r="AP66" s="251" t="s">
        <v>968</v>
      </c>
      <c r="AQ66" s="246">
        <f t="shared" si="10"/>
        <v>0</v>
      </c>
      <c r="AR66" s="247">
        <f t="shared" si="11"/>
        <v>0</v>
      </c>
      <c r="AS66" s="248"/>
      <c r="AT66" s="252"/>
      <c r="AU66" s="250"/>
      <c r="AV66" s="221"/>
      <c r="AW66" s="251" t="s">
        <v>968</v>
      </c>
      <c r="AX66" s="246">
        <f t="shared" si="12"/>
        <v>0</v>
      </c>
      <c r="AY66" s="247">
        <f t="shared" si="13"/>
        <v>0</v>
      </c>
      <c r="AZ66" s="248"/>
      <c r="BA66" s="252"/>
      <c r="BB66" s="250"/>
      <c r="BC66" s="221"/>
      <c r="BD66" s="251" t="s">
        <v>968</v>
      </c>
      <c r="BE66" s="246">
        <f t="shared" si="14"/>
        <v>0</v>
      </c>
      <c r="BF66" s="247">
        <f t="shared" si="15"/>
        <v>0</v>
      </c>
      <c r="BG66" s="248"/>
      <c r="BH66" s="252"/>
      <c r="BI66" s="250"/>
      <c r="BJ66" s="221"/>
      <c r="BK66" s="251" t="s">
        <v>968</v>
      </c>
      <c r="BL66" s="246">
        <f t="shared" si="16"/>
        <v>0</v>
      </c>
      <c r="BM66" s="247">
        <f t="shared" si="17"/>
        <v>0</v>
      </c>
      <c r="BN66" s="248"/>
      <c r="BO66" s="252"/>
      <c r="BP66" s="250"/>
      <c r="BQ66" s="221"/>
      <c r="BR66" s="251" t="s">
        <v>968</v>
      </c>
      <c r="BS66" s="246">
        <f t="shared" si="18"/>
        <v>0</v>
      </c>
      <c r="BT66" s="247">
        <f t="shared" si="19"/>
        <v>0</v>
      </c>
      <c r="BU66" s="248"/>
      <c r="BV66" s="252"/>
      <c r="BW66" s="250"/>
      <c r="BX66" s="221"/>
      <c r="BY66" s="251" t="s">
        <v>968</v>
      </c>
      <c r="BZ66" s="246">
        <f t="shared" si="20"/>
        <v>0</v>
      </c>
      <c r="CA66" s="247">
        <f t="shared" si="21"/>
        <v>0</v>
      </c>
      <c r="CB66" s="248"/>
      <c r="CC66" s="249"/>
      <c r="CD66" s="250"/>
      <c r="CE66" s="221"/>
      <c r="CF66" s="251" t="s">
        <v>968</v>
      </c>
      <c r="CG66" s="246">
        <f t="shared" si="22"/>
        <v>0</v>
      </c>
      <c r="CH66" s="247">
        <f t="shared" si="23"/>
        <v>0</v>
      </c>
      <c r="CI66" s="248"/>
      <c r="CJ66" s="252"/>
      <c r="CK66" s="250"/>
      <c r="CL66" s="250"/>
      <c r="CM66" s="251" t="s">
        <v>968</v>
      </c>
      <c r="CN66" s="246">
        <f t="shared" si="24"/>
        <v>0</v>
      </c>
      <c r="CO66" s="247">
        <f t="shared" si="25"/>
        <v>0</v>
      </c>
      <c r="CP66" s="248"/>
      <c r="CQ66" s="252"/>
      <c r="CR66" s="250"/>
      <c r="CS66" s="221"/>
      <c r="CT66" s="251" t="s">
        <v>968</v>
      </c>
      <c r="CU66" s="246">
        <f t="shared" si="26"/>
        <v>0</v>
      </c>
      <c r="CV66" s="247">
        <f t="shared" si="27"/>
        <v>0</v>
      </c>
      <c r="CW66" s="248"/>
      <c r="CX66" s="252"/>
      <c r="CY66" s="250"/>
      <c r="CZ66" s="221"/>
      <c r="DA66" s="251" t="s">
        <v>968</v>
      </c>
      <c r="DB66" s="246">
        <f t="shared" si="28"/>
        <v>0</v>
      </c>
      <c r="DC66" s="247">
        <f t="shared" si="29"/>
        <v>0</v>
      </c>
      <c r="DD66" s="248"/>
      <c r="DE66" s="252"/>
      <c r="DF66" s="250"/>
      <c r="DG66" s="221"/>
      <c r="DH66" s="251" t="s">
        <v>968</v>
      </c>
      <c r="DI66" s="246">
        <f t="shared" si="30"/>
        <v>0</v>
      </c>
      <c r="DJ66" s="255">
        <f t="shared" si="31"/>
        <v>0</v>
      </c>
      <c r="DK66" s="209"/>
      <c r="DL66" s="220"/>
      <c r="DM66" s="221"/>
      <c r="DO66" s="256"/>
      <c r="DP66" s="257"/>
      <c r="DR66" s="258">
        <f t="shared" si="32"/>
        <v>0</v>
      </c>
      <c r="DS66" s="258">
        <f t="shared" si="33"/>
        <v>0</v>
      </c>
      <c r="DT66" s="258">
        <f t="shared" si="34"/>
        <v>0</v>
      </c>
      <c r="DU66" s="258">
        <f t="shared" si="35"/>
        <v>0</v>
      </c>
      <c r="DV66" s="259">
        <f t="shared" si="36"/>
        <v>0</v>
      </c>
      <c r="DW66" s="259">
        <f t="shared" si="37"/>
        <v>0</v>
      </c>
    </row>
    <row r="67" spans="1:127" s="194" customFormat="1" ht="15.75" x14ac:dyDescent="0.2">
      <c r="A67" s="239">
        <v>40</v>
      </c>
      <c r="B67" s="240" t="s">
        <v>1002</v>
      </c>
      <c r="C67" s="241"/>
      <c r="D67" s="271"/>
      <c r="E67" s="272"/>
      <c r="F67" s="263"/>
      <c r="G67" s="245" t="s">
        <v>968</v>
      </c>
      <c r="H67" s="246">
        <f t="shared" si="0"/>
        <v>0</v>
      </c>
      <c r="I67" s="247">
        <f t="shared" si="1"/>
        <v>0</v>
      </c>
      <c r="J67" s="248"/>
      <c r="K67" s="250"/>
      <c r="L67" s="250"/>
      <c r="M67" s="266"/>
      <c r="N67" s="251" t="s">
        <v>968</v>
      </c>
      <c r="O67" s="246">
        <f t="shared" si="2"/>
        <v>0</v>
      </c>
      <c r="P67" s="247">
        <f t="shared" si="3"/>
        <v>0</v>
      </c>
      <c r="Q67" s="248"/>
      <c r="R67" s="250"/>
      <c r="S67" s="250"/>
      <c r="T67" s="266"/>
      <c r="U67" s="251" t="s">
        <v>968</v>
      </c>
      <c r="V67" s="246">
        <f t="shared" si="4"/>
        <v>0</v>
      </c>
      <c r="W67" s="247">
        <f t="shared" si="5"/>
        <v>0</v>
      </c>
      <c r="X67" s="248"/>
      <c r="Y67" s="273"/>
      <c r="Z67" s="250"/>
      <c r="AA67" s="266"/>
      <c r="AB67" s="251" t="s">
        <v>968</v>
      </c>
      <c r="AC67" s="246">
        <f t="shared" si="6"/>
        <v>0</v>
      </c>
      <c r="AD67" s="247">
        <f t="shared" si="7"/>
        <v>0</v>
      </c>
      <c r="AE67" s="248"/>
      <c r="AF67" s="273"/>
      <c r="AG67" s="250"/>
      <c r="AH67" s="266"/>
      <c r="AI67" s="251" t="s">
        <v>968</v>
      </c>
      <c r="AJ67" s="246">
        <f t="shared" si="8"/>
        <v>0</v>
      </c>
      <c r="AK67" s="247">
        <f t="shared" si="9"/>
        <v>0</v>
      </c>
      <c r="AL67" s="248"/>
      <c r="AM67" s="273"/>
      <c r="AN67" s="250"/>
      <c r="AO67" s="266"/>
      <c r="AP67" s="251" t="s">
        <v>968</v>
      </c>
      <c r="AQ67" s="246">
        <f t="shared" si="10"/>
        <v>0</v>
      </c>
      <c r="AR67" s="247">
        <f t="shared" si="11"/>
        <v>0</v>
      </c>
      <c r="AS67" s="248"/>
      <c r="AT67" s="273"/>
      <c r="AU67" s="250"/>
      <c r="AV67" s="266"/>
      <c r="AW67" s="251" t="s">
        <v>968</v>
      </c>
      <c r="AX67" s="246">
        <f t="shared" si="12"/>
        <v>0</v>
      </c>
      <c r="AY67" s="247">
        <f t="shared" si="13"/>
        <v>0</v>
      </c>
      <c r="AZ67" s="248"/>
      <c r="BA67" s="273"/>
      <c r="BB67" s="250"/>
      <c r="BC67" s="266"/>
      <c r="BD67" s="251" t="s">
        <v>968</v>
      </c>
      <c r="BE67" s="246">
        <f t="shared" si="14"/>
        <v>0</v>
      </c>
      <c r="BF67" s="247">
        <f t="shared" si="15"/>
        <v>0</v>
      </c>
      <c r="BG67" s="248"/>
      <c r="BH67" s="273"/>
      <c r="BI67" s="250"/>
      <c r="BJ67" s="266"/>
      <c r="BK67" s="251" t="s">
        <v>968</v>
      </c>
      <c r="BL67" s="246">
        <f t="shared" si="16"/>
        <v>0</v>
      </c>
      <c r="BM67" s="247">
        <f t="shared" si="17"/>
        <v>0</v>
      </c>
      <c r="BN67" s="248"/>
      <c r="BO67" s="273"/>
      <c r="BP67" s="250"/>
      <c r="BQ67" s="266"/>
      <c r="BR67" s="251" t="s">
        <v>968</v>
      </c>
      <c r="BS67" s="246">
        <f t="shared" si="18"/>
        <v>0</v>
      </c>
      <c r="BT67" s="247">
        <f t="shared" si="19"/>
        <v>0</v>
      </c>
      <c r="BU67" s="248"/>
      <c r="BV67" s="273"/>
      <c r="BW67" s="250"/>
      <c r="BX67" s="266"/>
      <c r="BY67" s="251" t="s">
        <v>968</v>
      </c>
      <c r="BZ67" s="246">
        <f t="shared" si="20"/>
        <v>0</v>
      </c>
      <c r="CA67" s="247">
        <f t="shared" si="21"/>
        <v>0</v>
      </c>
      <c r="CB67" s="254"/>
      <c r="CC67" s="250"/>
      <c r="CD67" s="250"/>
      <c r="CE67" s="221"/>
      <c r="CF67" s="251"/>
      <c r="CG67" s="246">
        <f t="shared" si="22"/>
        <v>0</v>
      </c>
      <c r="CH67" s="247">
        <f t="shared" si="23"/>
        <v>0</v>
      </c>
      <c r="CI67" s="248"/>
      <c r="CJ67" s="273"/>
      <c r="CK67" s="250"/>
      <c r="CL67" s="274"/>
      <c r="CM67" s="251" t="s">
        <v>968</v>
      </c>
      <c r="CN67" s="246">
        <f t="shared" si="24"/>
        <v>0</v>
      </c>
      <c r="CO67" s="247">
        <f t="shared" si="25"/>
        <v>0</v>
      </c>
      <c r="CP67" s="248"/>
      <c r="CQ67" s="273"/>
      <c r="CR67" s="250"/>
      <c r="CS67" s="266"/>
      <c r="CT67" s="251" t="s">
        <v>968</v>
      </c>
      <c r="CU67" s="246">
        <f t="shared" si="26"/>
        <v>0</v>
      </c>
      <c r="CV67" s="247">
        <f t="shared" si="27"/>
        <v>0</v>
      </c>
      <c r="CW67" s="248"/>
      <c r="CX67" s="252"/>
      <c r="CY67" s="275"/>
      <c r="CZ67" s="221"/>
      <c r="DA67" s="251" t="s">
        <v>968</v>
      </c>
      <c r="DB67" s="246">
        <f t="shared" si="28"/>
        <v>0</v>
      </c>
      <c r="DC67" s="247">
        <f t="shared" si="29"/>
        <v>0</v>
      </c>
      <c r="DD67" s="248"/>
      <c r="DE67" s="273"/>
      <c r="DF67" s="250"/>
      <c r="DG67" s="266"/>
      <c r="DH67" s="251" t="s">
        <v>968</v>
      </c>
      <c r="DI67" s="246">
        <f t="shared" si="30"/>
        <v>0</v>
      </c>
      <c r="DJ67" s="255">
        <f t="shared" si="31"/>
        <v>0</v>
      </c>
      <c r="DK67" s="209"/>
      <c r="DL67" s="220"/>
      <c r="DM67" s="221"/>
      <c r="DO67" s="256"/>
      <c r="DP67" s="257"/>
      <c r="DR67" s="258">
        <f t="shared" si="32"/>
        <v>0</v>
      </c>
      <c r="DS67" s="258">
        <f t="shared" si="33"/>
        <v>0</v>
      </c>
      <c r="DT67" s="258">
        <f t="shared" si="34"/>
        <v>0</v>
      </c>
      <c r="DU67" s="258">
        <f t="shared" si="35"/>
        <v>0</v>
      </c>
      <c r="DV67" s="259">
        <f t="shared" si="36"/>
        <v>0</v>
      </c>
      <c r="DW67" s="259">
        <f t="shared" si="37"/>
        <v>0</v>
      </c>
    </row>
    <row r="68" spans="1:127" s="194" customFormat="1" ht="15.75" x14ac:dyDescent="0.2">
      <c r="A68" s="239">
        <v>41</v>
      </c>
      <c r="B68" s="240" t="s">
        <v>1003</v>
      </c>
      <c r="C68" s="241"/>
      <c r="D68" s="271"/>
      <c r="E68" s="280"/>
      <c r="F68" s="244"/>
      <c r="G68" s="245" t="s">
        <v>968</v>
      </c>
      <c r="H68" s="246">
        <f t="shared" si="0"/>
        <v>0</v>
      </c>
      <c r="I68" s="247">
        <f t="shared" si="1"/>
        <v>0</v>
      </c>
      <c r="J68" s="248"/>
      <c r="K68" s="250"/>
      <c r="L68" s="253"/>
      <c r="M68" s="221"/>
      <c r="N68" s="251" t="s">
        <v>968</v>
      </c>
      <c r="O68" s="246">
        <f t="shared" si="2"/>
        <v>0</v>
      </c>
      <c r="P68" s="247">
        <f t="shared" si="3"/>
        <v>0</v>
      </c>
      <c r="Q68" s="248"/>
      <c r="R68" s="250"/>
      <c r="S68" s="253"/>
      <c r="T68" s="221"/>
      <c r="U68" s="251" t="s">
        <v>968</v>
      </c>
      <c r="V68" s="246">
        <f t="shared" si="4"/>
        <v>0</v>
      </c>
      <c r="W68" s="247">
        <f t="shared" si="5"/>
        <v>0</v>
      </c>
      <c r="X68" s="248"/>
      <c r="Y68" s="250"/>
      <c r="Z68" s="253"/>
      <c r="AA68" s="221"/>
      <c r="AB68" s="251" t="s">
        <v>968</v>
      </c>
      <c r="AC68" s="246">
        <f t="shared" si="6"/>
        <v>0</v>
      </c>
      <c r="AD68" s="247">
        <f t="shared" si="7"/>
        <v>0</v>
      </c>
      <c r="AE68" s="248"/>
      <c r="AF68" s="252"/>
      <c r="AG68" s="275"/>
      <c r="AH68" s="221"/>
      <c r="AI68" s="251" t="s">
        <v>968</v>
      </c>
      <c r="AJ68" s="246">
        <f t="shared" si="8"/>
        <v>0</v>
      </c>
      <c r="AK68" s="247">
        <f t="shared" si="9"/>
        <v>0</v>
      </c>
      <c r="AL68" s="248"/>
      <c r="AM68" s="250"/>
      <c r="AN68" s="253"/>
      <c r="AO68" s="221"/>
      <c r="AP68" s="251" t="s">
        <v>968</v>
      </c>
      <c r="AQ68" s="246">
        <f t="shared" si="10"/>
        <v>0</v>
      </c>
      <c r="AR68" s="247">
        <f t="shared" si="11"/>
        <v>0</v>
      </c>
      <c r="AS68" s="248"/>
      <c r="AT68" s="250"/>
      <c r="AU68" s="250"/>
      <c r="AV68" s="279"/>
      <c r="AW68" s="251" t="s">
        <v>968</v>
      </c>
      <c r="AX68" s="246">
        <f t="shared" si="12"/>
        <v>0</v>
      </c>
      <c r="AY68" s="247">
        <f t="shared" si="13"/>
        <v>0</v>
      </c>
      <c r="AZ68" s="248"/>
      <c r="BA68" s="250"/>
      <c r="BB68" s="253"/>
      <c r="BC68" s="221"/>
      <c r="BD68" s="251" t="s">
        <v>968</v>
      </c>
      <c r="BE68" s="246">
        <f t="shared" si="14"/>
        <v>0</v>
      </c>
      <c r="BF68" s="247">
        <f t="shared" si="15"/>
        <v>0</v>
      </c>
      <c r="BG68" s="248"/>
      <c r="BH68" s="250"/>
      <c r="BI68" s="253"/>
      <c r="BJ68" s="221"/>
      <c r="BK68" s="251" t="s">
        <v>968</v>
      </c>
      <c r="BL68" s="246">
        <f t="shared" si="16"/>
        <v>0</v>
      </c>
      <c r="BM68" s="247">
        <f t="shared" si="17"/>
        <v>0</v>
      </c>
      <c r="BN68" s="248"/>
      <c r="BO68" s="250"/>
      <c r="BP68" s="250"/>
      <c r="BQ68" s="279"/>
      <c r="BR68" s="251" t="s">
        <v>968</v>
      </c>
      <c r="BS68" s="246">
        <f t="shared" si="18"/>
        <v>0</v>
      </c>
      <c r="BT68" s="247">
        <f t="shared" si="19"/>
        <v>0</v>
      </c>
      <c r="BU68" s="248"/>
      <c r="BV68" s="250"/>
      <c r="BW68" s="253"/>
      <c r="BX68" s="221"/>
      <c r="BY68" s="251" t="s">
        <v>968</v>
      </c>
      <c r="BZ68" s="246">
        <f t="shared" si="20"/>
        <v>0</v>
      </c>
      <c r="CA68" s="247">
        <f t="shared" si="21"/>
        <v>0</v>
      </c>
      <c r="CB68" s="248"/>
      <c r="CC68" s="250"/>
      <c r="CD68" s="253"/>
      <c r="CE68" s="221"/>
      <c r="CF68" s="251" t="s">
        <v>968</v>
      </c>
      <c r="CG68" s="246">
        <f t="shared" si="22"/>
        <v>0</v>
      </c>
      <c r="CH68" s="247">
        <f t="shared" si="23"/>
        <v>0</v>
      </c>
      <c r="CI68" s="248"/>
      <c r="CJ68" s="273"/>
      <c r="CK68" s="253"/>
      <c r="CL68" s="281"/>
      <c r="CM68" s="251" t="s">
        <v>968</v>
      </c>
      <c r="CN68" s="246">
        <f t="shared" si="24"/>
        <v>0</v>
      </c>
      <c r="CO68" s="247">
        <f t="shared" si="25"/>
        <v>0</v>
      </c>
      <c r="CP68" s="248"/>
      <c r="CQ68" s="250"/>
      <c r="CR68" s="253"/>
      <c r="CS68" s="221"/>
      <c r="CT68" s="251" t="s">
        <v>968</v>
      </c>
      <c r="CU68" s="246">
        <f t="shared" si="26"/>
        <v>0</v>
      </c>
      <c r="CV68" s="247">
        <f t="shared" si="27"/>
        <v>0</v>
      </c>
      <c r="CW68" s="254"/>
      <c r="CX68" s="250"/>
      <c r="CY68" s="250"/>
      <c r="CZ68" s="221"/>
      <c r="DA68" s="251"/>
      <c r="DB68" s="246">
        <f t="shared" si="28"/>
        <v>0</v>
      </c>
      <c r="DC68" s="247">
        <f t="shared" si="29"/>
        <v>0</v>
      </c>
      <c r="DD68" s="248"/>
      <c r="DE68" s="250"/>
      <c r="DF68" s="250"/>
      <c r="DG68" s="279"/>
      <c r="DH68" s="251" t="s">
        <v>968</v>
      </c>
      <c r="DI68" s="246">
        <f t="shared" si="30"/>
        <v>0</v>
      </c>
      <c r="DJ68" s="255">
        <f t="shared" si="31"/>
        <v>0</v>
      </c>
      <c r="DK68" s="209"/>
      <c r="DL68" s="220"/>
      <c r="DM68" s="221"/>
      <c r="DO68" s="256"/>
      <c r="DP68" s="257"/>
      <c r="DR68" s="258">
        <f t="shared" si="32"/>
        <v>0</v>
      </c>
      <c r="DS68" s="258">
        <f t="shared" si="33"/>
        <v>0</v>
      </c>
      <c r="DT68" s="258">
        <f t="shared" si="34"/>
        <v>0</v>
      </c>
      <c r="DU68" s="258">
        <f t="shared" si="35"/>
        <v>0</v>
      </c>
      <c r="DV68" s="259">
        <f t="shared" si="36"/>
        <v>0</v>
      </c>
      <c r="DW68" s="259">
        <f t="shared" si="37"/>
        <v>0</v>
      </c>
    </row>
    <row r="69" spans="1:127" s="194" customFormat="1" ht="15.75" x14ac:dyDescent="0.2">
      <c r="A69" s="239">
        <v>42</v>
      </c>
      <c r="B69" s="240" t="s">
        <v>39</v>
      </c>
      <c r="C69" s="276"/>
      <c r="D69" s="261"/>
      <c r="E69" s="262"/>
      <c r="F69" s="277"/>
      <c r="G69" s="245"/>
      <c r="H69" s="246">
        <f t="shared" si="0"/>
        <v>0</v>
      </c>
      <c r="I69" s="247">
        <f t="shared" si="1"/>
        <v>0</v>
      </c>
      <c r="J69" s="268"/>
      <c r="K69" s="265"/>
      <c r="L69" s="265"/>
      <c r="M69" s="269"/>
      <c r="N69" s="251"/>
      <c r="O69" s="246">
        <f t="shared" si="2"/>
        <v>0</v>
      </c>
      <c r="P69" s="247">
        <f t="shared" si="3"/>
        <v>0</v>
      </c>
      <c r="Q69" s="268"/>
      <c r="R69" s="265"/>
      <c r="S69" s="265"/>
      <c r="T69" s="269"/>
      <c r="U69" s="251"/>
      <c r="V69" s="246">
        <f t="shared" si="4"/>
        <v>0</v>
      </c>
      <c r="W69" s="247">
        <f t="shared" si="5"/>
        <v>0</v>
      </c>
      <c r="X69" s="268"/>
      <c r="Y69" s="265"/>
      <c r="Z69" s="265"/>
      <c r="AA69" s="269"/>
      <c r="AB69" s="251"/>
      <c r="AC69" s="246">
        <f t="shared" si="6"/>
        <v>0</v>
      </c>
      <c r="AD69" s="247">
        <f t="shared" si="7"/>
        <v>0</v>
      </c>
      <c r="AE69" s="268"/>
      <c r="AF69" s="267"/>
      <c r="AG69" s="265"/>
      <c r="AH69" s="269"/>
      <c r="AI69" s="251"/>
      <c r="AJ69" s="246">
        <f t="shared" si="8"/>
        <v>0</v>
      </c>
      <c r="AK69" s="247">
        <f t="shared" si="9"/>
        <v>0</v>
      </c>
      <c r="AL69" s="268"/>
      <c r="AM69" s="265"/>
      <c r="AN69" s="265"/>
      <c r="AO69" s="269"/>
      <c r="AP69" s="251"/>
      <c r="AQ69" s="246">
        <f t="shared" si="10"/>
        <v>0</v>
      </c>
      <c r="AR69" s="247">
        <f t="shared" si="11"/>
        <v>0</v>
      </c>
      <c r="AS69" s="268"/>
      <c r="AT69" s="265"/>
      <c r="AU69" s="265"/>
      <c r="AV69" s="269"/>
      <c r="AW69" s="251"/>
      <c r="AX69" s="246">
        <f t="shared" si="12"/>
        <v>0</v>
      </c>
      <c r="AY69" s="247">
        <f t="shared" si="13"/>
        <v>0</v>
      </c>
      <c r="AZ69" s="268"/>
      <c r="BA69" s="265"/>
      <c r="BB69" s="265"/>
      <c r="BC69" s="269"/>
      <c r="BD69" s="251"/>
      <c r="BE69" s="246">
        <f t="shared" si="14"/>
        <v>0</v>
      </c>
      <c r="BF69" s="247">
        <f t="shared" si="15"/>
        <v>0</v>
      </c>
      <c r="BG69" s="268"/>
      <c r="BH69" s="265"/>
      <c r="BI69" s="265"/>
      <c r="BJ69" s="269"/>
      <c r="BK69" s="251"/>
      <c r="BL69" s="246">
        <f t="shared" si="16"/>
        <v>0</v>
      </c>
      <c r="BM69" s="247">
        <f t="shared" si="17"/>
        <v>0</v>
      </c>
      <c r="BN69" s="268"/>
      <c r="BO69" s="265"/>
      <c r="BP69" s="265"/>
      <c r="BQ69" s="269"/>
      <c r="BR69" s="251"/>
      <c r="BS69" s="246">
        <f t="shared" si="18"/>
        <v>0</v>
      </c>
      <c r="BT69" s="247">
        <f t="shared" si="19"/>
        <v>0</v>
      </c>
      <c r="BU69" s="268"/>
      <c r="BV69" s="265"/>
      <c r="BW69" s="265"/>
      <c r="BX69" s="269"/>
      <c r="BY69" s="251"/>
      <c r="BZ69" s="246">
        <f t="shared" si="20"/>
        <v>0</v>
      </c>
      <c r="CA69" s="247">
        <f t="shared" si="21"/>
        <v>0</v>
      </c>
      <c r="CB69" s="264"/>
      <c r="CC69" s="252"/>
      <c r="CD69" s="265"/>
      <c r="CE69" s="269"/>
      <c r="CF69" s="251" t="s">
        <v>968</v>
      </c>
      <c r="CG69" s="246">
        <f t="shared" si="22"/>
        <v>0</v>
      </c>
      <c r="CH69" s="247">
        <f t="shared" si="23"/>
        <v>0</v>
      </c>
      <c r="CI69" s="254"/>
      <c r="CJ69" s="265"/>
      <c r="CK69" s="265"/>
      <c r="CL69" s="265"/>
      <c r="CM69" s="251"/>
      <c r="CN69" s="246">
        <f t="shared" si="24"/>
        <v>0</v>
      </c>
      <c r="CO69" s="247">
        <f t="shared" si="25"/>
        <v>0</v>
      </c>
      <c r="CP69" s="254"/>
      <c r="CQ69" s="265"/>
      <c r="CR69" s="265"/>
      <c r="CS69" s="269"/>
      <c r="CT69" s="251"/>
      <c r="CU69" s="246">
        <f t="shared" si="26"/>
        <v>0</v>
      </c>
      <c r="CV69" s="247">
        <f t="shared" si="27"/>
        <v>0</v>
      </c>
      <c r="CW69" s="268"/>
      <c r="CX69" s="265"/>
      <c r="CY69" s="265"/>
      <c r="CZ69" s="269"/>
      <c r="DA69" s="251"/>
      <c r="DB69" s="246">
        <f t="shared" si="28"/>
        <v>0</v>
      </c>
      <c r="DC69" s="247">
        <f t="shared" si="29"/>
        <v>0</v>
      </c>
      <c r="DD69" s="268"/>
      <c r="DE69" s="265"/>
      <c r="DF69" s="265"/>
      <c r="DG69" s="269"/>
      <c r="DH69" s="251"/>
      <c r="DI69" s="246">
        <f t="shared" si="30"/>
        <v>0</v>
      </c>
      <c r="DJ69" s="255">
        <f t="shared" si="31"/>
        <v>0</v>
      </c>
      <c r="DK69" s="209"/>
      <c r="DL69" s="220"/>
      <c r="DM69" s="221"/>
      <c r="DO69" s="256"/>
      <c r="DP69" s="257"/>
      <c r="DR69" s="258">
        <f t="shared" si="32"/>
        <v>0</v>
      </c>
      <c r="DS69" s="258">
        <f t="shared" si="33"/>
        <v>0</v>
      </c>
      <c r="DT69" s="258">
        <f t="shared" si="34"/>
        <v>0</v>
      </c>
      <c r="DU69" s="258">
        <f t="shared" si="35"/>
        <v>0</v>
      </c>
      <c r="DV69" s="259">
        <f t="shared" si="36"/>
        <v>0</v>
      </c>
      <c r="DW69" s="259">
        <f t="shared" si="37"/>
        <v>0</v>
      </c>
    </row>
    <row r="70" spans="1:127" s="194" customFormat="1" ht="15.75" x14ac:dyDescent="0.2">
      <c r="A70" s="239">
        <v>43</v>
      </c>
      <c r="B70" s="240" t="s">
        <v>1004</v>
      </c>
      <c r="C70" s="276"/>
      <c r="D70" s="261"/>
      <c r="E70" s="262"/>
      <c r="F70" s="277"/>
      <c r="G70" s="245"/>
      <c r="H70" s="246">
        <f t="shared" si="0"/>
        <v>0</v>
      </c>
      <c r="I70" s="247">
        <f t="shared" si="1"/>
        <v>0</v>
      </c>
      <c r="J70" s="268"/>
      <c r="K70" s="265"/>
      <c r="L70" s="265"/>
      <c r="M70" s="269"/>
      <c r="N70" s="251"/>
      <c r="O70" s="246">
        <f t="shared" si="2"/>
        <v>0</v>
      </c>
      <c r="P70" s="247">
        <f t="shared" si="3"/>
        <v>0</v>
      </c>
      <c r="Q70" s="268"/>
      <c r="R70" s="265"/>
      <c r="S70" s="265"/>
      <c r="T70" s="269"/>
      <c r="U70" s="251"/>
      <c r="V70" s="246">
        <f t="shared" si="4"/>
        <v>0</v>
      </c>
      <c r="W70" s="247">
        <f t="shared" si="5"/>
        <v>0</v>
      </c>
      <c r="X70" s="268"/>
      <c r="Y70" s="265"/>
      <c r="Z70" s="265"/>
      <c r="AA70" s="269"/>
      <c r="AB70" s="251"/>
      <c r="AC70" s="246">
        <f t="shared" si="6"/>
        <v>0</v>
      </c>
      <c r="AD70" s="247">
        <f t="shared" si="7"/>
        <v>0</v>
      </c>
      <c r="AE70" s="268"/>
      <c r="AF70" s="267"/>
      <c r="AG70" s="265"/>
      <c r="AH70" s="269"/>
      <c r="AI70" s="251"/>
      <c r="AJ70" s="246">
        <f t="shared" si="8"/>
        <v>0</v>
      </c>
      <c r="AK70" s="247">
        <f t="shared" si="9"/>
        <v>0</v>
      </c>
      <c r="AL70" s="268"/>
      <c r="AM70" s="265"/>
      <c r="AN70" s="265"/>
      <c r="AO70" s="269"/>
      <c r="AP70" s="251"/>
      <c r="AQ70" s="246">
        <f t="shared" si="10"/>
        <v>0</v>
      </c>
      <c r="AR70" s="247">
        <f t="shared" si="11"/>
        <v>0</v>
      </c>
      <c r="AS70" s="268"/>
      <c r="AT70" s="265"/>
      <c r="AU70" s="265"/>
      <c r="AV70" s="269"/>
      <c r="AW70" s="251"/>
      <c r="AX70" s="246">
        <f t="shared" si="12"/>
        <v>0</v>
      </c>
      <c r="AY70" s="247">
        <f t="shared" si="13"/>
        <v>0</v>
      </c>
      <c r="AZ70" s="268"/>
      <c r="BA70" s="265"/>
      <c r="BB70" s="265"/>
      <c r="BC70" s="269"/>
      <c r="BD70" s="251"/>
      <c r="BE70" s="246">
        <f t="shared" si="14"/>
        <v>0</v>
      </c>
      <c r="BF70" s="247">
        <f t="shared" si="15"/>
        <v>0</v>
      </c>
      <c r="BG70" s="268"/>
      <c r="BH70" s="265"/>
      <c r="BI70" s="265"/>
      <c r="BJ70" s="269"/>
      <c r="BK70" s="251"/>
      <c r="BL70" s="246">
        <f t="shared" si="16"/>
        <v>0</v>
      </c>
      <c r="BM70" s="247">
        <f t="shared" si="17"/>
        <v>0</v>
      </c>
      <c r="BN70" s="268"/>
      <c r="BO70" s="265"/>
      <c r="BP70" s="265"/>
      <c r="BQ70" s="269"/>
      <c r="BR70" s="251"/>
      <c r="BS70" s="246">
        <f t="shared" si="18"/>
        <v>0</v>
      </c>
      <c r="BT70" s="247">
        <f t="shared" si="19"/>
        <v>0</v>
      </c>
      <c r="BU70" s="268"/>
      <c r="BV70" s="265"/>
      <c r="BW70" s="265"/>
      <c r="BX70" s="269"/>
      <c r="BY70" s="251"/>
      <c r="BZ70" s="246">
        <f t="shared" si="20"/>
        <v>0</v>
      </c>
      <c r="CA70" s="247">
        <f t="shared" si="21"/>
        <v>0</v>
      </c>
      <c r="CB70" s="268"/>
      <c r="CC70" s="265"/>
      <c r="CD70" s="265"/>
      <c r="CE70" s="269"/>
      <c r="CF70" s="251"/>
      <c r="CG70" s="246">
        <f t="shared" si="22"/>
        <v>0</v>
      </c>
      <c r="CH70" s="247">
        <f t="shared" si="23"/>
        <v>0</v>
      </c>
      <c r="CI70" s="254"/>
      <c r="CJ70" s="265"/>
      <c r="CK70" s="265"/>
      <c r="CL70" s="265"/>
      <c r="CM70" s="251"/>
      <c r="CN70" s="246">
        <f t="shared" si="24"/>
        <v>0</v>
      </c>
      <c r="CO70" s="247">
        <f t="shared" si="25"/>
        <v>0</v>
      </c>
      <c r="CP70" s="264"/>
      <c r="CQ70" s="252"/>
      <c r="CR70" s="265"/>
      <c r="CS70" s="269"/>
      <c r="CT70" s="251" t="s">
        <v>968</v>
      </c>
      <c r="CU70" s="246">
        <f t="shared" si="26"/>
        <v>0</v>
      </c>
      <c r="CV70" s="247">
        <f t="shared" si="27"/>
        <v>0</v>
      </c>
      <c r="CW70" s="268"/>
      <c r="CX70" s="265"/>
      <c r="CY70" s="265"/>
      <c r="CZ70" s="269"/>
      <c r="DA70" s="251"/>
      <c r="DB70" s="246">
        <f t="shared" si="28"/>
        <v>0</v>
      </c>
      <c r="DC70" s="247">
        <f t="shared" si="29"/>
        <v>0</v>
      </c>
      <c r="DD70" s="268"/>
      <c r="DE70" s="265"/>
      <c r="DF70" s="265"/>
      <c r="DG70" s="269"/>
      <c r="DH70" s="251"/>
      <c r="DI70" s="246">
        <f t="shared" si="30"/>
        <v>0</v>
      </c>
      <c r="DJ70" s="255">
        <f t="shared" si="31"/>
        <v>0</v>
      </c>
      <c r="DK70" s="209"/>
      <c r="DL70" s="220"/>
      <c r="DM70" s="221"/>
      <c r="DO70" s="256"/>
      <c r="DP70" s="257"/>
      <c r="DR70" s="258">
        <f t="shared" si="32"/>
        <v>0</v>
      </c>
      <c r="DS70" s="258">
        <f t="shared" si="33"/>
        <v>0</v>
      </c>
      <c r="DT70" s="258">
        <f t="shared" si="34"/>
        <v>0</v>
      </c>
      <c r="DU70" s="258">
        <f t="shared" si="35"/>
        <v>0</v>
      </c>
      <c r="DV70" s="259">
        <f t="shared" si="36"/>
        <v>0</v>
      </c>
      <c r="DW70" s="259">
        <f t="shared" si="37"/>
        <v>0</v>
      </c>
    </row>
    <row r="71" spans="1:127" s="194" customFormat="1" ht="15.75" x14ac:dyDescent="0.2">
      <c r="A71" s="239">
        <v>44</v>
      </c>
      <c r="B71" s="240" t="s">
        <v>1005</v>
      </c>
      <c r="C71" s="276"/>
      <c r="D71" s="261"/>
      <c r="E71" s="262"/>
      <c r="F71" s="277"/>
      <c r="G71" s="245"/>
      <c r="H71" s="246">
        <f t="shared" si="0"/>
        <v>0</v>
      </c>
      <c r="I71" s="247">
        <f t="shared" si="1"/>
        <v>0</v>
      </c>
      <c r="J71" s="254"/>
      <c r="K71" s="265"/>
      <c r="L71" s="265"/>
      <c r="M71" s="269"/>
      <c r="N71" s="251"/>
      <c r="O71" s="246">
        <f t="shared" si="2"/>
        <v>0</v>
      </c>
      <c r="P71" s="247">
        <f t="shared" si="3"/>
        <v>0</v>
      </c>
      <c r="Q71" s="254"/>
      <c r="R71" s="265"/>
      <c r="S71" s="265"/>
      <c r="T71" s="269"/>
      <c r="U71" s="251"/>
      <c r="V71" s="246">
        <f t="shared" si="4"/>
        <v>0</v>
      </c>
      <c r="W71" s="247">
        <f t="shared" si="5"/>
        <v>0</v>
      </c>
      <c r="X71" s="268"/>
      <c r="Y71" s="265"/>
      <c r="Z71" s="265"/>
      <c r="AA71" s="269"/>
      <c r="AB71" s="251"/>
      <c r="AC71" s="246">
        <f t="shared" si="6"/>
        <v>0</v>
      </c>
      <c r="AD71" s="247">
        <f t="shared" si="7"/>
        <v>0</v>
      </c>
      <c r="AE71" s="268"/>
      <c r="AF71" s="267"/>
      <c r="AG71" s="265"/>
      <c r="AH71" s="269"/>
      <c r="AI71" s="251"/>
      <c r="AJ71" s="246">
        <f t="shared" si="8"/>
        <v>0</v>
      </c>
      <c r="AK71" s="247">
        <f t="shared" si="9"/>
        <v>0</v>
      </c>
      <c r="AL71" s="268"/>
      <c r="AM71" s="265"/>
      <c r="AN71" s="265"/>
      <c r="AO71" s="269"/>
      <c r="AP71" s="251"/>
      <c r="AQ71" s="246">
        <f t="shared" si="10"/>
        <v>0</v>
      </c>
      <c r="AR71" s="247">
        <f t="shared" si="11"/>
        <v>0</v>
      </c>
      <c r="AS71" s="268"/>
      <c r="AT71" s="265"/>
      <c r="AU71" s="265"/>
      <c r="AV71" s="269"/>
      <c r="AW71" s="251"/>
      <c r="AX71" s="246">
        <f t="shared" si="12"/>
        <v>0</v>
      </c>
      <c r="AY71" s="247">
        <f t="shared" si="13"/>
        <v>0</v>
      </c>
      <c r="AZ71" s="268"/>
      <c r="BA71" s="265"/>
      <c r="BB71" s="265"/>
      <c r="BC71" s="269"/>
      <c r="BD71" s="251"/>
      <c r="BE71" s="246">
        <f t="shared" si="14"/>
        <v>0</v>
      </c>
      <c r="BF71" s="247">
        <f t="shared" si="15"/>
        <v>0</v>
      </c>
      <c r="BG71" s="268"/>
      <c r="BH71" s="265"/>
      <c r="BI71" s="265"/>
      <c r="BJ71" s="269"/>
      <c r="BK71" s="251"/>
      <c r="BL71" s="246">
        <f t="shared" si="16"/>
        <v>0</v>
      </c>
      <c r="BM71" s="247">
        <f t="shared" si="17"/>
        <v>0</v>
      </c>
      <c r="BN71" s="268"/>
      <c r="BO71" s="265"/>
      <c r="BP71" s="265"/>
      <c r="BQ71" s="269"/>
      <c r="BR71" s="251"/>
      <c r="BS71" s="246">
        <f t="shared" si="18"/>
        <v>0</v>
      </c>
      <c r="BT71" s="247">
        <f t="shared" si="19"/>
        <v>0</v>
      </c>
      <c r="BU71" s="268"/>
      <c r="BV71" s="265"/>
      <c r="BW71" s="265"/>
      <c r="BX71" s="269"/>
      <c r="BY71" s="251"/>
      <c r="BZ71" s="246">
        <f t="shared" si="20"/>
        <v>0</v>
      </c>
      <c r="CA71" s="247">
        <f t="shared" si="21"/>
        <v>0</v>
      </c>
      <c r="CB71" s="268"/>
      <c r="CC71" s="265"/>
      <c r="CD71" s="265"/>
      <c r="CE71" s="269"/>
      <c r="CF71" s="251"/>
      <c r="CG71" s="246">
        <f t="shared" si="22"/>
        <v>0</v>
      </c>
      <c r="CH71" s="247">
        <f t="shared" si="23"/>
        <v>0</v>
      </c>
      <c r="CI71" s="254"/>
      <c r="CJ71" s="265"/>
      <c r="CK71" s="265"/>
      <c r="CL71" s="265"/>
      <c r="CM71" s="251"/>
      <c r="CN71" s="246">
        <f t="shared" si="24"/>
        <v>0</v>
      </c>
      <c r="CO71" s="247">
        <f t="shared" si="25"/>
        <v>0</v>
      </c>
      <c r="CP71" s="264"/>
      <c r="CQ71" s="252"/>
      <c r="CR71" s="265"/>
      <c r="CS71" s="269"/>
      <c r="CT71" s="251" t="s">
        <v>968</v>
      </c>
      <c r="CU71" s="246">
        <f t="shared" si="26"/>
        <v>0</v>
      </c>
      <c r="CV71" s="247">
        <f t="shared" si="27"/>
        <v>0</v>
      </c>
      <c r="CW71" s="268"/>
      <c r="CX71" s="265"/>
      <c r="CY71" s="265"/>
      <c r="CZ71" s="269"/>
      <c r="DA71" s="251"/>
      <c r="DB71" s="246">
        <f t="shared" si="28"/>
        <v>0</v>
      </c>
      <c r="DC71" s="247">
        <f t="shared" si="29"/>
        <v>0</v>
      </c>
      <c r="DD71" s="268"/>
      <c r="DE71" s="265"/>
      <c r="DF71" s="265"/>
      <c r="DG71" s="269"/>
      <c r="DH71" s="251"/>
      <c r="DI71" s="246">
        <f t="shared" si="30"/>
        <v>0</v>
      </c>
      <c r="DJ71" s="255">
        <f t="shared" si="31"/>
        <v>0</v>
      </c>
      <c r="DK71" s="209"/>
      <c r="DL71" s="220"/>
      <c r="DM71" s="221"/>
      <c r="DO71" s="256"/>
      <c r="DP71" s="257"/>
      <c r="DR71" s="258">
        <f t="shared" si="32"/>
        <v>0</v>
      </c>
      <c r="DS71" s="258">
        <f t="shared" si="33"/>
        <v>0</v>
      </c>
      <c r="DT71" s="258">
        <f t="shared" si="34"/>
        <v>0</v>
      </c>
      <c r="DU71" s="258">
        <f t="shared" si="35"/>
        <v>0</v>
      </c>
      <c r="DV71" s="259">
        <f t="shared" si="36"/>
        <v>0</v>
      </c>
      <c r="DW71" s="259">
        <f t="shared" si="37"/>
        <v>0</v>
      </c>
    </row>
    <row r="72" spans="1:127" s="194" customFormat="1" ht="15.75" x14ac:dyDescent="0.2">
      <c r="A72" s="239">
        <v>45</v>
      </c>
      <c r="B72" s="240" t="s">
        <v>1006</v>
      </c>
      <c r="C72" s="276"/>
      <c r="D72" s="271"/>
      <c r="E72" s="272"/>
      <c r="F72" s="244"/>
      <c r="G72" s="245"/>
      <c r="H72" s="246">
        <f t="shared" si="0"/>
        <v>0</v>
      </c>
      <c r="I72" s="247">
        <f t="shared" si="1"/>
        <v>0</v>
      </c>
      <c r="J72" s="248"/>
      <c r="K72" s="250"/>
      <c r="L72" s="250"/>
      <c r="M72" s="221"/>
      <c r="N72" s="251" t="s">
        <v>968</v>
      </c>
      <c r="O72" s="246">
        <f t="shared" si="2"/>
        <v>0</v>
      </c>
      <c r="P72" s="247">
        <f t="shared" si="3"/>
        <v>0</v>
      </c>
      <c r="Q72" s="248"/>
      <c r="R72" s="250"/>
      <c r="S72" s="250"/>
      <c r="T72" s="221"/>
      <c r="U72" s="251" t="s">
        <v>968</v>
      </c>
      <c r="V72" s="246">
        <f t="shared" si="4"/>
        <v>0</v>
      </c>
      <c r="W72" s="247">
        <f t="shared" si="5"/>
        <v>0</v>
      </c>
      <c r="X72" s="254"/>
      <c r="Y72" s="250"/>
      <c r="Z72" s="250"/>
      <c r="AA72" s="221"/>
      <c r="AB72" s="251"/>
      <c r="AC72" s="246">
        <f t="shared" si="6"/>
        <v>0</v>
      </c>
      <c r="AD72" s="247">
        <f t="shared" si="7"/>
        <v>0</v>
      </c>
      <c r="AE72" s="254"/>
      <c r="AF72" s="273"/>
      <c r="AG72" s="250"/>
      <c r="AH72" s="221"/>
      <c r="AI72" s="251"/>
      <c r="AJ72" s="246">
        <f t="shared" si="8"/>
        <v>0</v>
      </c>
      <c r="AK72" s="247">
        <f t="shared" si="9"/>
        <v>0</v>
      </c>
      <c r="AL72" s="254"/>
      <c r="AM72" s="250"/>
      <c r="AN72" s="250"/>
      <c r="AO72" s="221"/>
      <c r="AP72" s="251"/>
      <c r="AQ72" s="246">
        <f t="shared" si="10"/>
        <v>0</v>
      </c>
      <c r="AR72" s="247">
        <f t="shared" si="11"/>
        <v>0</v>
      </c>
      <c r="AS72" s="254"/>
      <c r="AT72" s="250"/>
      <c r="AU72" s="250"/>
      <c r="AV72" s="221"/>
      <c r="AW72" s="251"/>
      <c r="AX72" s="246">
        <f t="shared" si="12"/>
        <v>0</v>
      </c>
      <c r="AY72" s="247">
        <f t="shared" si="13"/>
        <v>0</v>
      </c>
      <c r="AZ72" s="254"/>
      <c r="BA72" s="250"/>
      <c r="BB72" s="250"/>
      <c r="BC72" s="221"/>
      <c r="BD72" s="251"/>
      <c r="BE72" s="246">
        <f t="shared" si="14"/>
        <v>0</v>
      </c>
      <c r="BF72" s="247">
        <f t="shared" si="15"/>
        <v>0</v>
      </c>
      <c r="BG72" s="254"/>
      <c r="BH72" s="250"/>
      <c r="BI72" s="250"/>
      <c r="BJ72" s="221"/>
      <c r="BK72" s="251"/>
      <c r="BL72" s="246">
        <f t="shared" si="16"/>
        <v>0</v>
      </c>
      <c r="BM72" s="247">
        <f t="shared" si="17"/>
        <v>0</v>
      </c>
      <c r="BN72" s="254"/>
      <c r="BO72" s="250"/>
      <c r="BP72" s="250"/>
      <c r="BQ72" s="221"/>
      <c r="BR72" s="251"/>
      <c r="BS72" s="246">
        <f t="shared" si="18"/>
        <v>0</v>
      </c>
      <c r="BT72" s="247">
        <f t="shared" si="19"/>
        <v>0</v>
      </c>
      <c r="BU72" s="254"/>
      <c r="BV72" s="250"/>
      <c r="BW72" s="250"/>
      <c r="BX72" s="221"/>
      <c r="BY72" s="251"/>
      <c r="BZ72" s="246">
        <f t="shared" si="20"/>
        <v>0</v>
      </c>
      <c r="CA72" s="247">
        <f t="shared" si="21"/>
        <v>0</v>
      </c>
      <c r="CB72" s="254"/>
      <c r="CC72" s="250"/>
      <c r="CD72" s="250"/>
      <c r="CE72" s="221"/>
      <c r="CF72" s="251"/>
      <c r="CG72" s="246">
        <f t="shared" si="22"/>
        <v>0</v>
      </c>
      <c r="CH72" s="247">
        <f t="shared" si="23"/>
        <v>0</v>
      </c>
      <c r="CI72" s="254"/>
      <c r="CJ72" s="250"/>
      <c r="CK72" s="250"/>
      <c r="CL72" s="250"/>
      <c r="CM72" s="251"/>
      <c r="CN72" s="246">
        <f t="shared" si="24"/>
        <v>0</v>
      </c>
      <c r="CO72" s="247">
        <f t="shared" si="25"/>
        <v>0</v>
      </c>
      <c r="CP72" s="254"/>
      <c r="CQ72" s="250"/>
      <c r="CR72" s="250"/>
      <c r="CS72" s="221"/>
      <c r="CT72" s="251"/>
      <c r="CU72" s="246">
        <f t="shared" si="26"/>
        <v>0</v>
      </c>
      <c r="CV72" s="247">
        <f t="shared" si="27"/>
        <v>0</v>
      </c>
      <c r="CW72" s="254"/>
      <c r="CX72" s="250"/>
      <c r="CY72" s="250"/>
      <c r="CZ72" s="221"/>
      <c r="DA72" s="251"/>
      <c r="DB72" s="246">
        <f t="shared" si="28"/>
        <v>0</v>
      </c>
      <c r="DC72" s="247">
        <f t="shared" si="29"/>
        <v>0</v>
      </c>
      <c r="DD72" s="254"/>
      <c r="DE72" s="250"/>
      <c r="DF72" s="250"/>
      <c r="DG72" s="221"/>
      <c r="DH72" s="251"/>
      <c r="DI72" s="246">
        <f t="shared" si="30"/>
        <v>0</v>
      </c>
      <c r="DJ72" s="255">
        <f t="shared" si="31"/>
        <v>0</v>
      </c>
      <c r="DK72" s="209"/>
      <c r="DL72" s="220"/>
      <c r="DM72" s="221"/>
      <c r="DO72" s="256"/>
      <c r="DP72" s="257"/>
      <c r="DR72" s="258">
        <f t="shared" si="32"/>
        <v>0</v>
      </c>
      <c r="DS72" s="258">
        <f t="shared" si="33"/>
        <v>0</v>
      </c>
      <c r="DT72" s="258">
        <f t="shared" si="34"/>
        <v>0</v>
      </c>
      <c r="DU72" s="258">
        <f t="shared" si="35"/>
        <v>0</v>
      </c>
      <c r="DV72" s="259">
        <f t="shared" si="36"/>
        <v>0</v>
      </c>
      <c r="DW72" s="259">
        <f t="shared" si="37"/>
        <v>0</v>
      </c>
    </row>
    <row r="73" spans="1:127" s="194" customFormat="1" ht="15.75" x14ac:dyDescent="0.2">
      <c r="A73" s="239">
        <v>46</v>
      </c>
      <c r="B73" s="240" t="s">
        <v>1007</v>
      </c>
      <c r="C73" s="276"/>
      <c r="D73" s="271"/>
      <c r="E73" s="272"/>
      <c r="F73" s="244"/>
      <c r="G73" s="245"/>
      <c r="H73" s="246">
        <f t="shared" si="0"/>
        <v>0</v>
      </c>
      <c r="I73" s="247">
        <f t="shared" si="1"/>
        <v>0</v>
      </c>
      <c r="J73" s="254"/>
      <c r="K73" s="250"/>
      <c r="L73" s="250"/>
      <c r="M73" s="221"/>
      <c r="N73" s="251"/>
      <c r="O73" s="246">
        <f t="shared" si="2"/>
        <v>0</v>
      </c>
      <c r="P73" s="247">
        <f t="shared" si="3"/>
        <v>0</v>
      </c>
      <c r="Q73" s="254"/>
      <c r="R73" s="250"/>
      <c r="S73" s="250"/>
      <c r="T73" s="221"/>
      <c r="U73" s="251"/>
      <c r="V73" s="246">
        <f t="shared" si="4"/>
        <v>0</v>
      </c>
      <c r="W73" s="247">
        <f t="shared" si="5"/>
        <v>0</v>
      </c>
      <c r="X73" s="254"/>
      <c r="Y73" s="250"/>
      <c r="Z73" s="250"/>
      <c r="AA73" s="221"/>
      <c r="AB73" s="251"/>
      <c r="AC73" s="246">
        <f t="shared" si="6"/>
        <v>0</v>
      </c>
      <c r="AD73" s="247">
        <f t="shared" si="7"/>
        <v>0</v>
      </c>
      <c r="AE73" s="254"/>
      <c r="AF73" s="273"/>
      <c r="AG73" s="250"/>
      <c r="AH73" s="221"/>
      <c r="AI73" s="251"/>
      <c r="AJ73" s="246">
        <f t="shared" si="8"/>
        <v>0</v>
      </c>
      <c r="AK73" s="247">
        <f t="shared" si="9"/>
        <v>0</v>
      </c>
      <c r="AL73" s="248"/>
      <c r="AM73" s="250"/>
      <c r="AN73" s="253"/>
      <c r="AO73" s="221"/>
      <c r="AP73" s="251" t="s">
        <v>968</v>
      </c>
      <c r="AQ73" s="246">
        <f t="shared" si="10"/>
        <v>0</v>
      </c>
      <c r="AR73" s="247">
        <f t="shared" si="11"/>
        <v>0</v>
      </c>
      <c r="AS73" s="254"/>
      <c r="AT73" s="250"/>
      <c r="AU73" s="250"/>
      <c r="AV73" s="221"/>
      <c r="AW73" s="251"/>
      <c r="AX73" s="246">
        <f t="shared" si="12"/>
        <v>0</v>
      </c>
      <c r="AY73" s="247">
        <f t="shared" si="13"/>
        <v>0</v>
      </c>
      <c r="AZ73" s="254"/>
      <c r="BA73" s="250"/>
      <c r="BB73" s="250"/>
      <c r="BC73" s="221"/>
      <c r="BD73" s="251"/>
      <c r="BE73" s="246">
        <f t="shared" si="14"/>
        <v>0</v>
      </c>
      <c r="BF73" s="247">
        <f t="shared" si="15"/>
        <v>0</v>
      </c>
      <c r="BG73" s="254"/>
      <c r="BH73" s="250"/>
      <c r="BI73" s="250"/>
      <c r="BJ73" s="221"/>
      <c r="BK73" s="251"/>
      <c r="BL73" s="246">
        <f t="shared" si="16"/>
        <v>0</v>
      </c>
      <c r="BM73" s="247">
        <f t="shared" si="17"/>
        <v>0</v>
      </c>
      <c r="BN73" s="254"/>
      <c r="BO73" s="250"/>
      <c r="BP73" s="250"/>
      <c r="BQ73" s="221"/>
      <c r="BR73" s="251"/>
      <c r="BS73" s="246">
        <f t="shared" si="18"/>
        <v>0</v>
      </c>
      <c r="BT73" s="247">
        <f t="shared" si="19"/>
        <v>0</v>
      </c>
      <c r="BU73" s="254"/>
      <c r="BV73" s="250"/>
      <c r="BW73" s="250"/>
      <c r="BX73" s="221"/>
      <c r="BY73" s="251"/>
      <c r="BZ73" s="246">
        <f t="shared" si="20"/>
        <v>0</v>
      </c>
      <c r="CA73" s="247">
        <f t="shared" si="21"/>
        <v>0</v>
      </c>
      <c r="CB73" s="254"/>
      <c r="CC73" s="250"/>
      <c r="CD73" s="250"/>
      <c r="CE73" s="221"/>
      <c r="CF73" s="251"/>
      <c r="CG73" s="246">
        <f t="shared" si="22"/>
        <v>0</v>
      </c>
      <c r="CH73" s="247">
        <f t="shared" si="23"/>
        <v>0</v>
      </c>
      <c r="CI73" s="254"/>
      <c r="CJ73" s="250"/>
      <c r="CK73" s="250"/>
      <c r="CL73" s="250"/>
      <c r="CM73" s="251"/>
      <c r="CN73" s="246">
        <f t="shared" si="24"/>
        <v>0</v>
      </c>
      <c r="CO73" s="247">
        <f t="shared" si="25"/>
        <v>0</v>
      </c>
      <c r="CP73" s="254"/>
      <c r="CQ73" s="250"/>
      <c r="CR73" s="250"/>
      <c r="CS73" s="221"/>
      <c r="CT73" s="251"/>
      <c r="CU73" s="246">
        <f t="shared" si="26"/>
        <v>0</v>
      </c>
      <c r="CV73" s="247">
        <f t="shared" si="27"/>
        <v>0</v>
      </c>
      <c r="CW73" s="254"/>
      <c r="CX73" s="250"/>
      <c r="CY73" s="250"/>
      <c r="CZ73" s="221"/>
      <c r="DA73" s="251"/>
      <c r="DB73" s="246">
        <f t="shared" si="28"/>
        <v>0</v>
      </c>
      <c r="DC73" s="247">
        <f t="shared" si="29"/>
        <v>0</v>
      </c>
      <c r="DD73" s="254"/>
      <c r="DE73" s="250"/>
      <c r="DF73" s="250"/>
      <c r="DG73" s="221"/>
      <c r="DH73" s="251"/>
      <c r="DI73" s="246">
        <f t="shared" si="30"/>
        <v>0</v>
      </c>
      <c r="DJ73" s="255">
        <f t="shared" si="31"/>
        <v>0</v>
      </c>
      <c r="DK73" s="209"/>
      <c r="DL73" s="220"/>
      <c r="DM73" s="221"/>
      <c r="DO73" s="256"/>
      <c r="DP73" s="257"/>
      <c r="DR73" s="258">
        <f t="shared" si="32"/>
        <v>0</v>
      </c>
      <c r="DS73" s="258">
        <f t="shared" si="33"/>
        <v>0</v>
      </c>
      <c r="DT73" s="258">
        <f t="shared" si="34"/>
        <v>0</v>
      </c>
      <c r="DU73" s="258">
        <f t="shared" si="35"/>
        <v>0</v>
      </c>
      <c r="DV73" s="259">
        <f t="shared" si="36"/>
        <v>0</v>
      </c>
      <c r="DW73" s="259">
        <f t="shared" si="37"/>
        <v>0</v>
      </c>
    </row>
    <row r="74" spans="1:127" s="194" customFormat="1" ht="15.75" x14ac:dyDescent="0.2">
      <c r="A74" s="239">
        <v>47</v>
      </c>
      <c r="B74" s="240" t="s">
        <v>1008</v>
      </c>
      <c r="C74" s="276"/>
      <c r="D74" s="271"/>
      <c r="E74" s="272"/>
      <c r="F74" s="244"/>
      <c r="G74" s="245"/>
      <c r="H74" s="246">
        <f t="shared" si="0"/>
        <v>0</v>
      </c>
      <c r="I74" s="247">
        <f t="shared" si="1"/>
        <v>0</v>
      </c>
      <c r="J74" s="254"/>
      <c r="K74" s="250"/>
      <c r="L74" s="250"/>
      <c r="M74" s="221"/>
      <c r="N74" s="251"/>
      <c r="O74" s="246">
        <f t="shared" si="2"/>
        <v>0</v>
      </c>
      <c r="P74" s="247">
        <f t="shared" si="3"/>
        <v>0</v>
      </c>
      <c r="Q74" s="254"/>
      <c r="R74" s="250"/>
      <c r="S74" s="250"/>
      <c r="T74" s="221"/>
      <c r="U74" s="251"/>
      <c r="V74" s="246">
        <f t="shared" si="4"/>
        <v>0</v>
      </c>
      <c r="W74" s="247">
        <f t="shared" si="5"/>
        <v>0</v>
      </c>
      <c r="X74" s="254"/>
      <c r="Y74" s="250"/>
      <c r="Z74" s="250"/>
      <c r="AA74" s="221"/>
      <c r="AB74" s="251"/>
      <c r="AC74" s="246">
        <f t="shared" si="6"/>
        <v>0</v>
      </c>
      <c r="AD74" s="247">
        <f t="shared" si="7"/>
        <v>0</v>
      </c>
      <c r="AE74" s="254"/>
      <c r="AF74" s="273"/>
      <c r="AG74" s="250"/>
      <c r="AH74" s="221"/>
      <c r="AI74" s="251"/>
      <c r="AJ74" s="246">
        <f t="shared" si="8"/>
        <v>0</v>
      </c>
      <c r="AK74" s="247">
        <f t="shared" si="9"/>
        <v>0</v>
      </c>
      <c r="AL74" s="248"/>
      <c r="AM74" s="250"/>
      <c r="AN74" s="253"/>
      <c r="AO74" s="221"/>
      <c r="AP74" s="251" t="s">
        <v>968</v>
      </c>
      <c r="AQ74" s="246">
        <f t="shared" si="10"/>
        <v>0</v>
      </c>
      <c r="AR74" s="247">
        <f t="shared" si="11"/>
        <v>0</v>
      </c>
      <c r="AS74" s="254"/>
      <c r="AT74" s="250"/>
      <c r="AU74" s="250"/>
      <c r="AV74" s="221"/>
      <c r="AW74" s="251"/>
      <c r="AX74" s="246">
        <f t="shared" si="12"/>
        <v>0</v>
      </c>
      <c r="AY74" s="247">
        <f t="shared" si="13"/>
        <v>0</v>
      </c>
      <c r="AZ74" s="254"/>
      <c r="BA74" s="250"/>
      <c r="BB74" s="250"/>
      <c r="BC74" s="221"/>
      <c r="BD74" s="251"/>
      <c r="BE74" s="246">
        <f t="shared" si="14"/>
        <v>0</v>
      </c>
      <c r="BF74" s="247">
        <f t="shared" si="15"/>
        <v>0</v>
      </c>
      <c r="BG74" s="254"/>
      <c r="BH74" s="250"/>
      <c r="BI74" s="250"/>
      <c r="BJ74" s="221"/>
      <c r="BK74" s="251"/>
      <c r="BL74" s="246">
        <f t="shared" si="16"/>
        <v>0</v>
      </c>
      <c r="BM74" s="247">
        <f t="shared" si="17"/>
        <v>0</v>
      </c>
      <c r="BN74" s="254"/>
      <c r="BO74" s="250"/>
      <c r="BP74" s="250"/>
      <c r="BQ74" s="221"/>
      <c r="BR74" s="251"/>
      <c r="BS74" s="246">
        <f t="shared" si="18"/>
        <v>0</v>
      </c>
      <c r="BT74" s="247">
        <f t="shared" si="19"/>
        <v>0</v>
      </c>
      <c r="BU74" s="254"/>
      <c r="BV74" s="250"/>
      <c r="BW74" s="250"/>
      <c r="BX74" s="221"/>
      <c r="BY74" s="251"/>
      <c r="BZ74" s="246">
        <f t="shared" si="20"/>
        <v>0</v>
      </c>
      <c r="CA74" s="247">
        <f t="shared" si="21"/>
        <v>0</v>
      </c>
      <c r="CB74" s="254"/>
      <c r="CC74" s="250"/>
      <c r="CD74" s="250"/>
      <c r="CE74" s="221"/>
      <c r="CF74" s="251"/>
      <c r="CG74" s="246">
        <f t="shared" si="22"/>
        <v>0</v>
      </c>
      <c r="CH74" s="247">
        <f t="shared" si="23"/>
        <v>0</v>
      </c>
      <c r="CI74" s="254"/>
      <c r="CJ74" s="250"/>
      <c r="CK74" s="250"/>
      <c r="CL74" s="250"/>
      <c r="CM74" s="251"/>
      <c r="CN74" s="246">
        <f t="shared" si="24"/>
        <v>0</v>
      </c>
      <c r="CO74" s="247">
        <f t="shared" si="25"/>
        <v>0</v>
      </c>
      <c r="CP74" s="254"/>
      <c r="CQ74" s="250"/>
      <c r="CR74" s="250"/>
      <c r="CS74" s="221"/>
      <c r="CT74" s="251"/>
      <c r="CU74" s="246">
        <f t="shared" si="26"/>
        <v>0</v>
      </c>
      <c r="CV74" s="247">
        <f t="shared" si="27"/>
        <v>0</v>
      </c>
      <c r="CW74" s="254"/>
      <c r="CX74" s="250"/>
      <c r="CY74" s="250"/>
      <c r="CZ74" s="221"/>
      <c r="DA74" s="251"/>
      <c r="DB74" s="246">
        <f t="shared" si="28"/>
        <v>0</v>
      </c>
      <c r="DC74" s="247">
        <f t="shared" si="29"/>
        <v>0</v>
      </c>
      <c r="DD74" s="254"/>
      <c r="DE74" s="250"/>
      <c r="DF74" s="250"/>
      <c r="DG74" s="221"/>
      <c r="DH74" s="251"/>
      <c r="DI74" s="246">
        <f t="shared" si="30"/>
        <v>0</v>
      </c>
      <c r="DJ74" s="255">
        <f t="shared" si="31"/>
        <v>0</v>
      </c>
      <c r="DK74" s="209"/>
      <c r="DL74" s="220"/>
      <c r="DM74" s="221"/>
      <c r="DO74" s="256"/>
      <c r="DP74" s="257"/>
      <c r="DR74" s="258">
        <f t="shared" si="32"/>
        <v>0</v>
      </c>
      <c r="DS74" s="258">
        <f t="shared" si="33"/>
        <v>0</v>
      </c>
      <c r="DT74" s="258">
        <f t="shared" si="34"/>
        <v>0</v>
      </c>
      <c r="DU74" s="258">
        <f t="shared" si="35"/>
        <v>0</v>
      </c>
      <c r="DV74" s="259">
        <f t="shared" si="36"/>
        <v>0</v>
      </c>
      <c r="DW74" s="259">
        <f t="shared" si="37"/>
        <v>0</v>
      </c>
    </row>
    <row r="75" spans="1:127" s="194" customFormat="1" ht="15.75" x14ac:dyDescent="0.2">
      <c r="A75" s="239">
        <v>48</v>
      </c>
      <c r="B75" s="240" t="s">
        <v>1009</v>
      </c>
      <c r="C75" s="276"/>
      <c r="D75" s="271"/>
      <c r="E75" s="272"/>
      <c r="F75" s="244"/>
      <c r="G75" s="245"/>
      <c r="H75" s="246">
        <f t="shared" si="0"/>
        <v>0</v>
      </c>
      <c r="I75" s="247">
        <f t="shared" si="1"/>
        <v>0</v>
      </c>
      <c r="J75" s="254"/>
      <c r="K75" s="250"/>
      <c r="L75" s="250"/>
      <c r="M75" s="221"/>
      <c r="N75" s="251"/>
      <c r="O75" s="246">
        <f t="shared" si="2"/>
        <v>0</v>
      </c>
      <c r="P75" s="247">
        <f t="shared" si="3"/>
        <v>0</v>
      </c>
      <c r="Q75" s="254"/>
      <c r="R75" s="250"/>
      <c r="S75" s="250"/>
      <c r="T75" s="221"/>
      <c r="U75" s="251"/>
      <c r="V75" s="246">
        <f t="shared" si="4"/>
        <v>0</v>
      </c>
      <c r="W75" s="247">
        <f t="shared" si="5"/>
        <v>0</v>
      </c>
      <c r="X75" s="254"/>
      <c r="Y75" s="250"/>
      <c r="Z75" s="250"/>
      <c r="AA75" s="221"/>
      <c r="AB75" s="251"/>
      <c r="AC75" s="246">
        <f t="shared" si="6"/>
        <v>0</v>
      </c>
      <c r="AD75" s="247">
        <f t="shared" si="7"/>
        <v>0</v>
      </c>
      <c r="AE75" s="254"/>
      <c r="AF75" s="273"/>
      <c r="AG75" s="250"/>
      <c r="AH75" s="221"/>
      <c r="AI75" s="251"/>
      <c r="AJ75" s="246">
        <f t="shared" si="8"/>
        <v>0</v>
      </c>
      <c r="AK75" s="247">
        <f t="shared" si="9"/>
        <v>0</v>
      </c>
      <c r="AL75" s="248"/>
      <c r="AM75" s="250"/>
      <c r="AN75" s="253"/>
      <c r="AO75" s="221"/>
      <c r="AP75" s="251" t="s">
        <v>968</v>
      </c>
      <c r="AQ75" s="246">
        <f t="shared" si="10"/>
        <v>0</v>
      </c>
      <c r="AR75" s="247">
        <f t="shared" si="11"/>
        <v>0</v>
      </c>
      <c r="AS75" s="254"/>
      <c r="AT75" s="250"/>
      <c r="AU75" s="250"/>
      <c r="AV75" s="221"/>
      <c r="AW75" s="251"/>
      <c r="AX75" s="246">
        <f t="shared" si="12"/>
        <v>0</v>
      </c>
      <c r="AY75" s="247">
        <f t="shared" si="13"/>
        <v>0</v>
      </c>
      <c r="AZ75" s="254"/>
      <c r="BA75" s="250"/>
      <c r="BB75" s="250"/>
      <c r="BC75" s="221"/>
      <c r="BD75" s="251"/>
      <c r="BE75" s="246">
        <f t="shared" si="14"/>
        <v>0</v>
      </c>
      <c r="BF75" s="247">
        <f t="shared" si="15"/>
        <v>0</v>
      </c>
      <c r="BG75" s="254"/>
      <c r="BH75" s="250"/>
      <c r="BI75" s="250"/>
      <c r="BJ75" s="221"/>
      <c r="BK75" s="251"/>
      <c r="BL75" s="246">
        <f t="shared" si="16"/>
        <v>0</v>
      </c>
      <c r="BM75" s="247">
        <f t="shared" si="17"/>
        <v>0</v>
      </c>
      <c r="BN75" s="254"/>
      <c r="BO75" s="250"/>
      <c r="BP75" s="250"/>
      <c r="BQ75" s="221"/>
      <c r="BR75" s="251"/>
      <c r="BS75" s="246">
        <f t="shared" si="18"/>
        <v>0</v>
      </c>
      <c r="BT75" s="247">
        <f t="shared" si="19"/>
        <v>0</v>
      </c>
      <c r="BU75" s="254"/>
      <c r="BV75" s="250"/>
      <c r="BW75" s="250"/>
      <c r="BX75" s="221"/>
      <c r="BY75" s="251"/>
      <c r="BZ75" s="246">
        <f t="shared" si="20"/>
        <v>0</v>
      </c>
      <c r="CA75" s="247">
        <f t="shared" si="21"/>
        <v>0</v>
      </c>
      <c r="CB75" s="254"/>
      <c r="CC75" s="250"/>
      <c r="CD75" s="250"/>
      <c r="CE75" s="221"/>
      <c r="CF75" s="251"/>
      <c r="CG75" s="246">
        <f t="shared" si="22"/>
        <v>0</v>
      </c>
      <c r="CH75" s="247">
        <f t="shared" si="23"/>
        <v>0</v>
      </c>
      <c r="CI75" s="254"/>
      <c r="CJ75" s="250"/>
      <c r="CK75" s="250"/>
      <c r="CL75" s="250"/>
      <c r="CM75" s="251"/>
      <c r="CN75" s="246">
        <f t="shared" si="24"/>
        <v>0</v>
      </c>
      <c r="CO75" s="247">
        <f t="shared" si="25"/>
        <v>0</v>
      </c>
      <c r="CP75" s="254"/>
      <c r="CQ75" s="250"/>
      <c r="CR75" s="250"/>
      <c r="CS75" s="221"/>
      <c r="CT75" s="251"/>
      <c r="CU75" s="246">
        <f t="shared" si="26"/>
        <v>0</v>
      </c>
      <c r="CV75" s="247">
        <f t="shared" si="27"/>
        <v>0</v>
      </c>
      <c r="CW75" s="254"/>
      <c r="CX75" s="250"/>
      <c r="CY75" s="250"/>
      <c r="CZ75" s="221"/>
      <c r="DA75" s="251"/>
      <c r="DB75" s="246">
        <f t="shared" si="28"/>
        <v>0</v>
      </c>
      <c r="DC75" s="247">
        <f t="shared" si="29"/>
        <v>0</v>
      </c>
      <c r="DD75" s="254"/>
      <c r="DE75" s="250"/>
      <c r="DF75" s="250"/>
      <c r="DG75" s="221"/>
      <c r="DH75" s="251"/>
      <c r="DI75" s="246">
        <f t="shared" si="30"/>
        <v>0</v>
      </c>
      <c r="DJ75" s="255">
        <f t="shared" si="31"/>
        <v>0</v>
      </c>
      <c r="DK75" s="209"/>
      <c r="DL75" s="220"/>
      <c r="DM75" s="221"/>
      <c r="DO75" s="256"/>
      <c r="DP75" s="257"/>
      <c r="DR75" s="258">
        <f t="shared" si="32"/>
        <v>0</v>
      </c>
      <c r="DS75" s="258">
        <f t="shared" si="33"/>
        <v>0</v>
      </c>
      <c r="DT75" s="258">
        <f t="shared" si="34"/>
        <v>0</v>
      </c>
      <c r="DU75" s="258">
        <f t="shared" si="35"/>
        <v>0</v>
      </c>
      <c r="DV75" s="259">
        <f t="shared" si="36"/>
        <v>0</v>
      </c>
      <c r="DW75" s="259">
        <f t="shared" si="37"/>
        <v>0</v>
      </c>
    </row>
    <row r="76" spans="1:127" s="194" customFormat="1" ht="15.75" x14ac:dyDescent="0.2">
      <c r="A76" s="239">
        <v>49</v>
      </c>
      <c r="B76" s="240" t="s">
        <v>1010</v>
      </c>
      <c r="C76" s="276"/>
      <c r="D76" s="271"/>
      <c r="E76" s="272"/>
      <c r="F76" s="244"/>
      <c r="G76" s="245"/>
      <c r="H76" s="246">
        <f t="shared" si="0"/>
        <v>0</v>
      </c>
      <c r="I76" s="247">
        <f t="shared" si="1"/>
        <v>0</v>
      </c>
      <c r="J76" s="254"/>
      <c r="K76" s="250"/>
      <c r="L76" s="250"/>
      <c r="M76" s="221"/>
      <c r="N76" s="251"/>
      <c r="O76" s="246">
        <f t="shared" si="2"/>
        <v>0</v>
      </c>
      <c r="P76" s="247">
        <f t="shared" si="3"/>
        <v>0</v>
      </c>
      <c r="Q76" s="254"/>
      <c r="R76" s="250"/>
      <c r="S76" s="250"/>
      <c r="T76" s="221"/>
      <c r="U76" s="251"/>
      <c r="V76" s="246">
        <f t="shared" si="4"/>
        <v>0</v>
      </c>
      <c r="W76" s="247">
        <f t="shared" si="5"/>
        <v>0</v>
      </c>
      <c r="X76" s="254"/>
      <c r="Y76" s="250"/>
      <c r="Z76" s="250"/>
      <c r="AA76" s="221"/>
      <c r="AB76" s="251"/>
      <c r="AC76" s="246">
        <f t="shared" si="6"/>
        <v>0</v>
      </c>
      <c r="AD76" s="247">
        <f t="shared" si="7"/>
        <v>0</v>
      </c>
      <c r="AE76" s="254"/>
      <c r="AF76" s="273"/>
      <c r="AG76" s="250"/>
      <c r="AH76" s="221"/>
      <c r="AI76" s="251"/>
      <c r="AJ76" s="246">
        <f t="shared" si="8"/>
        <v>0</v>
      </c>
      <c r="AK76" s="247">
        <f t="shared" si="9"/>
        <v>0</v>
      </c>
      <c r="AL76" s="248"/>
      <c r="AM76" s="252"/>
      <c r="AN76" s="250"/>
      <c r="AO76" s="221"/>
      <c r="AP76" s="251" t="s">
        <v>968</v>
      </c>
      <c r="AQ76" s="246">
        <f t="shared" si="10"/>
        <v>0</v>
      </c>
      <c r="AR76" s="247">
        <f t="shared" si="11"/>
        <v>0</v>
      </c>
      <c r="AS76" s="254"/>
      <c r="AT76" s="250"/>
      <c r="AU76" s="250"/>
      <c r="AV76" s="221"/>
      <c r="AW76" s="251"/>
      <c r="AX76" s="246">
        <f t="shared" si="12"/>
        <v>0</v>
      </c>
      <c r="AY76" s="247">
        <f t="shared" si="13"/>
        <v>0</v>
      </c>
      <c r="AZ76" s="254"/>
      <c r="BA76" s="250"/>
      <c r="BB76" s="250"/>
      <c r="BC76" s="221"/>
      <c r="BD76" s="251"/>
      <c r="BE76" s="246">
        <f t="shared" si="14"/>
        <v>0</v>
      </c>
      <c r="BF76" s="247">
        <f t="shared" si="15"/>
        <v>0</v>
      </c>
      <c r="BG76" s="254"/>
      <c r="BH76" s="250"/>
      <c r="BI76" s="250"/>
      <c r="BJ76" s="221"/>
      <c r="BK76" s="251"/>
      <c r="BL76" s="246">
        <f t="shared" si="16"/>
        <v>0</v>
      </c>
      <c r="BM76" s="247">
        <f t="shared" si="17"/>
        <v>0</v>
      </c>
      <c r="BN76" s="254"/>
      <c r="BO76" s="250"/>
      <c r="BP76" s="250"/>
      <c r="BQ76" s="221"/>
      <c r="BR76" s="251"/>
      <c r="BS76" s="246">
        <f t="shared" si="18"/>
        <v>0</v>
      </c>
      <c r="BT76" s="247">
        <f t="shared" si="19"/>
        <v>0</v>
      </c>
      <c r="BU76" s="254"/>
      <c r="BV76" s="250"/>
      <c r="BW76" s="250"/>
      <c r="BX76" s="221"/>
      <c r="BY76" s="251"/>
      <c r="BZ76" s="246">
        <f t="shared" si="20"/>
        <v>0</v>
      </c>
      <c r="CA76" s="247">
        <f t="shared" si="21"/>
        <v>0</v>
      </c>
      <c r="CB76" s="254"/>
      <c r="CC76" s="250"/>
      <c r="CD76" s="250"/>
      <c r="CE76" s="221"/>
      <c r="CF76" s="251"/>
      <c r="CG76" s="246">
        <f t="shared" si="22"/>
        <v>0</v>
      </c>
      <c r="CH76" s="247">
        <f t="shared" si="23"/>
        <v>0</v>
      </c>
      <c r="CI76" s="254"/>
      <c r="CJ76" s="250"/>
      <c r="CK76" s="250"/>
      <c r="CL76" s="250"/>
      <c r="CM76" s="251"/>
      <c r="CN76" s="246">
        <f t="shared" si="24"/>
        <v>0</v>
      </c>
      <c r="CO76" s="247">
        <f t="shared" si="25"/>
        <v>0</v>
      </c>
      <c r="CP76" s="254"/>
      <c r="CQ76" s="250"/>
      <c r="CR76" s="250"/>
      <c r="CS76" s="221"/>
      <c r="CT76" s="251"/>
      <c r="CU76" s="246">
        <f t="shared" si="26"/>
        <v>0</v>
      </c>
      <c r="CV76" s="247">
        <f t="shared" si="27"/>
        <v>0</v>
      </c>
      <c r="CW76" s="254"/>
      <c r="CX76" s="250"/>
      <c r="CY76" s="250"/>
      <c r="CZ76" s="221"/>
      <c r="DA76" s="251"/>
      <c r="DB76" s="246">
        <f t="shared" si="28"/>
        <v>0</v>
      </c>
      <c r="DC76" s="247">
        <f t="shared" si="29"/>
        <v>0</v>
      </c>
      <c r="DD76" s="254"/>
      <c r="DE76" s="250"/>
      <c r="DF76" s="250"/>
      <c r="DG76" s="221"/>
      <c r="DH76" s="251"/>
      <c r="DI76" s="246">
        <f t="shared" si="30"/>
        <v>0</v>
      </c>
      <c r="DJ76" s="255">
        <f t="shared" si="31"/>
        <v>0</v>
      </c>
      <c r="DK76" s="209"/>
      <c r="DL76" s="220"/>
      <c r="DM76" s="221"/>
      <c r="DO76" s="256"/>
      <c r="DP76" s="257"/>
      <c r="DR76" s="258">
        <f t="shared" si="32"/>
        <v>0</v>
      </c>
      <c r="DS76" s="258">
        <f t="shared" si="33"/>
        <v>0</v>
      </c>
      <c r="DT76" s="258">
        <f t="shared" si="34"/>
        <v>0</v>
      </c>
      <c r="DU76" s="258">
        <f t="shared" si="35"/>
        <v>0</v>
      </c>
      <c r="DV76" s="259">
        <f t="shared" si="36"/>
        <v>0</v>
      </c>
      <c r="DW76" s="259">
        <f t="shared" si="37"/>
        <v>0</v>
      </c>
    </row>
    <row r="77" spans="1:127" s="194" customFormat="1" ht="15.75" x14ac:dyDescent="0.2">
      <c r="A77" s="239">
        <v>50</v>
      </c>
      <c r="B77" s="240" t="s">
        <v>1011</v>
      </c>
      <c r="C77" s="276"/>
      <c r="D77" s="271"/>
      <c r="E77" s="272"/>
      <c r="F77" s="244"/>
      <c r="G77" s="245"/>
      <c r="H77" s="246">
        <f t="shared" si="0"/>
        <v>0</v>
      </c>
      <c r="I77" s="247">
        <f t="shared" si="1"/>
        <v>0</v>
      </c>
      <c r="J77" s="254"/>
      <c r="K77" s="250"/>
      <c r="L77" s="250"/>
      <c r="M77" s="221"/>
      <c r="N77" s="251"/>
      <c r="O77" s="246">
        <f t="shared" si="2"/>
        <v>0</v>
      </c>
      <c r="P77" s="247">
        <f t="shared" si="3"/>
        <v>0</v>
      </c>
      <c r="Q77" s="254"/>
      <c r="R77" s="250"/>
      <c r="S77" s="250"/>
      <c r="T77" s="221"/>
      <c r="U77" s="251"/>
      <c r="V77" s="246">
        <f t="shared" si="4"/>
        <v>0</v>
      </c>
      <c r="W77" s="247">
        <f t="shared" si="5"/>
        <v>0</v>
      </c>
      <c r="X77" s="254"/>
      <c r="Y77" s="250"/>
      <c r="Z77" s="250"/>
      <c r="AA77" s="221"/>
      <c r="AB77" s="251"/>
      <c r="AC77" s="246">
        <f t="shared" si="6"/>
        <v>0</v>
      </c>
      <c r="AD77" s="247">
        <f t="shared" si="7"/>
        <v>0</v>
      </c>
      <c r="AE77" s="254"/>
      <c r="AF77" s="273"/>
      <c r="AG77" s="250"/>
      <c r="AH77" s="221"/>
      <c r="AI77" s="251"/>
      <c r="AJ77" s="246">
        <f t="shared" si="8"/>
        <v>0</v>
      </c>
      <c r="AK77" s="247">
        <f t="shared" si="9"/>
        <v>0</v>
      </c>
      <c r="AL77" s="248"/>
      <c r="AM77" s="250"/>
      <c r="AN77" s="250"/>
      <c r="AO77" s="266"/>
      <c r="AP77" s="251" t="s">
        <v>968</v>
      </c>
      <c r="AQ77" s="246">
        <f t="shared" si="10"/>
        <v>0</v>
      </c>
      <c r="AR77" s="247">
        <f t="shared" si="11"/>
        <v>0</v>
      </c>
      <c r="AS77" s="254"/>
      <c r="AT77" s="250"/>
      <c r="AU77" s="250"/>
      <c r="AV77" s="221"/>
      <c r="AW77" s="251"/>
      <c r="AX77" s="246">
        <f t="shared" si="12"/>
        <v>0</v>
      </c>
      <c r="AY77" s="247">
        <f t="shared" si="13"/>
        <v>0</v>
      </c>
      <c r="AZ77" s="254"/>
      <c r="BA77" s="250"/>
      <c r="BB77" s="250"/>
      <c r="BC77" s="221"/>
      <c r="BD77" s="251"/>
      <c r="BE77" s="246">
        <f t="shared" si="14"/>
        <v>0</v>
      </c>
      <c r="BF77" s="247">
        <f t="shared" si="15"/>
        <v>0</v>
      </c>
      <c r="BG77" s="254"/>
      <c r="BH77" s="250"/>
      <c r="BI77" s="250"/>
      <c r="BJ77" s="221"/>
      <c r="BK77" s="251"/>
      <c r="BL77" s="246">
        <f t="shared" si="16"/>
        <v>0</v>
      </c>
      <c r="BM77" s="247">
        <f t="shared" si="17"/>
        <v>0</v>
      </c>
      <c r="BN77" s="254"/>
      <c r="BO77" s="250"/>
      <c r="BP77" s="250"/>
      <c r="BQ77" s="221"/>
      <c r="BR77" s="251"/>
      <c r="BS77" s="246">
        <f t="shared" si="18"/>
        <v>0</v>
      </c>
      <c r="BT77" s="247">
        <f t="shared" si="19"/>
        <v>0</v>
      </c>
      <c r="BU77" s="254"/>
      <c r="BV77" s="250"/>
      <c r="BW77" s="250"/>
      <c r="BX77" s="221"/>
      <c r="BY77" s="251"/>
      <c r="BZ77" s="246">
        <f t="shared" si="20"/>
        <v>0</v>
      </c>
      <c r="CA77" s="247">
        <f t="shared" si="21"/>
        <v>0</v>
      </c>
      <c r="CB77" s="254"/>
      <c r="CC77" s="250"/>
      <c r="CD77" s="250"/>
      <c r="CE77" s="221"/>
      <c r="CF77" s="251"/>
      <c r="CG77" s="246">
        <f t="shared" si="22"/>
        <v>0</v>
      </c>
      <c r="CH77" s="247">
        <f t="shared" si="23"/>
        <v>0</v>
      </c>
      <c r="CI77" s="254"/>
      <c r="CJ77" s="250"/>
      <c r="CK77" s="250"/>
      <c r="CL77" s="250"/>
      <c r="CM77" s="251"/>
      <c r="CN77" s="246">
        <f t="shared" si="24"/>
        <v>0</v>
      </c>
      <c r="CO77" s="247">
        <f t="shared" si="25"/>
        <v>0</v>
      </c>
      <c r="CP77" s="254"/>
      <c r="CQ77" s="250"/>
      <c r="CR77" s="250"/>
      <c r="CS77" s="221"/>
      <c r="CT77" s="251"/>
      <c r="CU77" s="246">
        <f t="shared" si="26"/>
        <v>0</v>
      </c>
      <c r="CV77" s="247">
        <f t="shared" si="27"/>
        <v>0</v>
      </c>
      <c r="CW77" s="254"/>
      <c r="CX77" s="250"/>
      <c r="CY77" s="250"/>
      <c r="CZ77" s="221"/>
      <c r="DA77" s="251"/>
      <c r="DB77" s="246">
        <f t="shared" si="28"/>
        <v>0</v>
      </c>
      <c r="DC77" s="247">
        <f t="shared" si="29"/>
        <v>0</v>
      </c>
      <c r="DD77" s="254"/>
      <c r="DE77" s="250"/>
      <c r="DF77" s="250"/>
      <c r="DG77" s="221"/>
      <c r="DH77" s="251"/>
      <c r="DI77" s="246">
        <f t="shared" si="30"/>
        <v>0</v>
      </c>
      <c r="DJ77" s="255">
        <f t="shared" si="31"/>
        <v>0</v>
      </c>
      <c r="DK77" s="209"/>
      <c r="DL77" s="220"/>
      <c r="DM77" s="221"/>
      <c r="DO77" s="256"/>
      <c r="DP77" s="257"/>
      <c r="DR77" s="258">
        <f t="shared" si="32"/>
        <v>0</v>
      </c>
      <c r="DS77" s="258">
        <f t="shared" si="33"/>
        <v>0</v>
      </c>
      <c r="DT77" s="258">
        <f t="shared" si="34"/>
        <v>0</v>
      </c>
      <c r="DU77" s="258">
        <f t="shared" si="35"/>
        <v>0</v>
      </c>
      <c r="DV77" s="259">
        <f t="shared" si="36"/>
        <v>0</v>
      </c>
      <c r="DW77" s="259">
        <f t="shared" si="37"/>
        <v>0</v>
      </c>
    </row>
    <row r="78" spans="1:127" s="194" customFormat="1" ht="15.75" x14ac:dyDescent="0.2">
      <c r="A78" s="239">
        <v>51</v>
      </c>
      <c r="B78" s="240" t="s">
        <v>198</v>
      </c>
      <c r="C78" s="276"/>
      <c r="D78" s="271"/>
      <c r="E78" s="272"/>
      <c r="F78" s="244"/>
      <c r="G78" s="245"/>
      <c r="H78" s="246">
        <f t="shared" si="0"/>
        <v>0</v>
      </c>
      <c r="I78" s="247">
        <f t="shared" si="1"/>
        <v>0</v>
      </c>
      <c r="J78" s="254"/>
      <c r="K78" s="250"/>
      <c r="L78" s="250"/>
      <c r="M78" s="221"/>
      <c r="N78" s="251"/>
      <c r="O78" s="246">
        <f t="shared" si="2"/>
        <v>0</v>
      </c>
      <c r="P78" s="247">
        <f t="shared" si="3"/>
        <v>0</v>
      </c>
      <c r="Q78" s="254"/>
      <c r="R78" s="250"/>
      <c r="S78" s="250"/>
      <c r="T78" s="221"/>
      <c r="U78" s="251"/>
      <c r="V78" s="246">
        <f t="shared" si="4"/>
        <v>0</v>
      </c>
      <c r="W78" s="247">
        <f t="shared" si="5"/>
        <v>0</v>
      </c>
      <c r="X78" s="254"/>
      <c r="Y78" s="250"/>
      <c r="Z78" s="250"/>
      <c r="AA78" s="221"/>
      <c r="AB78" s="251"/>
      <c r="AC78" s="246">
        <f t="shared" si="6"/>
        <v>0</v>
      </c>
      <c r="AD78" s="247">
        <f t="shared" si="7"/>
        <v>0</v>
      </c>
      <c r="AE78" s="254"/>
      <c r="AF78" s="273"/>
      <c r="AG78" s="250"/>
      <c r="AH78" s="221"/>
      <c r="AI78" s="251"/>
      <c r="AJ78" s="246">
        <f t="shared" si="8"/>
        <v>0</v>
      </c>
      <c r="AK78" s="247">
        <f t="shared" si="9"/>
        <v>0</v>
      </c>
      <c r="AL78" s="248"/>
      <c r="AM78" s="250"/>
      <c r="AN78" s="250"/>
      <c r="AO78" s="266"/>
      <c r="AP78" s="251" t="s">
        <v>968</v>
      </c>
      <c r="AQ78" s="246">
        <f t="shared" si="10"/>
        <v>0</v>
      </c>
      <c r="AR78" s="247">
        <f t="shared" si="11"/>
        <v>0</v>
      </c>
      <c r="AS78" s="254"/>
      <c r="AT78" s="250"/>
      <c r="AU78" s="250"/>
      <c r="AV78" s="221"/>
      <c r="AW78" s="251"/>
      <c r="AX78" s="246">
        <f t="shared" si="12"/>
        <v>0</v>
      </c>
      <c r="AY78" s="247">
        <f t="shared" si="13"/>
        <v>0</v>
      </c>
      <c r="AZ78" s="254"/>
      <c r="BA78" s="250"/>
      <c r="BB78" s="250"/>
      <c r="BC78" s="221"/>
      <c r="BD78" s="251"/>
      <c r="BE78" s="246">
        <f t="shared" si="14"/>
        <v>0</v>
      </c>
      <c r="BF78" s="247">
        <f t="shared" si="15"/>
        <v>0</v>
      </c>
      <c r="BG78" s="254"/>
      <c r="BH78" s="250"/>
      <c r="BI78" s="250"/>
      <c r="BJ78" s="221"/>
      <c r="BK78" s="251"/>
      <c r="BL78" s="246">
        <f t="shared" si="16"/>
        <v>0</v>
      </c>
      <c r="BM78" s="247">
        <f t="shared" si="17"/>
        <v>0</v>
      </c>
      <c r="BN78" s="254"/>
      <c r="BO78" s="250"/>
      <c r="BP78" s="250"/>
      <c r="BQ78" s="221"/>
      <c r="BR78" s="251"/>
      <c r="BS78" s="246">
        <f t="shared" si="18"/>
        <v>0</v>
      </c>
      <c r="BT78" s="247">
        <f t="shared" si="19"/>
        <v>0</v>
      </c>
      <c r="BU78" s="254"/>
      <c r="BV78" s="250"/>
      <c r="BW78" s="250"/>
      <c r="BX78" s="221"/>
      <c r="BY78" s="251"/>
      <c r="BZ78" s="246">
        <f t="shared" si="20"/>
        <v>0</v>
      </c>
      <c r="CA78" s="247">
        <f t="shared" si="21"/>
        <v>0</v>
      </c>
      <c r="CB78" s="254"/>
      <c r="CC78" s="250"/>
      <c r="CD78" s="250"/>
      <c r="CE78" s="221"/>
      <c r="CF78" s="251"/>
      <c r="CG78" s="246">
        <f t="shared" si="22"/>
        <v>0</v>
      </c>
      <c r="CH78" s="247">
        <f t="shared" si="23"/>
        <v>0</v>
      </c>
      <c r="CI78" s="254"/>
      <c r="CJ78" s="250"/>
      <c r="CK78" s="250"/>
      <c r="CL78" s="250"/>
      <c r="CM78" s="251"/>
      <c r="CN78" s="246">
        <f t="shared" si="24"/>
        <v>0</v>
      </c>
      <c r="CO78" s="247">
        <f t="shared" si="25"/>
        <v>0</v>
      </c>
      <c r="CP78" s="254"/>
      <c r="CQ78" s="250"/>
      <c r="CR78" s="250"/>
      <c r="CS78" s="221"/>
      <c r="CT78" s="251"/>
      <c r="CU78" s="246">
        <f t="shared" si="26"/>
        <v>0</v>
      </c>
      <c r="CV78" s="247">
        <f t="shared" si="27"/>
        <v>0</v>
      </c>
      <c r="CW78" s="254"/>
      <c r="CX78" s="250"/>
      <c r="CY78" s="250"/>
      <c r="CZ78" s="221"/>
      <c r="DA78" s="251"/>
      <c r="DB78" s="246">
        <f t="shared" si="28"/>
        <v>0</v>
      </c>
      <c r="DC78" s="247">
        <f t="shared" si="29"/>
        <v>0</v>
      </c>
      <c r="DD78" s="254"/>
      <c r="DE78" s="250"/>
      <c r="DF78" s="250"/>
      <c r="DG78" s="221"/>
      <c r="DH78" s="251"/>
      <c r="DI78" s="246">
        <f t="shared" si="30"/>
        <v>0</v>
      </c>
      <c r="DJ78" s="255">
        <f t="shared" si="31"/>
        <v>0</v>
      </c>
      <c r="DK78" s="209"/>
      <c r="DL78" s="220"/>
      <c r="DM78" s="221"/>
      <c r="DO78" s="256"/>
      <c r="DP78" s="257"/>
      <c r="DR78" s="258">
        <f t="shared" si="32"/>
        <v>0</v>
      </c>
      <c r="DS78" s="258">
        <f t="shared" si="33"/>
        <v>0</v>
      </c>
      <c r="DT78" s="258">
        <f t="shared" si="34"/>
        <v>0</v>
      </c>
      <c r="DU78" s="258">
        <f t="shared" si="35"/>
        <v>0</v>
      </c>
      <c r="DV78" s="259">
        <f t="shared" si="36"/>
        <v>0</v>
      </c>
      <c r="DW78" s="259">
        <f t="shared" si="37"/>
        <v>0</v>
      </c>
    </row>
    <row r="79" spans="1:127" s="194" customFormat="1" ht="15.75" x14ac:dyDescent="0.2">
      <c r="A79" s="239">
        <v>52</v>
      </c>
      <c r="B79" s="240" t="s">
        <v>1012</v>
      </c>
      <c r="C79" s="276"/>
      <c r="D79" s="271"/>
      <c r="E79" s="272"/>
      <c r="F79" s="244"/>
      <c r="G79" s="245"/>
      <c r="H79" s="246">
        <f t="shared" si="0"/>
        <v>0</v>
      </c>
      <c r="I79" s="247">
        <f t="shared" si="1"/>
        <v>0</v>
      </c>
      <c r="J79" s="254"/>
      <c r="K79" s="250"/>
      <c r="L79" s="250"/>
      <c r="M79" s="221"/>
      <c r="N79" s="251"/>
      <c r="O79" s="246">
        <f t="shared" si="2"/>
        <v>0</v>
      </c>
      <c r="P79" s="247">
        <f t="shared" si="3"/>
        <v>0</v>
      </c>
      <c r="Q79" s="254"/>
      <c r="R79" s="250"/>
      <c r="S79" s="250"/>
      <c r="T79" s="221"/>
      <c r="U79" s="251"/>
      <c r="V79" s="246">
        <f t="shared" si="4"/>
        <v>0</v>
      </c>
      <c r="W79" s="247">
        <f t="shared" si="5"/>
        <v>0</v>
      </c>
      <c r="X79" s="254"/>
      <c r="Y79" s="250"/>
      <c r="Z79" s="250"/>
      <c r="AA79" s="221"/>
      <c r="AB79" s="251"/>
      <c r="AC79" s="246">
        <f t="shared" si="6"/>
        <v>0</v>
      </c>
      <c r="AD79" s="247">
        <f t="shared" si="7"/>
        <v>0</v>
      </c>
      <c r="AE79" s="254"/>
      <c r="AF79" s="273"/>
      <c r="AG79" s="250"/>
      <c r="AH79" s="221"/>
      <c r="AI79" s="251"/>
      <c r="AJ79" s="246">
        <f t="shared" si="8"/>
        <v>0</v>
      </c>
      <c r="AK79" s="247">
        <f t="shared" si="9"/>
        <v>0</v>
      </c>
      <c r="AL79" s="248"/>
      <c r="AM79" s="250"/>
      <c r="AN79" s="250"/>
      <c r="AO79" s="266"/>
      <c r="AP79" s="251" t="s">
        <v>968</v>
      </c>
      <c r="AQ79" s="246">
        <f t="shared" si="10"/>
        <v>0</v>
      </c>
      <c r="AR79" s="247">
        <f t="shared" si="11"/>
        <v>0</v>
      </c>
      <c r="AS79" s="254"/>
      <c r="AT79" s="250"/>
      <c r="AU79" s="250"/>
      <c r="AV79" s="221"/>
      <c r="AW79" s="251"/>
      <c r="AX79" s="246">
        <f t="shared" si="12"/>
        <v>0</v>
      </c>
      <c r="AY79" s="247">
        <f t="shared" si="13"/>
        <v>0</v>
      </c>
      <c r="AZ79" s="254"/>
      <c r="BA79" s="250"/>
      <c r="BB79" s="250"/>
      <c r="BC79" s="221"/>
      <c r="BD79" s="251"/>
      <c r="BE79" s="246">
        <f t="shared" si="14"/>
        <v>0</v>
      </c>
      <c r="BF79" s="247">
        <f t="shared" si="15"/>
        <v>0</v>
      </c>
      <c r="BG79" s="254"/>
      <c r="BH79" s="250"/>
      <c r="BI79" s="250"/>
      <c r="BJ79" s="221"/>
      <c r="BK79" s="251"/>
      <c r="BL79" s="246">
        <f t="shared" si="16"/>
        <v>0</v>
      </c>
      <c r="BM79" s="247">
        <f t="shared" si="17"/>
        <v>0</v>
      </c>
      <c r="BN79" s="254"/>
      <c r="BO79" s="250"/>
      <c r="BP79" s="250"/>
      <c r="BQ79" s="221"/>
      <c r="BR79" s="251"/>
      <c r="BS79" s="246">
        <f t="shared" si="18"/>
        <v>0</v>
      </c>
      <c r="BT79" s="247">
        <f t="shared" si="19"/>
        <v>0</v>
      </c>
      <c r="BU79" s="254"/>
      <c r="BV79" s="250"/>
      <c r="BW79" s="250"/>
      <c r="BX79" s="221"/>
      <c r="BY79" s="251"/>
      <c r="BZ79" s="246">
        <f t="shared" si="20"/>
        <v>0</v>
      </c>
      <c r="CA79" s="247">
        <f t="shared" si="21"/>
        <v>0</v>
      </c>
      <c r="CB79" s="254"/>
      <c r="CC79" s="250"/>
      <c r="CD79" s="250"/>
      <c r="CE79" s="221"/>
      <c r="CF79" s="251"/>
      <c r="CG79" s="246">
        <f t="shared" si="22"/>
        <v>0</v>
      </c>
      <c r="CH79" s="247">
        <f t="shared" si="23"/>
        <v>0</v>
      </c>
      <c r="CI79" s="254"/>
      <c r="CJ79" s="250"/>
      <c r="CK79" s="250"/>
      <c r="CL79" s="250"/>
      <c r="CM79" s="251"/>
      <c r="CN79" s="246">
        <f t="shared" si="24"/>
        <v>0</v>
      </c>
      <c r="CO79" s="247">
        <f t="shared" si="25"/>
        <v>0</v>
      </c>
      <c r="CP79" s="254"/>
      <c r="CQ79" s="250"/>
      <c r="CR79" s="250"/>
      <c r="CS79" s="221"/>
      <c r="CT79" s="251"/>
      <c r="CU79" s="246">
        <f t="shared" si="26"/>
        <v>0</v>
      </c>
      <c r="CV79" s="247">
        <f t="shared" si="27"/>
        <v>0</v>
      </c>
      <c r="CW79" s="254"/>
      <c r="CX79" s="250"/>
      <c r="CY79" s="250"/>
      <c r="CZ79" s="221"/>
      <c r="DA79" s="251"/>
      <c r="DB79" s="246">
        <f t="shared" si="28"/>
        <v>0</v>
      </c>
      <c r="DC79" s="247">
        <f t="shared" si="29"/>
        <v>0</v>
      </c>
      <c r="DD79" s="254"/>
      <c r="DE79" s="250"/>
      <c r="DF79" s="250"/>
      <c r="DG79" s="221"/>
      <c r="DH79" s="251"/>
      <c r="DI79" s="246">
        <f t="shared" si="30"/>
        <v>0</v>
      </c>
      <c r="DJ79" s="255">
        <f t="shared" si="31"/>
        <v>0</v>
      </c>
      <c r="DK79" s="209"/>
      <c r="DL79" s="220"/>
      <c r="DM79" s="221"/>
      <c r="DO79" s="256"/>
      <c r="DP79" s="257"/>
      <c r="DR79" s="258">
        <f t="shared" si="32"/>
        <v>0</v>
      </c>
      <c r="DS79" s="258">
        <f t="shared" si="33"/>
        <v>0</v>
      </c>
      <c r="DT79" s="258">
        <f t="shared" si="34"/>
        <v>0</v>
      </c>
      <c r="DU79" s="258">
        <f t="shared" si="35"/>
        <v>0</v>
      </c>
      <c r="DV79" s="259">
        <f t="shared" si="36"/>
        <v>0</v>
      </c>
      <c r="DW79" s="259">
        <f t="shared" si="37"/>
        <v>0</v>
      </c>
    </row>
    <row r="80" spans="1:127" s="194" customFormat="1" ht="15.75" x14ac:dyDescent="0.2">
      <c r="A80" s="239">
        <v>53</v>
      </c>
      <c r="B80" s="282" t="s">
        <v>1013</v>
      </c>
      <c r="C80" s="276"/>
      <c r="D80" s="271"/>
      <c r="E80" s="272"/>
      <c r="F80" s="244"/>
      <c r="G80" s="245"/>
      <c r="H80" s="246">
        <f t="shared" si="0"/>
        <v>0</v>
      </c>
      <c r="I80" s="247">
        <f t="shared" si="1"/>
        <v>0</v>
      </c>
      <c r="J80" s="254"/>
      <c r="K80" s="250"/>
      <c r="L80" s="250"/>
      <c r="M80" s="221"/>
      <c r="N80" s="251"/>
      <c r="O80" s="246">
        <f t="shared" si="2"/>
        <v>0</v>
      </c>
      <c r="P80" s="247">
        <f t="shared" si="3"/>
        <v>0</v>
      </c>
      <c r="Q80" s="254"/>
      <c r="R80" s="250"/>
      <c r="S80" s="250"/>
      <c r="T80" s="221"/>
      <c r="U80" s="251"/>
      <c r="V80" s="246">
        <f t="shared" si="4"/>
        <v>0</v>
      </c>
      <c r="W80" s="247">
        <f t="shared" si="5"/>
        <v>0</v>
      </c>
      <c r="X80" s="254"/>
      <c r="Y80" s="250"/>
      <c r="Z80" s="250"/>
      <c r="AA80" s="221"/>
      <c r="AB80" s="251"/>
      <c r="AC80" s="246">
        <f t="shared" si="6"/>
        <v>0</v>
      </c>
      <c r="AD80" s="247">
        <f t="shared" si="7"/>
        <v>0</v>
      </c>
      <c r="AE80" s="254"/>
      <c r="AF80" s="273"/>
      <c r="AG80" s="250"/>
      <c r="AH80" s="221"/>
      <c r="AI80" s="251"/>
      <c r="AJ80" s="246">
        <f t="shared" si="8"/>
        <v>0</v>
      </c>
      <c r="AK80" s="247">
        <f t="shared" si="9"/>
        <v>0</v>
      </c>
      <c r="AL80" s="254"/>
      <c r="AM80" s="250"/>
      <c r="AN80" s="250"/>
      <c r="AO80" s="221"/>
      <c r="AP80" s="251"/>
      <c r="AQ80" s="246">
        <f t="shared" si="10"/>
        <v>0</v>
      </c>
      <c r="AR80" s="247">
        <f t="shared" si="11"/>
        <v>0</v>
      </c>
      <c r="AS80" s="254"/>
      <c r="AT80" s="250"/>
      <c r="AU80" s="250"/>
      <c r="AV80" s="221"/>
      <c r="AW80" s="251"/>
      <c r="AX80" s="246">
        <f t="shared" si="12"/>
        <v>0</v>
      </c>
      <c r="AY80" s="247">
        <f t="shared" si="13"/>
        <v>0</v>
      </c>
      <c r="AZ80" s="254"/>
      <c r="BA80" s="250"/>
      <c r="BB80" s="250"/>
      <c r="BC80" s="221"/>
      <c r="BD80" s="251"/>
      <c r="BE80" s="246">
        <f t="shared" si="14"/>
        <v>0</v>
      </c>
      <c r="BF80" s="247">
        <f t="shared" si="15"/>
        <v>0</v>
      </c>
      <c r="BG80" s="254"/>
      <c r="BH80" s="250"/>
      <c r="BI80" s="250"/>
      <c r="BJ80" s="221"/>
      <c r="BK80" s="251"/>
      <c r="BL80" s="246">
        <f t="shared" si="16"/>
        <v>0</v>
      </c>
      <c r="BM80" s="247">
        <f t="shared" si="17"/>
        <v>0</v>
      </c>
      <c r="BN80" s="248"/>
      <c r="BO80" s="250"/>
      <c r="BP80" s="253"/>
      <c r="BQ80" s="221"/>
      <c r="BR80" s="251" t="s">
        <v>968</v>
      </c>
      <c r="BS80" s="246">
        <f t="shared" si="18"/>
        <v>0</v>
      </c>
      <c r="BT80" s="247">
        <f t="shared" si="19"/>
        <v>0</v>
      </c>
      <c r="BU80" s="254"/>
      <c r="BV80" s="250"/>
      <c r="BW80" s="250"/>
      <c r="BX80" s="221"/>
      <c r="BY80" s="251"/>
      <c r="BZ80" s="246">
        <f t="shared" si="20"/>
        <v>0</v>
      </c>
      <c r="CA80" s="247">
        <f t="shared" si="21"/>
        <v>0</v>
      </c>
      <c r="CB80" s="254"/>
      <c r="CC80" s="250"/>
      <c r="CD80" s="250"/>
      <c r="CE80" s="221"/>
      <c r="CF80" s="251"/>
      <c r="CG80" s="246">
        <f t="shared" si="22"/>
        <v>0</v>
      </c>
      <c r="CH80" s="247">
        <f t="shared" si="23"/>
        <v>0</v>
      </c>
      <c r="CI80" s="254"/>
      <c r="CJ80" s="250"/>
      <c r="CK80" s="250"/>
      <c r="CL80" s="250"/>
      <c r="CM80" s="251"/>
      <c r="CN80" s="246">
        <f t="shared" si="24"/>
        <v>0</v>
      </c>
      <c r="CO80" s="247">
        <f t="shared" si="25"/>
        <v>0</v>
      </c>
      <c r="CP80" s="254"/>
      <c r="CQ80" s="250"/>
      <c r="CR80" s="250"/>
      <c r="CS80" s="221"/>
      <c r="CT80" s="251"/>
      <c r="CU80" s="246">
        <f t="shared" si="26"/>
        <v>0</v>
      </c>
      <c r="CV80" s="247">
        <f t="shared" si="27"/>
        <v>0</v>
      </c>
      <c r="CW80" s="254"/>
      <c r="CX80" s="250"/>
      <c r="CY80" s="250"/>
      <c r="CZ80" s="221"/>
      <c r="DA80" s="251"/>
      <c r="DB80" s="246">
        <f t="shared" si="28"/>
        <v>0</v>
      </c>
      <c r="DC80" s="247">
        <f t="shared" si="29"/>
        <v>0</v>
      </c>
      <c r="DD80" s="248"/>
      <c r="DE80" s="250"/>
      <c r="DF80" s="283"/>
      <c r="DG80" s="221"/>
      <c r="DH80" s="251" t="s">
        <v>968</v>
      </c>
      <c r="DI80" s="246">
        <f t="shared" si="30"/>
        <v>0</v>
      </c>
      <c r="DJ80" s="255">
        <f t="shared" si="31"/>
        <v>0</v>
      </c>
      <c r="DK80" s="209"/>
      <c r="DL80" s="220"/>
      <c r="DM80" s="221"/>
      <c r="DO80" s="256"/>
      <c r="DP80" s="257"/>
      <c r="DR80" s="258">
        <f t="shared" si="32"/>
        <v>0</v>
      </c>
      <c r="DS80" s="258">
        <f t="shared" si="33"/>
        <v>0</v>
      </c>
      <c r="DT80" s="258">
        <f t="shared" si="34"/>
        <v>0</v>
      </c>
      <c r="DU80" s="258">
        <f t="shared" si="35"/>
        <v>0</v>
      </c>
      <c r="DV80" s="259">
        <f t="shared" si="36"/>
        <v>0</v>
      </c>
      <c r="DW80" s="259">
        <f t="shared" si="37"/>
        <v>0</v>
      </c>
    </row>
    <row r="81" spans="1:127" s="194" customFormat="1" ht="15.75" x14ac:dyDescent="0.2">
      <c r="A81" s="239">
        <v>54</v>
      </c>
      <c r="B81" s="240" t="s">
        <v>1014</v>
      </c>
      <c r="C81" s="276"/>
      <c r="D81" s="271"/>
      <c r="E81" s="272"/>
      <c r="F81" s="244"/>
      <c r="G81" s="245"/>
      <c r="H81" s="246">
        <f t="shared" si="0"/>
        <v>0</v>
      </c>
      <c r="I81" s="247">
        <f t="shared" si="1"/>
        <v>0</v>
      </c>
      <c r="J81" s="254"/>
      <c r="K81" s="250"/>
      <c r="L81" s="250"/>
      <c r="M81" s="221"/>
      <c r="N81" s="251"/>
      <c r="O81" s="246">
        <f t="shared" si="2"/>
        <v>0</v>
      </c>
      <c r="P81" s="247">
        <f t="shared" si="3"/>
        <v>0</v>
      </c>
      <c r="Q81" s="254"/>
      <c r="R81" s="250"/>
      <c r="S81" s="250"/>
      <c r="T81" s="221"/>
      <c r="U81" s="251"/>
      <c r="V81" s="246">
        <f t="shared" si="4"/>
        <v>0</v>
      </c>
      <c r="W81" s="247">
        <f t="shared" si="5"/>
        <v>0</v>
      </c>
      <c r="X81" s="254"/>
      <c r="Y81" s="250"/>
      <c r="Z81" s="250"/>
      <c r="AA81" s="221"/>
      <c r="AB81" s="251"/>
      <c r="AC81" s="246">
        <f t="shared" si="6"/>
        <v>0</v>
      </c>
      <c r="AD81" s="247">
        <f t="shared" si="7"/>
        <v>0</v>
      </c>
      <c r="AE81" s="254"/>
      <c r="AF81" s="273"/>
      <c r="AG81" s="250"/>
      <c r="AH81" s="221"/>
      <c r="AI81" s="251"/>
      <c r="AJ81" s="246">
        <f t="shared" si="8"/>
        <v>0</v>
      </c>
      <c r="AK81" s="247">
        <f t="shared" si="9"/>
        <v>0</v>
      </c>
      <c r="AL81" s="254"/>
      <c r="AM81" s="250"/>
      <c r="AN81" s="250"/>
      <c r="AO81" s="221"/>
      <c r="AP81" s="251"/>
      <c r="AQ81" s="246">
        <f t="shared" si="10"/>
        <v>0</v>
      </c>
      <c r="AR81" s="247">
        <f t="shared" si="11"/>
        <v>0</v>
      </c>
      <c r="AS81" s="254"/>
      <c r="AT81" s="250"/>
      <c r="AU81" s="250"/>
      <c r="AV81" s="221"/>
      <c r="AW81" s="251"/>
      <c r="AX81" s="246">
        <f t="shared" si="12"/>
        <v>0</v>
      </c>
      <c r="AY81" s="247">
        <f t="shared" si="13"/>
        <v>0</v>
      </c>
      <c r="AZ81" s="254"/>
      <c r="BA81" s="250"/>
      <c r="BB81" s="250"/>
      <c r="BC81" s="221"/>
      <c r="BD81" s="251"/>
      <c r="BE81" s="246">
        <f t="shared" si="14"/>
        <v>0</v>
      </c>
      <c r="BF81" s="247">
        <f t="shared" si="15"/>
        <v>0</v>
      </c>
      <c r="BG81" s="254"/>
      <c r="BH81" s="250"/>
      <c r="BI81" s="250"/>
      <c r="BJ81" s="221"/>
      <c r="BK81" s="251"/>
      <c r="BL81" s="246">
        <f t="shared" si="16"/>
        <v>0</v>
      </c>
      <c r="BM81" s="247">
        <f t="shared" si="17"/>
        <v>0</v>
      </c>
      <c r="BN81" s="248"/>
      <c r="BO81" s="252"/>
      <c r="BP81" s="250"/>
      <c r="BQ81" s="221"/>
      <c r="BR81" s="251" t="s">
        <v>968</v>
      </c>
      <c r="BS81" s="246">
        <f t="shared" si="18"/>
        <v>0</v>
      </c>
      <c r="BT81" s="247">
        <f t="shared" si="19"/>
        <v>0</v>
      </c>
      <c r="BU81" s="254"/>
      <c r="BV81" s="250"/>
      <c r="BW81" s="250"/>
      <c r="BX81" s="221"/>
      <c r="BY81" s="251"/>
      <c r="BZ81" s="246">
        <f t="shared" si="20"/>
        <v>0</v>
      </c>
      <c r="CA81" s="247">
        <f t="shared" si="21"/>
        <v>0</v>
      </c>
      <c r="CB81" s="254"/>
      <c r="CC81" s="250"/>
      <c r="CD81" s="250"/>
      <c r="CE81" s="221"/>
      <c r="CF81" s="251"/>
      <c r="CG81" s="246">
        <f t="shared" si="22"/>
        <v>0</v>
      </c>
      <c r="CH81" s="247">
        <f t="shared" si="23"/>
        <v>0</v>
      </c>
      <c r="CI81" s="254"/>
      <c r="CJ81" s="250"/>
      <c r="CK81" s="250"/>
      <c r="CL81" s="250"/>
      <c r="CM81" s="251"/>
      <c r="CN81" s="246">
        <f t="shared" si="24"/>
        <v>0</v>
      </c>
      <c r="CO81" s="247">
        <f t="shared" si="25"/>
        <v>0</v>
      </c>
      <c r="CP81" s="254"/>
      <c r="CQ81" s="250"/>
      <c r="CR81" s="250"/>
      <c r="CS81" s="221"/>
      <c r="CT81" s="251"/>
      <c r="CU81" s="246">
        <f t="shared" si="26"/>
        <v>0</v>
      </c>
      <c r="CV81" s="247">
        <f t="shared" si="27"/>
        <v>0</v>
      </c>
      <c r="CW81" s="254"/>
      <c r="CX81" s="250"/>
      <c r="CY81" s="250"/>
      <c r="CZ81" s="221"/>
      <c r="DA81" s="251"/>
      <c r="DB81" s="246">
        <f t="shared" si="28"/>
        <v>0</v>
      </c>
      <c r="DC81" s="247">
        <f t="shared" si="29"/>
        <v>0</v>
      </c>
      <c r="DD81" s="254"/>
      <c r="DE81" s="250"/>
      <c r="DF81" s="250"/>
      <c r="DG81" s="221"/>
      <c r="DH81" s="251"/>
      <c r="DI81" s="246">
        <f t="shared" si="30"/>
        <v>0</v>
      </c>
      <c r="DJ81" s="255">
        <f t="shared" si="31"/>
        <v>0</v>
      </c>
      <c r="DK81" s="209"/>
      <c r="DL81" s="220"/>
      <c r="DM81" s="221"/>
      <c r="DO81" s="256"/>
      <c r="DP81" s="257"/>
      <c r="DR81" s="258">
        <f t="shared" si="32"/>
        <v>0</v>
      </c>
      <c r="DS81" s="258">
        <f t="shared" si="33"/>
        <v>0</v>
      </c>
      <c r="DT81" s="258">
        <f t="shared" si="34"/>
        <v>0</v>
      </c>
      <c r="DU81" s="258">
        <f t="shared" si="35"/>
        <v>0</v>
      </c>
      <c r="DV81" s="259">
        <f t="shared" si="36"/>
        <v>0</v>
      </c>
      <c r="DW81" s="259">
        <f t="shared" si="37"/>
        <v>0</v>
      </c>
    </row>
    <row r="82" spans="1:127" s="194" customFormat="1" ht="15.75" x14ac:dyDescent="0.2">
      <c r="A82" s="239">
        <v>55</v>
      </c>
      <c r="B82" s="240" t="s">
        <v>1015</v>
      </c>
      <c r="C82" s="276"/>
      <c r="D82" s="271"/>
      <c r="E82" s="272"/>
      <c r="F82" s="244"/>
      <c r="G82" s="245"/>
      <c r="H82" s="246">
        <f t="shared" si="0"/>
        <v>0</v>
      </c>
      <c r="I82" s="247">
        <f t="shared" si="1"/>
        <v>0</v>
      </c>
      <c r="J82" s="254"/>
      <c r="K82" s="250"/>
      <c r="L82" s="250"/>
      <c r="M82" s="221"/>
      <c r="N82" s="251"/>
      <c r="O82" s="246">
        <f t="shared" si="2"/>
        <v>0</v>
      </c>
      <c r="P82" s="247">
        <f t="shared" si="3"/>
        <v>0</v>
      </c>
      <c r="Q82" s="254"/>
      <c r="R82" s="250"/>
      <c r="S82" s="250"/>
      <c r="T82" s="221"/>
      <c r="U82" s="251"/>
      <c r="V82" s="246">
        <f t="shared" si="4"/>
        <v>0</v>
      </c>
      <c r="W82" s="247">
        <f t="shared" si="5"/>
        <v>0</v>
      </c>
      <c r="X82" s="254"/>
      <c r="Y82" s="250"/>
      <c r="Z82" s="250"/>
      <c r="AA82" s="221"/>
      <c r="AB82" s="251"/>
      <c r="AC82" s="246">
        <f t="shared" si="6"/>
        <v>0</v>
      </c>
      <c r="AD82" s="247">
        <f t="shared" si="7"/>
        <v>0</v>
      </c>
      <c r="AE82" s="254"/>
      <c r="AF82" s="273"/>
      <c r="AG82" s="250"/>
      <c r="AH82" s="221"/>
      <c r="AI82" s="251"/>
      <c r="AJ82" s="246">
        <f t="shared" si="8"/>
        <v>0</v>
      </c>
      <c r="AK82" s="247">
        <f t="shared" si="9"/>
        <v>0</v>
      </c>
      <c r="AL82" s="254"/>
      <c r="AM82" s="250"/>
      <c r="AN82" s="250"/>
      <c r="AO82" s="221"/>
      <c r="AP82" s="251"/>
      <c r="AQ82" s="246">
        <f t="shared" si="10"/>
        <v>0</v>
      </c>
      <c r="AR82" s="247">
        <f t="shared" si="11"/>
        <v>0</v>
      </c>
      <c r="AS82" s="254"/>
      <c r="AT82" s="250"/>
      <c r="AU82" s="250"/>
      <c r="AV82" s="221"/>
      <c r="AW82" s="251"/>
      <c r="AX82" s="246">
        <f t="shared" si="12"/>
        <v>0</v>
      </c>
      <c r="AY82" s="247">
        <f t="shared" si="13"/>
        <v>0</v>
      </c>
      <c r="AZ82" s="254"/>
      <c r="BA82" s="250"/>
      <c r="BB82" s="250"/>
      <c r="BC82" s="221"/>
      <c r="BD82" s="251"/>
      <c r="BE82" s="246">
        <f t="shared" si="14"/>
        <v>0</v>
      </c>
      <c r="BF82" s="247">
        <f t="shared" si="15"/>
        <v>0</v>
      </c>
      <c r="BG82" s="254"/>
      <c r="BH82" s="250"/>
      <c r="BI82" s="250"/>
      <c r="BJ82" s="221"/>
      <c r="BK82" s="251"/>
      <c r="BL82" s="246">
        <f t="shared" si="16"/>
        <v>0</v>
      </c>
      <c r="BM82" s="247">
        <f t="shared" si="17"/>
        <v>0</v>
      </c>
      <c r="BN82" s="248"/>
      <c r="BO82" s="250"/>
      <c r="BP82" s="250"/>
      <c r="BQ82" s="221"/>
      <c r="BR82" s="251" t="s">
        <v>968</v>
      </c>
      <c r="BS82" s="246">
        <f t="shared" si="18"/>
        <v>0</v>
      </c>
      <c r="BT82" s="247">
        <f t="shared" si="19"/>
        <v>0</v>
      </c>
      <c r="BU82" s="254"/>
      <c r="BV82" s="250"/>
      <c r="BW82" s="250"/>
      <c r="BX82" s="221"/>
      <c r="BY82" s="251"/>
      <c r="BZ82" s="246">
        <f t="shared" si="20"/>
        <v>0</v>
      </c>
      <c r="CA82" s="247">
        <f t="shared" si="21"/>
        <v>0</v>
      </c>
      <c r="CB82" s="254"/>
      <c r="CC82" s="250"/>
      <c r="CD82" s="250"/>
      <c r="CE82" s="221"/>
      <c r="CF82" s="251"/>
      <c r="CG82" s="246">
        <f t="shared" si="22"/>
        <v>0</v>
      </c>
      <c r="CH82" s="247">
        <f t="shared" si="23"/>
        <v>0</v>
      </c>
      <c r="CI82" s="254"/>
      <c r="CJ82" s="250"/>
      <c r="CK82" s="250"/>
      <c r="CL82" s="250"/>
      <c r="CM82" s="251"/>
      <c r="CN82" s="246">
        <f t="shared" si="24"/>
        <v>0</v>
      </c>
      <c r="CO82" s="247">
        <f t="shared" si="25"/>
        <v>0</v>
      </c>
      <c r="CP82" s="254"/>
      <c r="CQ82" s="250"/>
      <c r="CR82" s="250"/>
      <c r="CS82" s="221"/>
      <c r="CT82" s="251"/>
      <c r="CU82" s="246">
        <f t="shared" si="26"/>
        <v>0</v>
      </c>
      <c r="CV82" s="247">
        <f t="shared" si="27"/>
        <v>0</v>
      </c>
      <c r="CW82" s="254"/>
      <c r="CX82" s="250"/>
      <c r="CY82" s="250"/>
      <c r="CZ82" s="221"/>
      <c r="DA82" s="251"/>
      <c r="DB82" s="246">
        <f t="shared" si="28"/>
        <v>0</v>
      </c>
      <c r="DC82" s="247">
        <f t="shared" si="29"/>
        <v>0</v>
      </c>
      <c r="DD82" s="254"/>
      <c r="DE82" s="250"/>
      <c r="DF82" s="250"/>
      <c r="DG82" s="221"/>
      <c r="DH82" s="251"/>
      <c r="DI82" s="246">
        <f t="shared" si="30"/>
        <v>0</v>
      </c>
      <c r="DJ82" s="255">
        <f t="shared" si="31"/>
        <v>0</v>
      </c>
      <c r="DK82" s="209"/>
      <c r="DL82" s="220"/>
      <c r="DM82" s="221"/>
      <c r="DO82" s="256"/>
      <c r="DP82" s="257"/>
      <c r="DR82" s="258">
        <f t="shared" si="32"/>
        <v>0</v>
      </c>
      <c r="DS82" s="258">
        <f t="shared" si="33"/>
        <v>0</v>
      </c>
      <c r="DT82" s="258">
        <f t="shared" si="34"/>
        <v>0</v>
      </c>
      <c r="DU82" s="258">
        <f t="shared" si="35"/>
        <v>0</v>
      </c>
      <c r="DV82" s="259">
        <f t="shared" si="36"/>
        <v>0</v>
      </c>
      <c r="DW82" s="259">
        <f t="shared" si="37"/>
        <v>0</v>
      </c>
    </row>
    <row r="83" spans="1:127" s="194" customFormat="1" ht="15.75" x14ac:dyDescent="0.2">
      <c r="A83" s="239">
        <v>56</v>
      </c>
      <c r="B83" s="240" t="s">
        <v>1016</v>
      </c>
      <c r="C83" s="276"/>
      <c r="D83" s="271"/>
      <c r="E83" s="272"/>
      <c r="F83" s="244"/>
      <c r="G83" s="245"/>
      <c r="H83" s="246">
        <f t="shared" si="0"/>
        <v>0</v>
      </c>
      <c r="I83" s="247">
        <f t="shared" si="1"/>
        <v>0</v>
      </c>
      <c r="J83" s="254"/>
      <c r="K83" s="250"/>
      <c r="L83" s="250"/>
      <c r="M83" s="221"/>
      <c r="N83" s="251"/>
      <c r="O83" s="246">
        <f t="shared" si="2"/>
        <v>0</v>
      </c>
      <c r="P83" s="247">
        <f t="shared" si="3"/>
        <v>0</v>
      </c>
      <c r="Q83" s="254"/>
      <c r="R83" s="250"/>
      <c r="S83" s="250"/>
      <c r="T83" s="221"/>
      <c r="U83" s="251"/>
      <c r="V83" s="246">
        <f t="shared" si="4"/>
        <v>0</v>
      </c>
      <c r="W83" s="247">
        <f t="shared" si="5"/>
        <v>0</v>
      </c>
      <c r="X83" s="254"/>
      <c r="Y83" s="250"/>
      <c r="Z83" s="250"/>
      <c r="AA83" s="221"/>
      <c r="AB83" s="251"/>
      <c r="AC83" s="246">
        <f t="shared" si="6"/>
        <v>0</v>
      </c>
      <c r="AD83" s="247">
        <f t="shared" si="7"/>
        <v>0</v>
      </c>
      <c r="AE83" s="254"/>
      <c r="AF83" s="273"/>
      <c r="AG83" s="250"/>
      <c r="AH83" s="221"/>
      <c r="AI83" s="251"/>
      <c r="AJ83" s="246">
        <f t="shared" si="8"/>
        <v>0</v>
      </c>
      <c r="AK83" s="247">
        <f t="shared" si="9"/>
        <v>0</v>
      </c>
      <c r="AL83" s="254"/>
      <c r="AM83" s="250"/>
      <c r="AN83" s="250"/>
      <c r="AO83" s="221"/>
      <c r="AP83" s="251"/>
      <c r="AQ83" s="246">
        <f t="shared" si="10"/>
        <v>0</v>
      </c>
      <c r="AR83" s="247">
        <f t="shared" si="11"/>
        <v>0</v>
      </c>
      <c r="AS83" s="254"/>
      <c r="AT83" s="250"/>
      <c r="AU83" s="250"/>
      <c r="AV83" s="221"/>
      <c r="AW83" s="251"/>
      <c r="AX83" s="246">
        <f t="shared" si="12"/>
        <v>0</v>
      </c>
      <c r="AY83" s="247">
        <f t="shared" si="13"/>
        <v>0</v>
      </c>
      <c r="AZ83" s="254"/>
      <c r="BA83" s="250"/>
      <c r="BB83" s="250"/>
      <c r="BC83" s="221"/>
      <c r="BD83" s="251"/>
      <c r="BE83" s="246">
        <f t="shared" si="14"/>
        <v>0</v>
      </c>
      <c r="BF83" s="247">
        <f t="shared" si="15"/>
        <v>0</v>
      </c>
      <c r="BG83" s="254"/>
      <c r="BH83" s="250"/>
      <c r="BI83" s="250"/>
      <c r="BJ83" s="221"/>
      <c r="BK83" s="251"/>
      <c r="BL83" s="246">
        <f t="shared" si="16"/>
        <v>0</v>
      </c>
      <c r="BM83" s="247">
        <f t="shared" si="17"/>
        <v>0</v>
      </c>
      <c r="BN83" s="248"/>
      <c r="BO83" s="250"/>
      <c r="BP83" s="253"/>
      <c r="BQ83" s="221"/>
      <c r="BR83" s="251" t="s">
        <v>968</v>
      </c>
      <c r="BS83" s="246">
        <f t="shared" si="18"/>
        <v>0</v>
      </c>
      <c r="BT83" s="247">
        <f t="shared" si="19"/>
        <v>0</v>
      </c>
      <c r="BU83" s="254"/>
      <c r="BV83" s="250"/>
      <c r="BW83" s="250"/>
      <c r="BX83" s="221"/>
      <c r="BY83" s="251"/>
      <c r="BZ83" s="246">
        <f t="shared" si="20"/>
        <v>0</v>
      </c>
      <c r="CA83" s="247">
        <f t="shared" si="21"/>
        <v>0</v>
      </c>
      <c r="CB83" s="254"/>
      <c r="CC83" s="250"/>
      <c r="CD83" s="250"/>
      <c r="CE83" s="221"/>
      <c r="CF83" s="251"/>
      <c r="CG83" s="246">
        <f t="shared" si="22"/>
        <v>0</v>
      </c>
      <c r="CH83" s="247">
        <f t="shared" si="23"/>
        <v>0</v>
      </c>
      <c r="CI83" s="254"/>
      <c r="CJ83" s="250"/>
      <c r="CK83" s="250"/>
      <c r="CL83" s="250"/>
      <c r="CM83" s="251"/>
      <c r="CN83" s="246">
        <f t="shared" si="24"/>
        <v>0</v>
      </c>
      <c r="CO83" s="247">
        <f t="shared" si="25"/>
        <v>0</v>
      </c>
      <c r="CP83" s="254"/>
      <c r="CQ83" s="250"/>
      <c r="CR83" s="250"/>
      <c r="CS83" s="221"/>
      <c r="CT83" s="251"/>
      <c r="CU83" s="246">
        <f t="shared" si="26"/>
        <v>0</v>
      </c>
      <c r="CV83" s="247">
        <f t="shared" si="27"/>
        <v>0</v>
      </c>
      <c r="CW83" s="254"/>
      <c r="CX83" s="250"/>
      <c r="CY83" s="250"/>
      <c r="CZ83" s="221"/>
      <c r="DA83" s="251"/>
      <c r="DB83" s="246">
        <f t="shared" si="28"/>
        <v>0</v>
      </c>
      <c r="DC83" s="247">
        <f t="shared" si="29"/>
        <v>0</v>
      </c>
      <c r="DD83" s="254"/>
      <c r="DE83" s="250"/>
      <c r="DF83" s="250"/>
      <c r="DG83" s="221"/>
      <c r="DH83" s="251"/>
      <c r="DI83" s="246">
        <f t="shared" si="30"/>
        <v>0</v>
      </c>
      <c r="DJ83" s="255">
        <f t="shared" si="31"/>
        <v>0</v>
      </c>
      <c r="DK83" s="209"/>
      <c r="DL83" s="220"/>
      <c r="DM83" s="221"/>
      <c r="DO83" s="256"/>
      <c r="DP83" s="257"/>
      <c r="DR83" s="258">
        <f t="shared" si="32"/>
        <v>0</v>
      </c>
      <c r="DS83" s="258">
        <f t="shared" si="33"/>
        <v>0</v>
      </c>
      <c r="DT83" s="258">
        <f t="shared" si="34"/>
        <v>0</v>
      </c>
      <c r="DU83" s="258">
        <f t="shared" si="35"/>
        <v>0</v>
      </c>
      <c r="DV83" s="259">
        <f t="shared" si="36"/>
        <v>0</v>
      </c>
      <c r="DW83" s="259">
        <f t="shared" si="37"/>
        <v>0</v>
      </c>
    </row>
    <row r="84" spans="1:127" s="194" customFormat="1" ht="15.75" x14ac:dyDescent="0.2">
      <c r="A84" s="239">
        <v>57</v>
      </c>
      <c r="B84" s="240" t="s">
        <v>1017</v>
      </c>
      <c r="C84" s="276"/>
      <c r="D84" s="271"/>
      <c r="E84" s="272"/>
      <c r="F84" s="244"/>
      <c r="G84" s="245"/>
      <c r="H84" s="246">
        <f t="shared" si="0"/>
        <v>0</v>
      </c>
      <c r="I84" s="247">
        <f t="shared" si="1"/>
        <v>0</v>
      </c>
      <c r="J84" s="254"/>
      <c r="K84" s="250"/>
      <c r="L84" s="250"/>
      <c r="M84" s="221"/>
      <c r="N84" s="251"/>
      <c r="O84" s="246">
        <f t="shared" si="2"/>
        <v>0</v>
      </c>
      <c r="P84" s="247">
        <f t="shared" si="3"/>
        <v>0</v>
      </c>
      <c r="Q84" s="254"/>
      <c r="R84" s="250"/>
      <c r="S84" s="250"/>
      <c r="T84" s="221"/>
      <c r="U84" s="251"/>
      <c r="V84" s="246">
        <f t="shared" si="4"/>
        <v>0</v>
      </c>
      <c r="W84" s="247">
        <f t="shared" si="5"/>
        <v>0</v>
      </c>
      <c r="X84" s="254"/>
      <c r="Y84" s="250"/>
      <c r="Z84" s="250"/>
      <c r="AA84" s="221"/>
      <c r="AB84" s="251"/>
      <c r="AC84" s="246">
        <f t="shared" si="6"/>
        <v>0</v>
      </c>
      <c r="AD84" s="247">
        <f t="shared" si="7"/>
        <v>0</v>
      </c>
      <c r="AE84" s="254"/>
      <c r="AF84" s="273"/>
      <c r="AG84" s="250"/>
      <c r="AH84" s="221"/>
      <c r="AI84" s="251"/>
      <c r="AJ84" s="246">
        <f t="shared" si="8"/>
        <v>0</v>
      </c>
      <c r="AK84" s="247">
        <f t="shared" si="9"/>
        <v>0</v>
      </c>
      <c r="AL84" s="254"/>
      <c r="AM84" s="250"/>
      <c r="AN84" s="250"/>
      <c r="AO84" s="221"/>
      <c r="AP84" s="251"/>
      <c r="AQ84" s="246">
        <f t="shared" si="10"/>
        <v>0</v>
      </c>
      <c r="AR84" s="247">
        <f t="shared" si="11"/>
        <v>0</v>
      </c>
      <c r="AS84" s="254"/>
      <c r="AT84" s="250"/>
      <c r="AU84" s="250"/>
      <c r="AV84" s="221"/>
      <c r="AW84" s="251"/>
      <c r="AX84" s="246">
        <f t="shared" si="12"/>
        <v>0</v>
      </c>
      <c r="AY84" s="247">
        <f t="shared" si="13"/>
        <v>0</v>
      </c>
      <c r="AZ84" s="254"/>
      <c r="BA84" s="250"/>
      <c r="BB84" s="250"/>
      <c r="BC84" s="221"/>
      <c r="BD84" s="251"/>
      <c r="BE84" s="246">
        <f t="shared" si="14"/>
        <v>0</v>
      </c>
      <c r="BF84" s="247">
        <f t="shared" si="15"/>
        <v>0</v>
      </c>
      <c r="BG84" s="254"/>
      <c r="BH84" s="250"/>
      <c r="BI84" s="250"/>
      <c r="BJ84" s="221"/>
      <c r="BK84" s="251"/>
      <c r="BL84" s="246">
        <f t="shared" si="16"/>
        <v>0</v>
      </c>
      <c r="BM84" s="247">
        <f t="shared" si="17"/>
        <v>0</v>
      </c>
      <c r="BN84" s="248"/>
      <c r="BO84" s="250"/>
      <c r="BP84" s="250"/>
      <c r="BQ84" s="221"/>
      <c r="BR84" s="251" t="s">
        <v>968</v>
      </c>
      <c r="BS84" s="246">
        <f t="shared" si="18"/>
        <v>0</v>
      </c>
      <c r="BT84" s="247">
        <f t="shared" si="19"/>
        <v>0</v>
      </c>
      <c r="BU84" s="254"/>
      <c r="BV84" s="250"/>
      <c r="BW84" s="250"/>
      <c r="BX84" s="221"/>
      <c r="BY84" s="251"/>
      <c r="BZ84" s="246">
        <f t="shared" si="20"/>
        <v>0</v>
      </c>
      <c r="CA84" s="247">
        <f t="shared" si="21"/>
        <v>0</v>
      </c>
      <c r="CB84" s="254"/>
      <c r="CC84" s="250"/>
      <c r="CD84" s="250"/>
      <c r="CE84" s="221"/>
      <c r="CF84" s="251"/>
      <c r="CG84" s="246">
        <f t="shared" si="22"/>
        <v>0</v>
      </c>
      <c r="CH84" s="247">
        <f t="shared" si="23"/>
        <v>0</v>
      </c>
      <c r="CI84" s="254"/>
      <c r="CJ84" s="250"/>
      <c r="CK84" s="250"/>
      <c r="CL84" s="250"/>
      <c r="CM84" s="251"/>
      <c r="CN84" s="246">
        <f t="shared" si="24"/>
        <v>0</v>
      </c>
      <c r="CO84" s="247">
        <f t="shared" si="25"/>
        <v>0</v>
      </c>
      <c r="CP84" s="254"/>
      <c r="CQ84" s="250"/>
      <c r="CR84" s="250"/>
      <c r="CS84" s="221"/>
      <c r="CT84" s="251"/>
      <c r="CU84" s="246">
        <f t="shared" si="26"/>
        <v>0</v>
      </c>
      <c r="CV84" s="247">
        <f t="shared" si="27"/>
        <v>0</v>
      </c>
      <c r="CW84" s="254"/>
      <c r="CX84" s="250"/>
      <c r="CY84" s="250"/>
      <c r="CZ84" s="221"/>
      <c r="DA84" s="251"/>
      <c r="DB84" s="246">
        <f t="shared" si="28"/>
        <v>0</v>
      </c>
      <c r="DC84" s="247">
        <f t="shared" si="29"/>
        <v>0</v>
      </c>
      <c r="DD84" s="254"/>
      <c r="DE84" s="250"/>
      <c r="DF84" s="250"/>
      <c r="DG84" s="221"/>
      <c r="DH84" s="251"/>
      <c r="DI84" s="246">
        <f t="shared" si="30"/>
        <v>0</v>
      </c>
      <c r="DJ84" s="255">
        <f t="shared" si="31"/>
        <v>0</v>
      </c>
      <c r="DK84" s="209"/>
      <c r="DL84" s="220"/>
      <c r="DM84" s="221"/>
      <c r="DO84" s="256"/>
      <c r="DP84" s="257"/>
      <c r="DR84" s="258">
        <f t="shared" si="32"/>
        <v>0</v>
      </c>
      <c r="DS84" s="258">
        <f t="shared" si="33"/>
        <v>0</v>
      </c>
      <c r="DT84" s="258">
        <f t="shared" si="34"/>
        <v>0</v>
      </c>
      <c r="DU84" s="258">
        <f t="shared" si="35"/>
        <v>0</v>
      </c>
      <c r="DV84" s="259">
        <f t="shared" si="36"/>
        <v>0</v>
      </c>
      <c r="DW84" s="259">
        <f t="shared" si="37"/>
        <v>0</v>
      </c>
    </row>
    <row r="85" spans="1:127" s="194" customFormat="1" ht="38.25" x14ac:dyDescent="0.2">
      <c r="A85" s="239">
        <v>58</v>
      </c>
      <c r="B85" s="240" t="s">
        <v>1018</v>
      </c>
      <c r="C85" s="276"/>
      <c r="D85" s="261"/>
      <c r="E85" s="262"/>
      <c r="F85" s="277"/>
      <c r="G85" s="245"/>
      <c r="H85" s="246">
        <f t="shared" si="0"/>
        <v>0</v>
      </c>
      <c r="I85" s="247">
        <f t="shared" si="1"/>
        <v>0</v>
      </c>
      <c r="J85" s="268"/>
      <c r="K85" s="265"/>
      <c r="L85" s="265"/>
      <c r="M85" s="269"/>
      <c r="N85" s="251"/>
      <c r="O85" s="246">
        <f t="shared" si="2"/>
        <v>0</v>
      </c>
      <c r="P85" s="247">
        <f t="shared" si="3"/>
        <v>0</v>
      </c>
      <c r="Q85" s="268"/>
      <c r="R85" s="265"/>
      <c r="S85" s="265"/>
      <c r="T85" s="269"/>
      <c r="U85" s="251"/>
      <c r="V85" s="246">
        <f t="shared" si="4"/>
        <v>0</v>
      </c>
      <c r="W85" s="247">
        <f t="shared" si="5"/>
        <v>0</v>
      </c>
      <c r="X85" s="268"/>
      <c r="Y85" s="265"/>
      <c r="Z85" s="265"/>
      <c r="AA85" s="269"/>
      <c r="AB85" s="251"/>
      <c r="AC85" s="246">
        <f t="shared" si="6"/>
        <v>0</v>
      </c>
      <c r="AD85" s="247">
        <f t="shared" si="7"/>
        <v>0</v>
      </c>
      <c r="AE85" s="268"/>
      <c r="AF85" s="267"/>
      <c r="AG85" s="265"/>
      <c r="AH85" s="269"/>
      <c r="AI85" s="251"/>
      <c r="AJ85" s="246">
        <f t="shared" si="8"/>
        <v>0</v>
      </c>
      <c r="AK85" s="247">
        <f t="shared" si="9"/>
        <v>0</v>
      </c>
      <c r="AL85" s="268"/>
      <c r="AM85" s="265"/>
      <c r="AN85" s="265"/>
      <c r="AO85" s="269"/>
      <c r="AP85" s="251"/>
      <c r="AQ85" s="246">
        <f t="shared" si="10"/>
        <v>0</v>
      </c>
      <c r="AR85" s="247">
        <f t="shared" si="11"/>
        <v>0</v>
      </c>
      <c r="AS85" s="264"/>
      <c r="AT85" s="265"/>
      <c r="AU85" s="265"/>
      <c r="AV85" s="279"/>
      <c r="AW85" s="251" t="s">
        <v>968</v>
      </c>
      <c r="AX85" s="246">
        <f t="shared" si="12"/>
        <v>0</v>
      </c>
      <c r="AY85" s="247">
        <f t="shared" si="13"/>
        <v>0</v>
      </c>
      <c r="AZ85" s="268"/>
      <c r="BA85" s="265"/>
      <c r="BB85" s="265"/>
      <c r="BC85" s="269"/>
      <c r="BD85" s="251"/>
      <c r="BE85" s="246">
        <f t="shared" si="14"/>
        <v>0</v>
      </c>
      <c r="BF85" s="247">
        <f t="shared" si="15"/>
        <v>0</v>
      </c>
      <c r="BG85" s="268"/>
      <c r="BH85" s="265"/>
      <c r="BI85" s="265"/>
      <c r="BJ85" s="269"/>
      <c r="BK85" s="251"/>
      <c r="BL85" s="246">
        <f t="shared" si="16"/>
        <v>0</v>
      </c>
      <c r="BM85" s="247">
        <f t="shared" si="17"/>
        <v>0</v>
      </c>
      <c r="BN85" s="264"/>
      <c r="BO85" s="265"/>
      <c r="BP85" s="265"/>
      <c r="BQ85" s="279"/>
      <c r="BR85" s="251" t="s">
        <v>968</v>
      </c>
      <c r="BS85" s="246">
        <f t="shared" si="18"/>
        <v>0</v>
      </c>
      <c r="BT85" s="247">
        <f t="shared" si="19"/>
        <v>0</v>
      </c>
      <c r="BU85" s="254"/>
      <c r="BV85" s="265"/>
      <c r="BW85" s="265"/>
      <c r="BX85" s="269"/>
      <c r="BY85" s="251"/>
      <c r="BZ85" s="246">
        <f t="shared" si="20"/>
        <v>0</v>
      </c>
      <c r="CA85" s="247">
        <f t="shared" si="21"/>
        <v>0</v>
      </c>
      <c r="CB85" s="268"/>
      <c r="CC85" s="265"/>
      <c r="CD85" s="265"/>
      <c r="CE85" s="269"/>
      <c r="CF85" s="251"/>
      <c r="CG85" s="246">
        <f t="shared" si="22"/>
        <v>0</v>
      </c>
      <c r="CH85" s="247">
        <f t="shared" si="23"/>
        <v>0</v>
      </c>
      <c r="CI85" s="264"/>
      <c r="CJ85" s="265"/>
      <c r="CK85" s="265"/>
      <c r="CL85" s="284"/>
      <c r="CM85" s="251" t="s">
        <v>968</v>
      </c>
      <c r="CN85" s="246">
        <f t="shared" si="24"/>
        <v>0</v>
      </c>
      <c r="CO85" s="247">
        <f t="shared" si="25"/>
        <v>0</v>
      </c>
      <c r="CP85" s="268"/>
      <c r="CQ85" s="265"/>
      <c r="CR85" s="265"/>
      <c r="CS85" s="269"/>
      <c r="CT85" s="251"/>
      <c r="CU85" s="246">
        <f t="shared" si="26"/>
        <v>0</v>
      </c>
      <c r="CV85" s="247">
        <f t="shared" si="27"/>
        <v>0</v>
      </c>
      <c r="CW85" s="268"/>
      <c r="CX85" s="265"/>
      <c r="CY85" s="265"/>
      <c r="CZ85" s="269"/>
      <c r="DA85" s="251"/>
      <c r="DB85" s="246">
        <f t="shared" si="28"/>
        <v>0</v>
      </c>
      <c r="DC85" s="247">
        <f t="shared" si="29"/>
        <v>0</v>
      </c>
      <c r="DD85" s="268"/>
      <c r="DE85" s="265"/>
      <c r="DF85" s="265"/>
      <c r="DG85" s="269"/>
      <c r="DH85" s="251"/>
      <c r="DI85" s="246">
        <f t="shared" si="30"/>
        <v>0</v>
      </c>
      <c r="DJ85" s="255">
        <f t="shared" si="31"/>
        <v>0</v>
      </c>
      <c r="DK85" s="209"/>
      <c r="DL85" s="220"/>
      <c r="DM85" s="221"/>
      <c r="DO85" s="256"/>
      <c r="DP85" s="257"/>
      <c r="DR85" s="258">
        <f t="shared" si="32"/>
        <v>0</v>
      </c>
      <c r="DS85" s="258">
        <f t="shared" si="33"/>
        <v>0</v>
      </c>
      <c r="DT85" s="258">
        <f t="shared" si="34"/>
        <v>0</v>
      </c>
      <c r="DU85" s="258">
        <f t="shared" si="35"/>
        <v>0</v>
      </c>
      <c r="DV85" s="259">
        <f t="shared" si="36"/>
        <v>0</v>
      </c>
      <c r="DW85" s="259">
        <f t="shared" si="37"/>
        <v>0</v>
      </c>
    </row>
    <row r="86" spans="1:127" s="194" customFormat="1" ht="15.75" x14ac:dyDescent="0.2">
      <c r="A86" s="239">
        <v>59</v>
      </c>
      <c r="B86" s="240" t="s">
        <v>1019</v>
      </c>
      <c r="C86" s="276"/>
      <c r="D86" s="271"/>
      <c r="E86" s="272"/>
      <c r="F86" s="244"/>
      <c r="G86" s="245"/>
      <c r="H86" s="246">
        <f t="shared" si="0"/>
        <v>0</v>
      </c>
      <c r="I86" s="247">
        <f t="shared" si="1"/>
        <v>0</v>
      </c>
      <c r="J86" s="254"/>
      <c r="K86" s="250"/>
      <c r="L86" s="250"/>
      <c r="M86" s="221"/>
      <c r="N86" s="251"/>
      <c r="O86" s="246">
        <f t="shared" si="2"/>
        <v>0</v>
      </c>
      <c r="P86" s="247">
        <f t="shared" si="3"/>
        <v>0</v>
      </c>
      <c r="Q86" s="254"/>
      <c r="R86" s="250"/>
      <c r="S86" s="250"/>
      <c r="T86" s="221"/>
      <c r="U86" s="251"/>
      <c r="V86" s="246">
        <f t="shared" si="4"/>
        <v>0</v>
      </c>
      <c r="W86" s="247">
        <f t="shared" si="5"/>
        <v>0</v>
      </c>
      <c r="X86" s="254"/>
      <c r="Y86" s="250"/>
      <c r="Z86" s="250"/>
      <c r="AA86" s="221"/>
      <c r="AB86" s="251"/>
      <c r="AC86" s="246">
        <f t="shared" si="6"/>
        <v>0</v>
      </c>
      <c r="AD86" s="247">
        <f t="shared" si="7"/>
        <v>0</v>
      </c>
      <c r="AE86" s="254"/>
      <c r="AF86" s="273"/>
      <c r="AG86" s="250"/>
      <c r="AH86" s="221"/>
      <c r="AI86" s="251"/>
      <c r="AJ86" s="246">
        <f t="shared" si="8"/>
        <v>0</v>
      </c>
      <c r="AK86" s="247">
        <f t="shared" si="9"/>
        <v>0</v>
      </c>
      <c r="AL86" s="254"/>
      <c r="AM86" s="250"/>
      <c r="AN86" s="250"/>
      <c r="AO86" s="221"/>
      <c r="AP86" s="251"/>
      <c r="AQ86" s="246">
        <f t="shared" si="10"/>
        <v>0</v>
      </c>
      <c r="AR86" s="247">
        <f t="shared" si="11"/>
        <v>0</v>
      </c>
      <c r="AS86" s="254"/>
      <c r="AT86" s="250"/>
      <c r="AU86" s="250"/>
      <c r="AV86" s="221"/>
      <c r="AW86" s="251"/>
      <c r="AX86" s="246">
        <f t="shared" si="12"/>
        <v>0</v>
      </c>
      <c r="AY86" s="247">
        <f t="shared" si="13"/>
        <v>0</v>
      </c>
      <c r="AZ86" s="254"/>
      <c r="BA86" s="250"/>
      <c r="BB86" s="250"/>
      <c r="BC86" s="221"/>
      <c r="BD86" s="251"/>
      <c r="BE86" s="246">
        <f t="shared" si="14"/>
        <v>0</v>
      </c>
      <c r="BF86" s="247">
        <f t="shared" si="15"/>
        <v>0</v>
      </c>
      <c r="BG86" s="254"/>
      <c r="BH86" s="250"/>
      <c r="BI86" s="250"/>
      <c r="BJ86" s="221"/>
      <c r="BK86" s="251"/>
      <c r="BL86" s="246">
        <f t="shared" si="16"/>
        <v>0</v>
      </c>
      <c r="BM86" s="247">
        <f t="shared" si="17"/>
        <v>0</v>
      </c>
      <c r="BN86" s="254"/>
      <c r="BO86" s="250"/>
      <c r="BP86" s="250"/>
      <c r="BQ86" s="221"/>
      <c r="BR86" s="251"/>
      <c r="BS86" s="246">
        <f t="shared" si="18"/>
        <v>0</v>
      </c>
      <c r="BT86" s="247">
        <f t="shared" si="19"/>
        <v>0</v>
      </c>
      <c r="BU86" s="248"/>
      <c r="BV86" s="250"/>
      <c r="BW86" s="250"/>
      <c r="BX86" s="266"/>
      <c r="BY86" s="251" t="s">
        <v>968</v>
      </c>
      <c r="BZ86" s="246">
        <f t="shared" si="20"/>
        <v>0</v>
      </c>
      <c r="CA86" s="247">
        <f t="shared" si="21"/>
        <v>0</v>
      </c>
      <c r="CB86" s="254"/>
      <c r="CC86" s="250"/>
      <c r="CD86" s="250"/>
      <c r="CE86" s="221"/>
      <c r="CF86" s="251"/>
      <c r="CG86" s="246">
        <f t="shared" si="22"/>
        <v>0</v>
      </c>
      <c r="CH86" s="247">
        <f t="shared" si="23"/>
        <v>0</v>
      </c>
      <c r="CI86" s="254"/>
      <c r="CJ86" s="250"/>
      <c r="CK86" s="250"/>
      <c r="CL86" s="250"/>
      <c r="CM86" s="251"/>
      <c r="CN86" s="246"/>
      <c r="CO86" s="247"/>
      <c r="CP86" s="254"/>
      <c r="CQ86" s="250"/>
      <c r="CR86" s="250"/>
      <c r="CS86" s="221"/>
      <c r="CT86" s="251"/>
      <c r="CU86" s="246">
        <f t="shared" si="26"/>
        <v>0</v>
      </c>
      <c r="CV86" s="247">
        <f t="shared" si="27"/>
        <v>0</v>
      </c>
      <c r="CW86" s="254"/>
      <c r="CX86" s="250"/>
      <c r="CY86" s="250"/>
      <c r="CZ86" s="221"/>
      <c r="DA86" s="251"/>
      <c r="DB86" s="246">
        <f t="shared" si="28"/>
        <v>0</v>
      </c>
      <c r="DC86" s="247">
        <f t="shared" si="29"/>
        <v>0</v>
      </c>
      <c r="DD86" s="254"/>
      <c r="DE86" s="250"/>
      <c r="DF86" s="250"/>
      <c r="DG86" s="221"/>
      <c r="DH86" s="251"/>
      <c r="DI86" s="246">
        <f t="shared" si="30"/>
        <v>0</v>
      </c>
      <c r="DJ86" s="255">
        <f t="shared" si="31"/>
        <v>0</v>
      </c>
      <c r="DK86" s="209"/>
      <c r="DL86" s="220"/>
      <c r="DM86" s="221"/>
      <c r="DO86" s="256"/>
      <c r="DP86" s="257"/>
      <c r="DR86" s="258">
        <f t="shared" si="32"/>
        <v>0</v>
      </c>
      <c r="DS86" s="258">
        <f t="shared" si="33"/>
        <v>0</v>
      </c>
      <c r="DT86" s="258">
        <f t="shared" si="34"/>
        <v>0</v>
      </c>
      <c r="DU86" s="258">
        <f t="shared" si="35"/>
        <v>0</v>
      </c>
      <c r="DV86" s="259">
        <f t="shared" si="36"/>
        <v>0</v>
      </c>
      <c r="DW86" s="259">
        <f t="shared" si="37"/>
        <v>0</v>
      </c>
    </row>
    <row r="87" spans="1:127" s="194" customFormat="1" ht="15.75" x14ac:dyDescent="0.2">
      <c r="A87" s="239">
        <v>60</v>
      </c>
      <c r="B87" s="240" t="s">
        <v>1020</v>
      </c>
      <c r="C87" s="276"/>
      <c r="D87" s="271"/>
      <c r="E87" s="272"/>
      <c r="F87" s="244"/>
      <c r="G87" s="245"/>
      <c r="H87" s="246">
        <f t="shared" si="0"/>
        <v>0</v>
      </c>
      <c r="I87" s="247">
        <f t="shared" si="1"/>
        <v>0</v>
      </c>
      <c r="J87" s="254"/>
      <c r="K87" s="250"/>
      <c r="L87" s="250"/>
      <c r="M87" s="221"/>
      <c r="N87" s="251"/>
      <c r="O87" s="246">
        <f t="shared" si="2"/>
        <v>0</v>
      </c>
      <c r="P87" s="247">
        <f t="shared" si="3"/>
        <v>0</v>
      </c>
      <c r="Q87" s="254"/>
      <c r="R87" s="250"/>
      <c r="S87" s="250"/>
      <c r="T87" s="221"/>
      <c r="U87" s="251"/>
      <c r="V87" s="246">
        <f t="shared" si="4"/>
        <v>0</v>
      </c>
      <c r="W87" s="247">
        <f t="shared" si="5"/>
        <v>0</v>
      </c>
      <c r="X87" s="254"/>
      <c r="Y87" s="250"/>
      <c r="Z87" s="250"/>
      <c r="AA87" s="221"/>
      <c r="AB87" s="251"/>
      <c r="AC87" s="246">
        <f t="shared" si="6"/>
        <v>0</v>
      </c>
      <c r="AD87" s="247">
        <f t="shared" si="7"/>
        <v>0</v>
      </c>
      <c r="AE87" s="254"/>
      <c r="AF87" s="273"/>
      <c r="AG87" s="250"/>
      <c r="AH87" s="221"/>
      <c r="AI87" s="251"/>
      <c r="AJ87" s="246">
        <f t="shared" si="8"/>
        <v>0</v>
      </c>
      <c r="AK87" s="247">
        <f t="shared" si="9"/>
        <v>0</v>
      </c>
      <c r="AL87" s="254"/>
      <c r="AM87" s="250"/>
      <c r="AN87" s="250"/>
      <c r="AO87" s="221"/>
      <c r="AP87" s="251"/>
      <c r="AQ87" s="246">
        <f t="shared" si="10"/>
        <v>0</v>
      </c>
      <c r="AR87" s="247">
        <f t="shared" si="11"/>
        <v>0</v>
      </c>
      <c r="AS87" s="254"/>
      <c r="AT87" s="250"/>
      <c r="AU87" s="250"/>
      <c r="AV87" s="221"/>
      <c r="AW87" s="251"/>
      <c r="AX87" s="246">
        <f t="shared" si="12"/>
        <v>0</v>
      </c>
      <c r="AY87" s="247">
        <f t="shared" si="13"/>
        <v>0</v>
      </c>
      <c r="AZ87" s="254"/>
      <c r="BA87" s="250"/>
      <c r="BB87" s="250"/>
      <c r="BC87" s="221"/>
      <c r="BD87" s="251"/>
      <c r="BE87" s="246">
        <f t="shared" si="14"/>
        <v>0</v>
      </c>
      <c r="BF87" s="247">
        <f t="shared" si="15"/>
        <v>0</v>
      </c>
      <c r="BG87" s="254"/>
      <c r="BH87" s="250"/>
      <c r="BI87" s="250"/>
      <c r="BJ87" s="221"/>
      <c r="BK87" s="251"/>
      <c r="BL87" s="246">
        <f t="shared" si="16"/>
        <v>0</v>
      </c>
      <c r="BM87" s="247">
        <f t="shared" si="17"/>
        <v>0</v>
      </c>
      <c r="BN87" s="254"/>
      <c r="BO87" s="250"/>
      <c r="BP87" s="250"/>
      <c r="BQ87" s="221"/>
      <c r="BR87" s="251"/>
      <c r="BS87" s="246">
        <f t="shared" si="18"/>
        <v>0</v>
      </c>
      <c r="BT87" s="247">
        <f t="shared" si="19"/>
        <v>0</v>
      </c>
      <c r="BU87" s="248"/>
      <c r="BV87" s="250"/>
      <c r="BW87" s="250"/>
      <c r="BX87" s="266"/>
      <c r="BY87" s="251" t="s">
        <v>968</v>
      </c>
      <c r="BZ87" s="246">
        <f t="shared" si="20"/>
        <v>0</v>
      </c>
      <c r="CA87" s="247">
        <f t="shared" si="21"/>
        <v>0</v>
      </c>
      <c r="CB87" s="254"/>
      <c r="CC87" s="250"/>
      <c r="CD87" s="250"/>
      <c r="CE87" s="221"/>
      <c r="CF87" s="251"/>
      <c r="CG87" s="246">
        <f t="shared" si="22"/>
        <v>0</v>
      </c>
      <c r="CH87" s="247">
        <f t="shared" si="23"/>
        <v>0</v>
      </c>
      <c r="CI87" s="254"/>
      <c r="CJ87" s="250"/>
      <c r="CK87" s="250"/>
      <c r="CL87" s="250"/>
      <c r="CM87" s="251"/>
      <c r="CN87" s="246"/>
      <c r="CO87" s="247"/>
      <c r="CP87" s="254"/>
      <c r="CQ87" s="250"/>
      <c r="CR87" s="250"/>
      <c r="CS87" s="221"/>
      <c r="CT87" s="251"/>
      <c r="CU87" s="246">
        <f t="shared" si="26"/>
        <v>0</v>
      </c>
      <c r="CV87" s="247">
        <f t="shared" si="27"/>
        <v>0</v>
      </c>
      <c r="CW87" s="254"/>
      <c r="CX87" s="250"/>
      <c r="CY87" s="250"/>
      <c r="CZ87" s="221"/>
      <c r="DA87" s="251"/>
      <c r="DB87" s="246">
        <f t="shared" si="28"/>
        <v>0</v>
      </c>
      <c r="DC87" s="247">
        <f t="shared" si="29"/>
        <v>0</v>
      </c>
      <c r="DD87" s="248"/>
      <c r="DE87" s="250"/>
      <c r="DF87" s="250"/>
      <c r="DG87" s="266"/>
      <c r="DH87" s="251" t="s">
        <v>968</v>
      </c>
      <c r="DI87" s="246">
        <f t="shared" si="30"/>
        <v>0</v>
      </c>
      <c r="DJ87" s="255">
        <f t="shared" si="31"/>
        <v>0</v>
      </c>
      <c r="DK87" s="209"/>
      <c r="DL87" s="220"/>
      <c r="DM87" s="221"/>
      <c r="DO87" s="256"/>
      <c r="DP87" s="257"/>
      <c r="DR87" s="258">
        <f t="shared" si="32"/>
        <v>0</v>
      </c>
      <c r="DS87" s="258">
        <f t="shared" si="33"/>
        <v>0</v>
      </c>
      <c r="DT87" s="258">
        <f t="shared" si="34"/>
        <v>0</v>
      </c>
      <c r="DU87" s="258">
        <f t="shared" si="35"/>
        <v>0</v>
      </c>
      <c r="DV87" s="259">
        <f t="shared" si="36"/>
        <v>0</v>
      </c>
      <c r="DW87" s="259">
        <f t="shared" si="37"/>
        <v>0</v>
      </c>
    </row>
    <row r="88" spans="1:127" s="194" customFormat="1" ht="15.75" x14ac:dyDescent="0.2">
      <c r="A88" s="239">
        <v>61</v>
      </c>
      <c r="B88" s="240" t="s">
        <v>1021</v>
      </c>
      <c r="C88" s="276"/>
      <c r="D88" s="271"/>
      <c r="E88" s="272"/>
      <c r="F88" s="244"/>
      <c r="G88" s="245"/>
      <c r="H88" s="246">
        <f t="shared" si="0"/>
        <v>0</v>
      </c>
      <c r="I88" s="247">
        <f t="shared" si="1"/>
        <v>0</v>
      </c>
      <c r="J88" s="254"/>
      <c r="K88" s="250"/>
      <c r="L88" s="250"/>
      <c r="M88" s="221"/>
      <c r="N88" s="251"/>
      <c r="O88" s="246">
        <f t="shared" si="2"/>
        <v>0</v>
      </c>
      <c r="P88" s="247">
        <f t="shared" si="3"/>
        <v>0</v>
      </c>
      <c r="Q88" s="254"/>
      <c r="R88" s="250"/>
      <c r="S88" s="250"/>
      <c r="T88" s="221"/>
      <c r="U88" s="251"/>
      <c r="V88" s="246">
        <f t="shared" si="4"/>
        <v>0</v>
      </c>
      <c r="W88" s="247">
        <f t="shared" si="5"/>
        <v>0</v>
      </c>
      <c r="X88" s="254"/>
      <c r="Y88" s="250"/>
      <c r="Z88" s="250"/>
      <c r="AA88" s="221"/>
      <c r="AB88" s="251"/>
      <c r="AC88" s="246">
        <f t="shared" si="6"/>
        <v>0</v>
      </c>
      <c r="AD88" s="247">
        <f t="shared" si="7"/>
        <v>0</v>
      </c>
      <c r="AE88" s="254"/>
      <c r="AF88" s="273"/>
      <c r="AG88" s="250"/>
      <c r="AH88" s="221"/>
      <c r="AI88" s="251"/>
      <c r="AJ88" s="246">
        <f t="shared" si="8"/>
        <v>0</v>
      </c>
      <c r="AK88" s="247">
        <f t="shared" si="9"/>
        <v>0</v>
      </c>
      <c r="AL88" s="254"/>
      <c r="AM88" s="250"/>
      <c r="AN88" s="250"/>
      <c r="AO88" s="221"/>
      <c r="AP88" s="251"/>
      <c r="AQ88" s="246">
        <f t="shared" si="10"/>
        <v>0</v>
      </c>
      <c r="AR88" s="247">
        <f t="shared" si="11"/>
        <v>0</v>
      </c>
      <c r="AS88" s="254"/>
      <c r="AT88" s="250"/>
      <c r="AU88" s="250"/>
      <c r="AV88" s="221"/>
      <c r="AW88" s="251"/>
      <c r="AX88" s="246">
        <f t="shared" si="12"/>
        <v>0</v>
      </c>
      <c r="AY88" s="247">
        <f t="shared" si="13"/>
        <v>0</v>
      </c>
      <c r="AZ88" s="254"/>
      <c r="BA88" s="250"/>
      <c r="BB88" s="250"/>
      <c r="BC88" s="221"/>
      <c r="BD88" s="251"/>
      <c r="BE88" s="246">
        <f t="shared" si="14"/>
        <v>0</v>
      </c>
      <c r="BF88" s="247">
        <f t="shared" si="15"/>
        <v>0</v>
      </c>
      <c r="BG88" s="254"/>
      <c r="BH88" s="250"/>
      <c r="BI88" s="250"/>
      <c r="BJ88" s="221"/>
      <c r="BK88" s="251"/>
      <c r="BL88" s="246">
        <f t="shared" si="16"/>
        <v>0</v>
      </c>
      <c r="BM88" s="247">
        <f t="shared" si="17"/>
        <v>0</v>
      </c>
      <c r="BN88" s="254"/>
      <c r="BO88" s="250"/>
      <c r="BP88" s="250"/>
      <c r="BQ88" s="221"/>
      <c r="BR88" s="251"/>
      <c r="BS88" s="246">
        <f t="shared" si="18"/>
        <v>0</v>
      </c>
      <c r="BT88" s="247">
        <f t="shared" si="19"/>
        <v>0</v>
      </c>
      <c r="BU88" s="248"/>
      <c r="BV88" s="250"/>
      <c r="BW88" s="250"/>
      <c r="BX88" s="221"/>
      <c r="BY88" s="251" t="s">
        <v>968</v>
      </c>
      <c r="BZ88" s="246">
        <f t="shared" si="20"/>
        <v>0</v>
      </c>
      <c r="CA88" s="247">
        <f t="shared" si="21"/>
        <v>0</v>
      </c>
      <c r="CB88" s="254"/>
      <c r="CC88" s="250"/>
      <c r="CD88" s="250"/>
      <c r="CE88" s="221"/>
      <c r="CF88" s="251"/>
      <c r="CG88" s="246">
        <f t="shared" si="22"/>
        <v>0</v>
      </c>
      <c r="CH88" s="247">
        <f t="shared" si="23"/>
        <v>0</v>
      </c>
      <c r="CI88" s="254"/>
      <c r="CJ88" s="250"/>
      <c r="CK88" s="250"/>
      <c r="CL88" s="250"/>
      <c r="CM88" s="251"/>
      <c r="CN88" s="246"/>
      <c r="CO88" s="247"/>
      <c r="CP88" s="254"/>
      <c r="CQ88" s="250"/>
      <c r="CR88" s="250"/>
      <c r="CS88" s="221"/>
      <c r="CT88" s="251"/>
      <c r="CU88" s="246">
        <f t="shared" si="26"/>
        <v>0</v>
      </c>
      <c r="CV88" s="247">
        <f t="shared" si="27"/>
        <v>0</v>
      </c>
      <c r="CW88" s="254"/>
      <c r="CX88" s="250"/>
      <c r="CY88" s="250"/>
      <c r="CZ88" s="221"/>
      <c r="DA88" s="251"/>
      <c r="DB88" s="246">
        <f t="shared" si="28"/>
        <v>0</v>
      </c>
      <c r="DC88" s="247">
        <f t="shared" si="29"/>
        <v>0</v>
      </c>
      <c r="DD88" s="248"/>
      <c r="DE88" s="250"/>
      <c r="DF88" s="250"/>
      <c r="DG88" s="221"/>
      <c r="DH88" s="251" t="s">
        <v>968</v>
      </c>
      <c r="DI88" s="246">
        <f t="shared" si="30"/>
        <v>0</v>
      </c>
      <c r="DJ88" s="255">
        <f t="shared" si="31"/>
        <v>0</v>
      </c>
      <c r="DK88" s="209"/>
      <c r="DL88" s="220"/>
      <c r="DM88" s="221"/>
      <c r="DO88" s="256"/>
      <c r="DP88" s="257"/>
      <c r="DR88" s="258">
        <f t="shared" si="32"/>
        <v>0</v>
      </c>
      <c r="DS88" s="258">
        <f t="shared" si="33"/>
        <v>0</v>
      </c>
      <c r="DT88" s="258">
        <f t="shared" si="34"/>
        <v>0</v>
      </c>
      <c r="DU88" s="258">
        <f t="shared" si="35"/>
        <v>0</v>
      </c>
      <c r="DV88" s="259">
        <f t="shared" si="36"/>
        <v>0</v>
      </c>
      <c r="DW88" s="259">
        <f t="shared" si="37"/>
        <v>0</v>
      </c>
    </row>
    <row r="89" spans="1:127" s="194" customFormat="1" ht="15.75" x14ac:dyDescent="0.2">
      <c r="A89" s="239">
        <v>62</v>
      </c>
      <c r="B89" s="240" t="s">
        <v>1022</v>
      </c>
      <c r="C89" s="276"/>
      <c r="D89" s="271"/>
      <c r="E89" s="272"/>
      <c r="F89" s="244"/>
      <c r="G89" s="245"/>
      <c r="H89" s="246">
        <f t="shared" si="0"/>
        <v>0</v>
      </c>
      <c r="I89" s="247">
        <f t="shared" si="1"/>
        <v>0</v>
      </c>
      <c r="J89" s="254"/>
      <c r="K89" s="250"/>
      <c r="L89" s="250"/>
      <c r="M89" s="221"/>
      <c r="N89" s="251"/>
      <c r="O89" s="246">
        <f t="shared" si="2"/>
        <v>0</v>
      </c>
      <c r="P89" s="247">
        <f t="shared" si="3"/>
        <v>0</v>
      </c>
      <c r="Q89" s="254"/>
      <c r="R89" s="250"/>
      <c r="S89" s="250"/>
      <c r="T89" s="221"/>
      <c r="U89" s="251"/>
      <c r="V89" s="246">
        <f t="shared" si="4"/>
        <v>0</v>
      </c>
      <c r="W89" s="247">
        <f t="shared" si="5"/>
        <v>0</v>
      </c>
      <c r="X89" s="254"/>
      <c r="Y89" s="250"/>
      <c r="Z89" s="250"/>
      <c r="AA89" s="221"/>
      <c r="AB89" s="251"/>
      <c r="AC89" s="246">
        <f t="shared" si="6"/>
        <v>0</v>
      </c>
      <c r="AD89" s="247">
        <f t="shared" si="7"/>
        <v>0</v>
      </c>
      <c r="AE89" s="254"/>
      <c r="AF89" s="273"/>
      <c r="AG89" s="250"/>
      <c r="AH89" s="221"/>
      <c r="AI89" s="251"/>
      <c r="AJ89" s="246">
        <f t="shared" si="8"/>
        <v>0</v>
      </c>
      <c r="AK89" s="247">
        <f t="shared" si="9"/>
        <v>0</v>
      </c>
      <c r="AL89" s="254"/>
      <c r="AM89" s="250"/>
      <c r="AN89" s="250"/>
      <c r="AO89" s="221"/>
      <c r="AP89" s="251"/>
      <c r="AQ89" s="246">
        <f t="shared" si="10"/>
        <v>0</v>
      </c>
      <c r="AR89" s="247">
        <f t="shared" si="11"/>
        <v>0</v>
      </c>
      <c r="AS89" s="254"/>
      <c r="AT89" s="250"/>
      <c r="AU89" s="250"/>
      <c r="AV89" s="221"/>
      <c r="AW89" s="251"/>
      <c r="AX89" s="246">
        <f t="shared" si="12"/>
        <v>0</v>
      </c>
      <c r="AY89" s="247">
        <f t="shared" si="13"/>
        <v>0</v>
      </c>
      <c r="AZ89" s="254"/>
      <c r="BA89" s="250"/>
      <c r="BB89" s="250"/>
      <c r="BC89" s="221"/>
      <c r="BD89" s="251"/>
      <c r="BE89" s="246">
        <f t="shared" si="14"/>
        <v>0</v>
      </c>
      <c r="BF89" s="247">
        <f t="shared" si="15"/>
        <v>0</v>
      </c>
      <c r="BG89" s="254"/>
      <c r="BH89" s="250"/>
      <c r="BI89" s="250"/>
      <c r="BJ89" s="221"/>
      <c r="BK89" s="251"/>
      <c r="BL89" s="246">
        <f t="shared" si="16"/>
        <v>0</v>
      </c>
      <c r="BM89" s="247">
        <f t="shared" si="17"/>
        <v>0</v>
      </c>
      <c r="BN89" s="254"/>
      <c r="BO89" s="250"/>
      <c r="BP89" s="250"/>
      <c r="BQ89" s="221"/>
      <c r="BR89" s="251"/>
      <c r="BS89" s="246">
        <f t="shared" si="18"/>
        <v>0</v>
      </c>
      <c r="BT89" s="247">
        <f t="shared" si="19"/>
        <v>0</v>
      </c>
      <c r="BU89" s="254"/>
      <c r="BV89" s="250"/>
      <c r="BW89" s="250"/>
      <c r="BX89" s="221"/>
      <c r="BY89" s="251"/>
      <c r="BZ89" s="246">
        <f t="shared" si="20"/>
        <v>0</v>
      </c>
      <c r="CA89" s="247">
        <f t="shared" si="21"/>
        <v>0</v>
      </c>
      <c r="CB89" s="254"/>
      <c r="CC89" s="250"/>
      <c r="CD89" s="250"/>
      <c r="CE89" s="221"/>
      <c r="CF89" s="251"/>
      <c r="CG89" s="246">
        <f t="shared" si="22"/>
        <v>0</v>
      </c>
      <c r="CH89" s="247">
        <f t="shared" si="23"/>
        <v>0</v>
      </c>
      <c r="CI89" s="248"/>
      <c r="CJ89" s="252"/>
      <c r="CK89" s="250"/>
      <c r="CL89" s="250"/>
      <c r="CM89" s="251" t="s">
        <v>968</v>
      </c>
      <c r="CN89" s="246"/>
      <c r="CO89" s="247"/>
      <c r="CP89" s="254"/>
      <c r="CQ89" s="250"/>
      <c r="CR89" s="250"/>
      <c r="CS89" s="221"/>
      <c r="CT89" s="251"/>
      <c r="CU89" s="246">
        <f t="shared" si="26"/>
        <v>0</v>
      </c>
      <c r="CV89" s="247">
        <f t="shared" si="27"/>
        <v>0</v>
      </c>
      <c r="CW89" s="248"/>
      <c r="CX89" s="250"/>
      <c r="CY89" s="253"/>
      <c r="CZ89" s="221"/>
      <c r="DA89" s="251" t="s">
        <v>968</v>
      </c>
      <c r="DB89" s="246">
        <f t="shared" si="28"/>
        <v>0</v>
      </c>
      <c r="DC89" s="247">
        <f t="shared" si="29"/>
        <v>0</v>
      </c>
      <c r="DD89" s="254"/>
      <c r="DE89" s="250"/>
      <c r="DF89" s="250"/>
      <c r="DG89" s="221"/>
      <c r="DH89" s="251"/>
      <c r="DI89" s="246">
        <f t="shared" si="30"/>
        <v>0</v>
      </c>
      <c r="DJ89" s="255">
        <f t="shared" si="31"/>
        <v>0</v>
      </c>
      <c r="DK89" s="209"/>
      <c r="DL89" s="220"/>
      <c r="DM89" s="221"/>
      <c r="DO89" s="256"/>
      <c r="DP89" s="257"/>
      <c r="DR89" s="258">
        <f t="shared" si="32"/>
        <v>0</v>
      </c>
      <c r="DS89" s="258">
        <f t="shared" si="33"/>
        <v>0</v>
      </c>
      <c r="DT89" s="258">
        <f t="shared" si="34"/>
        <v>0</v>
      </c>
      <c r="DU89" s="258">
        <f t="shared" si="35"/>
        <v>0</v>
      </c>
      <c r="DV89" s="259">
        <f t="shared" si="36"/>
        <v>0</v>
      </c>
      <c r="DW89" s="259">
        <f t="shared" si="37"/>
        <v>0</v>
      </c>
    </row>
    <row r="90" spans="1:127" s="194" customFormat="1" ht="15.75" x14ac:dyDescent="0.2">
      <c r="A90" s="239">
        <v>63</v>
      </c>
      <c r="B90" s="240" t="s">
        <v>1023</v>
      </c>
      <c r="C90" s="276"/>
      <c r="D90" s="271"/>
      <c r="E90" s="272"/>
      <c r="F90" s="244"/>
      <c r="G90" s="245"/>
      <c r="H90" s="246">
        <f t="shared" si="0"/>
        <v>0</v>
      </c>
      <c r="I90" s="247">
        <f t="shared" si="1"/>
        <v>0</v>
      </c>
      <c r="J90" s="254"/>
      <c r="K90" s="250"/>
      <c r="L90" s="250"/>
      <c r="M90" s="221"/>
      <c r="N90" s="251"/>
      <c r="O90" s="246">
        <f t="shared" si="2"/>
        <v>0</v>
      </c>
      <c r="P90" s="247">
        <f t="shared" si="3"/>
        <v>0</v>
      </c>
      <c r="Q90" s="254"/>
      <c r="R90" s="250"/>
      <c r="S90" s="250"/>
      <c r="T90" s="221"/>
      <c r="U90" s="251"/>
      <c r="V90" s="246">
        <f t="shared" si="4"/>
        <v>0</v>
      </c>
      <c r="W90" s="247">
        <f t="shared" si="5"/>
        <v>0</v>
      </c>
      <c r="X90" s="254"/>
      <c r="Y90" s="250"/>
      <c r="Z90" s="250"/>
      <c r="AA90" s="221"/>
      <c r="AB90" s="251"/>
      <c r="AC90" s="246">
        <f t="shared" si="6"/>
        <v>0</v>
      </c>
      <c r="AD90" s="247">
        <f t="shared" si="7"/>
        <v>0</v>
      </c>
      <c r="AE90" s="254"/>
      <c r="AF90" s="273"/>
      <c r="AG90" s="250"/>
      <c r="AH90" s="221"/>
      <c r="AI90" s="251"/>
      <c r="AJ90" s="246">
        <f t="shared" si="8"/>
        <v>0</v>
      </c>
      <c r="AK90" s="247">
        <f t="shared" si="9"/>
        <v>0</v>
      </c>
      <c r="AL90" s="254"/>
      <c r="AM90" s="250"/>
      <c r="AN90" s="250"/>
      <c r="AO90" s="221"/>
      <c r="AP90" s="251"/>
      <c r="AQ90" s="246">
        <f t="shared" si="10"/>
        <v>0</v>
      </c>
      <c r="AR90" s="247">
        <f t="shared" si="11"/>
        <v>0</v>
      </c>
      <c r="AS90" s="254"/>
      <c r="AT90" s="250"/>
      <c r="AU90" s="250"/>
      <c r="AV90" s="221"/>
      <c r="AW90" s="251"/>
      <c r="AX90" s="246">
        <f t="shared" si="12"/>
        <v>0</v>
      </c>
      <c r="AY90" s="247">
        <f t="shared" si="13"/>
        <v>0</v>
      </c>
      <c r="AZ90" s="254"/>
      <c r="BA90" s="250"/>
      <c r="BB90" s="250"/>
      <c r="BC90" s="221"/>
      <c r="BD90" s="251"/>
      <c r="BE90" s="246">
        <f t="shared" si="14"/>
        <v>0</v>
      </c>
      <c r="BF90" s="247">
        <f t="shared" si="15"/>
        <v>0</v>
      </c>
      <c r="BG90" s="254"/>
      <c r="BH90" s="250"/>
      <c r="BI90" s="250"/>
      <c r="BJ90" s="221"/>
      <c r="BK90" s="251"/>
      <c r="BL90" s="246">
        <f t="shared" si="16"/>
        <v>0</v>
      </c>
      <c r="BM90" s="247">
        <f t="shared" si="17"/>
        <v>0</v>
      </c>
      <c r="BN90" s="254"/>
      <c r="BO90" s="250"/>
      <c r="BP90" s="250"/>
      <c r="BQ90" s="221"/>
      <c r="BR90" s="251"/>
      <c r="BS90" s="246">
        <f t="shared" si="18"/>
        <v>0</v>
      </c>
      <c r="BT90" s="247">
        <f t="shared" si="19"/>
        <v>0</v>
      </c>
      <c r="BU90" s="254"/>
      <c r="BV90" s="250"/>
      <c r="BW90" s="250"/>
      <c r="BX90" s="221"/>
      <c r="BY90" s="251"/>
      <c r="BZ90" s="246">
        <f t="shared" si="20"/>
        <v>0</v>
      </c>
      <c r="CA90" s="247">
        <f t="shared" si="21"/>
        <v>0</v>
      </c>
      <c r="CB90" s="254"/>
      <c r="CC90" s="250"/>
      <c r="CD90" s="250"/>
      <c r="CE90" s="221"/>
      <c r="CF90" s="251"/>
      <c r="CG90" s="246">
        <f t="shared" si="22"/>
        <v>0</v>
      </c>
      <c r="CH90" s="247">
        <f t="shared" si="23"/>
        <v>0</v>
      </c>
      <c r="CI90" s="248"/>
      <c r="CJ90" s="250"/>
      <c r="CK90" s="250"/>
      <c r="CL90" s="250"/>
      <c r="CM90" s="251" t="s">
        <v>968</v>
      </c>
      <c r="CN90" s="246"/>
      <c r="CO90" s="247"/>
      <c r="CP90" s="254"/>
      <c r="CQ90" s="250"/>
      <c r="CR90" s="250"/>
      <c r="CS90" s="221"/>
      <c r="CT90" s="251"/>
      <c r="CU90" s="246">
        <f t="shared" si="26"/>
        <v>0</v>
      </c>
      <c r="CV90" s="247">
        <f t="shared" si="27"/>
        <v>0</v>
      </c>
      <c r="CW90" s="254"/>
      <c r="CX90" s="250"/>
      <c r="CY90" s="250"/>
      <c r="CZ90" s="221"/>
      <c r="DA90" s="251"/>
      <c r="DB90" s="246">
        <f t="shared" si="28"/>
        <v>0</v>
      </c>
      <c r="DC90" s="247">
        <f t="shared" si="29"/>
        <v>0</v>
      </c>
      <c r="DD90" s="254"/>
      <c r="DE90" s="250"/>
      <c r="DF90" s="250"/>
      <c r="DG90" s="221"/>
      <c r="DH90" s="251"/>
      <c r="DI90" s="246">
        <f t="shared" si="30"/>
        <v>0</v>
      </c>
      <c r="DJ90" s="255">
        <f t="shared" si="31"/>
        <v>0</v>
      </c>
      <c r="DK90" s="209"/>
      <c r="DL90" s="220"/>
      <c r="DM90" s="285"/>
      <c r="DO90" s="256"/>
      <c r="DP90" s="257"/>
      <c r="DR90" s="258">
        <f t="shared" si="32"/>
        <v>0</v>
      </c>
      <c r="DS90" s="258">
        <f t="shared" si="33"/>
        <v>0</v>
      </c>
      <c r="DT90" s="258">
        <f t="shared" si="34"/>
        <v>0</v>
      </c>
      <c r="DU90" s="258">
        <f t="shared" si="35"/>
        <v>0</v>
      </c>
      <c r="DV90" s="259">
        <f t="shared" si="36"/>
        <v>0</v>
      </c>
      <c r="DW90" s="259">
        <f t="shared" si="37"/>
        <v>0</v>
      </c>
    </row>
    <row r="91" spans="1:127" s="194" customFormat="1" ht="15.75" x14ac:dyDescent="0.2">
      <c r="A91" s="239">
        <v>64</v>
      </c>
      <c r="B91" s="240" t="s">
        <v>1024</v>
      </c>
      <c r="C91" s="276"/>
      <c r="D91" s="271"/>
      <c r="E91" s="272"/>
      <c r="F91" s="244"/>
      <c r="G91" s="245"/>
      <c r="H91" s="246">
        <f t="shared" si="0"/>
        <v>0</v>
      </c>
      <c r="I91" s="247">
        <f t="shared" si="1"/>
        <v>0</v>
      </c>
      <c r="J91" s="254"/>
      <c r="K91" s="250"/>
      <c r="L91" s="250"/>
      <c r="M91" s="221"/>
      <c r="N91" s="251"/>
      <c r="O91" s="246">
        <f t="shared" si="2"/>
        <v>0</v>
      </c>
      <c r="P91" s="247">
        <f t="shared" si="3"/>
        <v>0</v>
      </c>
      <c r="Q91" s="254"/>
      <c r="R91" s="250"/>
      <c r="S91" s="250"/>
      <c r="T91" s="221"/>
      <c r="U91" s="251"/>
      <c r="V91" s="246">
        <f t="shared" si="4"/>
        <v>0</v>
      </c>
      <c r="W91" s="247">
        <f t="shared" si="5"/>
        <v>0</v>
      </c>
      <c r="X91" s="254"/>
      <c r="Y91" s="250"/>
      <c r="Z91" s="250"/>
      <c r="AA91" s="221"/>
      <c r="AB91" s="251"/>
      <c r="AC91" s="246">
        <f t="shared" si="6"/>
        <v>0</v>
      </c>
      <c r="AD91" s="247">
        <f t="shared" si="7"/>
        <v>0</v>
      </c>
      <c r="AE91" s="254"/>
      <c r="AF91" s="273"/>
      <c r="AG91" s="250"/>
      <c r="AH91" s="221"/>
      <c r="AI91" s="251"/>
      <c r="AJ91" s="246">
        <f t="shared" si="8"/>
        <v>0</v>
      </c>
      <c r="AK91" s="247">
        <f t="shared" si="9"/>
        <v>0</v>
      </c>
      <c r="AL91" s="254"/>
      <c r="AM91" s="250"/>
      <c r="AN91" s="250"/>
      <c r="AO91" s="221"/>
      <c r="AP91" s="251"/>
      <c r="AQ91" s="246">
        <f t="shared" si="10"/>
        <v>0</v>
      </c>
      <c r="AR91" s="247">
        <f t="shared" si="11"/>
        <v>0</v>
      </c>
      <c r="AS91" s="254"/>
      <c r="AT91" s="250"/>
      <c r="AU91" s="250"/>
      <c r="AV91" s="221"/>
      <c r="AW91" s="251"/>
      <c r="AX91" s="246">
        <f t="shared" si="12"/>
        <v>0</v>
      </c>
      <c r="AY91" s="247">
        <f t="shared" si="13"/>
        <v>0</v>
      </c>
      <c r="AZ91" s="254"/>
      <c r="BA91" s="250"/>
      <c r="BB91" s="250"/>
      <c r="BC91" s="221"/>
      <c r="BD91" s="251"/>
      <c r="BE91" s="246">
        <f t="shared" si="14"/>
        <v>0</v>
      </c>
      <c r="BF91" s="247">
        <f t="shared" si="15"/>
        <v>0</v>
      </c>
      <c r="BG91" s="254"/>
      <c r="BH91" s="250"/>
      <c r="BI91" s="250"/>
      <c r="BJ91" s="221"/>
      <c r="BK91" s="251"/>
      <c r="BL91" s="246">
        <f t="shared" si="16"/>
        <v>0</v>
      </c>
      <c r="BM91" s="247">
        <f t="shared" si="17"/>
        <v>0</v>
      </c>
      <c r="BN91" s="254"/>
      <c r="BO91" s="250"/>
      <c r="BP91" s="250"/>
      <c r="BQ91" s="221"/>
      <c r="BR91" s="251"/>
      <c r="BS91" s="246">
        <f t="shared" si="18"/>
        <v>0</v>
      </c>
      <c r="BT91" s="247">
        <f t="shared" si="19"/>
        <v>0</v>
      </c>
      <c r="BU91" s="254"/>
      <c r="BV91" s="250"/>
      <c r="BW91" s="250"/>
      <c r="BX91" s="221"/>
      <c r="BY91" s="251"/>
      <c r="BZ91" s="246">
        <f t="shared" si="20"/>
        <v>0</v>
      </c>
      <c r="CA91" s="247">
        <f t="shared" si="21"/>
        <v>0</v>
      </c>
      <c r="CB91" s="254"/>
      <c r="CC91" s="250"/>
      <c r="CD91" s="250"/>
      <c r="CE91" s="221"/>
      <c r="CF91" s="251"/>
      <c r="CG91" s="246">
        <f t="shared" si="22"/>
        <v>0</v>
      </c>
      <c r="CH91" s="247">
        <f t="shared" si="23"/>
        <v>0</v>
      </c>
      <c r="CI91" s="248"/>
      <c r="CJ91" s="250"/>
      <c r="CK91" s="250"/>
      <c r="CL91" s="250"/>
      <c r="CM91" s="251" t="s">
        <v>968</v>
      </c>
      <c r="CN91" s="246"/>
      <c r="CO91" s="247"/>
      <c r="CP91" s="254"/>
      <c r="CQ91" s="250"/>
      <c r="CR91" s="250"/>
      <c r="CS91" s="221"/>
      <c r="CT91" s="251"/>
      <c r="CU91" s="246">
        <f t="shared" si="26"/>
        <v>0</v>
      </c>
      <c r="CV91" s="247">
        <f t="shared" si="27"/>
        <v>0</v>
      </c>
      <c r="CW91" s="254"/>
      <c r="CX91" s="250"/>
      <c r="CY91" s="250"/>
      <c r="CZ91" s="221"/>
      <c r="DA91" s="251"/>
      <c r="DB91" s="246">
        <f t="shared" si="28"/>
        <v>0</v>
      </c>
      <c r="DC91" s="247">
        <f t="shared" si="29"/>
        <v>0</v>
      </c>
      <c r="DD91" s="254"/>
      <c r="DE91" s="250"/>
      <c r="DF91" s="250"/>
      <c r="DG91" s="221"/>
      <c r="DH91" s="251"/>
      <c r="DI91" s="246">
        <f t="shared" si="30"/>
        <v>0</v>
      </c>
      <c r="DJ91" s="255">
        <f t="shared" si="31"/>
        <v>0</v>
      </c>
      <c r="DK91" s="209"/>
      <c r="DL91" s="220"/>
      <c r="DM91" s="285"/>
      <c r="DO91" s="256"/>
      <c r="DP91" s="257"/>
      <c r="DR91" s="258">
        <f t="shared" si="32"/>
        <v>0</v>
      </c>
      <c r="DS91" s="258">
        <f t="shared" si="33"/>
        <v>0</v>
      </c>
      <c r="DT91" s="258">
        <f t="shared" si="34"/>
        <v>0</v>
      </c>
      <c r="DU91" s="258">
        <f t="shared" si="35"/>
        <v>0</v>
      </c>
      <c r="DV91" s="259">
        <f t="shared" si="36"/>
        <v>0</v>
      </c>
      <c r="DW91" s="259">
        <f t="shared" si="37"/>
        <v>0</v>
      </c>
    </row>
    <row r="92" spans="1:127" s="194" customFormat="1" ht="15.75" x14ac:dyDescent="0.2">
      <c r="A92" s="239">
        <v>65</v>
      </c>
      <c r="B92" s="240" t="s">
        <v>1025</v>
      </c>
      <c r="C92" s="276"/>
      <c r="D92" s="271"/>
      <c r="E92" s="272"/>
      <c r="F92" s="244"/>
      <c r="G92" s="245"/>
      <c r="H92" s="246">
        <f t="shared" ref="H92:H117" si="38">IF(D92&lt;&gt;"",$B$189,IF(E92&lt;&gt;"",$B$190,IF(F92&lt;&gt;"",$B$191,0)))</f>
        <v>0</v>
      </c>
      <c r="I92" s="247">
        <f t="shared" ref="I92:I117" si="39">IF(AND(D92="",E92="",F92=""),0,IF($DW92&gt;H92,H92,$DW92))</f>
        <v>0</v>
      </c>
      <c r="J92" s="254"/>
      <c r="K92" s="250"/>
      <c r="L92" s="250"/>
      <c r="M92" s="221"/>
      <c r="N92" s="251"/>
      <c r="O92" s="246">
        <f t="shared" ref="O92:O117" si="40">IF(K92&lt;&gt;"",$B$189,IF(L92&lt;&gt;"",$B$190,IF(M92&lt;&gt;"",$B$191,0)))</f>
        <v>0</v>
      </c>
      <c r="P92" s="247">
        <f t="shared" ref="P92:P117" si="41">IF(AND(K92="",L92="",M92=""),0,IF($DW92&gt;O92,O92,$DW92))</f>
        <v>0</v>
      </c>
      <c r="Q92" s="254"/>
      <c r="R92" s="250"/>
      <c r="S92" s="250"/>
      <c r="T92" s="221"/>
      <c r="U92" s="251"/>
      <c r="V92" s="246">
        <f t="shared" ref="V92:V117" si="42">IF(R92&lt;&gt;"",$B$189,IF(S92&lt;&gt;"",$B$190,IF(T92&lt;&gt;"",$B$191,0)))</f>
        <v>0</v>
      </c>
      <c r="W92" s="247">
        <f t="shared" ref="W92:W117" si="43">IF(AND(R92="",S92="",T92=""),0,IF($DW92&gt;V92,V92,$DW92))</f>
        <v>0</v>
      </c>
      <c r="X92" s="254"/>
      <c r="Y92" s="250"/>
      <c r="Z92" s="250"/>
      <c r="AA92" s="221"/>
      <c r="AB92" s="251"/>
      <c r="AC92" s="246">
        <f t="shared" ref="AC92:AC117" si="44">IF(Y92&lt;&gt;"",$B$189,IF(Z92&lt;&gt;"",$B$190,IF(AA92&lt;&gt;"",$B$191,0)))</f>
        <v>0</v>
      </c>
      <c r="AD92" s="247">
        <f t="shared" ref="AD92:AD117" si="45">IF(AND(Y92="",Z92="",AA92=""),0,IF($DW92&gt;AC92,AC92,$DW92))</f>
        <v>0</v>
      </c>
      <c r="AE92" s="254"/>
      <c r="AF92" s="273"/>
      <c r="AG92" s="250"/>
      <c r="AH92" s="221"/>
      <c r="AI92" s="251"/>
      <c r="AJ92" s="246">
        <f t="shared" ref="AJ92:AJ117" si="46">IF(AF92&lt;&gt;"",$B$189,IF(AG92&lt;&gt;"",$B$190,IF(AH92&lt;&gt;"",$B$191,0)))</f>
        <v>0</v>
      </c>
      <c r="AK92" s="247">
        <f t="shared" ref="AK92:AK117" si="47">IF(AND(AF92="",AG92="",AH92=""),0,IF($DW92&gt;AJ92,AJ92,$DW92))</f>
        <v>0</v>
      </c>
      <c r="AL92" s="254"/>
      <c r="AM92" s="250"/>
      <c r="AN92" s="250"/>
      <c r="AO92" s="221"/>
      <c r="AP92" s="251"/>
      <c r="AQ92" s="246">
        <f t="shared" ref="AQ92:AQ117" si="48">IF(AM92&lt;&gt;"",$B$189,IF(AN92&lt;&gt;"",$B$190,IF(AO92&lt;&gt;"",$B$191,0)))</f>
        <v>0</v>
      </c>
      <c r="AR92" s="247">
        <f t="shared" ref="AR92:AR117" si="49">IF(AND(AM92="",AN92="",AO92=""),0,IF($DW92&gt;AQ92,AQ92,$DW92))</f>
        <v>0</v>
      </c>
      <c r="AS92" s="254"/>
      <c r="AT92" s="250"/>
      <c r="AU92" s="250"/>
      <c r="AV92" s="221"/>
      <c r="AW92" s="251"/>
      <c r="AX92" s="246">
        <f t="shared" ref="AX92:AX117" si="50">IF(AT92&lt;&gt;"",$B$189,IF(AU92&lt;&gt;"",$B$190,IF(AV92&lt;&gt;"",$B$191,0)))</f>
        <v>0</v>
      </c>
      <c r="AY92" s="247">
        <f t="shared" ref="AY92:AY117" si="51">IF(AND(AT92="",AU92="",AV92=""),0,IF($DW92&gt;AX92,AX92,$DW92))</f>
        <v>0</v>
      </c>
      <c r="AZ92" s="254"/>
      <c r="BA92" s="250"/>
      <c r="BB92" s="250"/>
      <c r="BC92" s="221"/>
      <c r="BD92" s="251"/>
      <c r="BE92" s="246">
        <f t="shared" ref="BE92:BE117" si="52">IF(BA92&lt;&gt;"",$B$189,IF(BB92&lt;&gt;"",$B$190,IF(BC92&lt;&gt;"",$B$191,0)))</f>
        <v>0</v>
      </c>
      <c r="BF92" s="247">
        <f t="shared" ref="BF92:BF117" si="53">IF(AND(BA92="",BB92="",BC92=""),0,IF($DW92&gt;BE92,BE92,$DW92))</f>
        <v>0</v>
      </c>
      <c r="BG92" s="254"/>
      <c r="BH92" s="250"/>
      <c r="BI92" s="250"/>
      <c r="BJ92" s="221"/>
      <c r="BK92" s="251"/>
      <c r="BL92" s="246">
        <f t="shared" ref="BL92:BL117" si="54">IF(BH92&lt;&gt;"",$B$189,IF(BI92&lt;&gt;"",$B$190,IF(BJ92&lt;&gt;"",$B$191,0)))</f>
        <v>0</v>
      </c>
      <c r="BM92" s="247">
        <f t="shared" ref="BM92:BM117" si="55">IF(AND(BH92="",BI92="",BJ92=""),0,IF($DW92&gt;BL92,BL92,$DW92))</f>
        <v>0</v>
      </c>
      <c r="BN92" s="254"/>
      <c r="BO92" s="250"/>
      <c r="BP92" s="250"/>
      <c r="BQ92" s="221"/>
      <c r="BR92" s="251"/>
      <c r="BS92" s="246">
        <f t="shared" ref="BS92:BS117" si="56">IF(BO92&lt;&gt;"",$B$189,IF(BP92&lt;&gt;"",$B$190,IF(BQ92&lt;&gt;"",$B$191,0)))</f>
        <v>0</v>
      </c>
      <c r="BT92" s="247">
        <f t="shared" ref="BT92:BT117" si="57">IF(AND(BO92="",BP92="",BQ92=""),0,IF($DW92&gt;BS92,BS92,$DW92))</f>
        <v>0</v>
      </c>
      <c r="BU92" s="254"/>
      <c r="BV92" s="250"/>
      <c r="BW92" s="250"/>
      <c r="BX92" s="221"/>
      <c r="BY92" s="251"/>
      <c r="BZ92" s="246">
        <f t="shared" ref="BZ92:BZ117" si="58">IF(BV92&lt;&gt;"",$B$189,IF(BW92&lt;&gt;"",$B$190,IF(BX92&lt;&gt;"",$B$191,0)))</f>
        <v>0</v>
      </c>
      <c r="CA92" s="247">
        <f t="shared" ref="CA92:CA117" si="59">IF(AND(BV92="",BW92="",BX92=""),0,IF($DW92&gt;BZ92,BZ92,$DW92))</f>
        <v>0</v>
      </c>
      <c r="CB92" s="254"/>
      <c r="CC92" s="250"/>
      <c r="CD92" s="250"/>
      <c r="CE92" s="221"/>
      <c r="CF92" s="251"/>
      <c r="CG92" s="246">
        <f t="shared" ref="CG92:CG117" si="60">IF(CC92&lt;&gt;"",$B$189,IF(CD92&lt;&gt;"",$B$190,IF(CE92&lt;&gt;"",$B$191,0)))</f>
        <v>0</v>
      </c>
      <c r="CH92" s="247">
        <f t="shared" ref="CH92:CH117" si="61">IF(AND(CC92="",CD92="",CE92=""),0,IF($DW92&gt;CG92,CG92,$DW92))</f>
        <v>0</v>
      </c>
      <c r="CI92" s="248"/>
      <c r="CJ92" s="250"/>
      <c r="CK92" s="283"/>
      <c r="CL92" s="250"/>
      <c r="CM92" s="251" t="s">
        <v>968</v>
      </c>
      <c r="CN92" s="246"/>
      <c r="CO92" s="247"/>
      <c r="CP92" s="254"/>
      <c r="CQ92" s="250"/>
      <c r="CR92" s="250"/>
      <c r="CS92" s="221"/>
      <c r="CT92" s="251"/>
      <c r="CU92" s="246">
        <f t="shared" ref="CU92:CU117" si="62">IF(CQ92&lt;&gt;"",$B$189,IF(CR92&lt;&gt;"",$B$190,IF(CS92&lt;&gt;"",$B$191,0)))</f>
        <v>0</v>
      </c>
      <c r="CV92" s="247">
        <f t="shared" ref="CV92:CV117" si="63">IF(AND(CQ92="",CR92="",CS92=""),0,IF($DW92&gt;CU92,CU92,$DW92))</f>
        <v>0</v>
      </c>
      <c r="CW92" s="248"/>
      <c r="CX92" s="273"/>
      <c r="CY92" s="253"/>
      <c r="CZ92" s="221"/>
      <c r="DA92" s="251" t="s">
        <v>968</v>
      </c>
      <c r="DB92" s="246">
        <f t="shared" ref="DB92:DB117" si="64">IF(CX92&lt;&gt;"",$B$189,IF(CY92&lt;&gt;"",$B$190,IF(CZ92&lt;&gt;"",$B$191,0)))</f>
        <v>0</v>
      </c>
      <c r="DC92" s="247">
        <f t="shared" ref="DC92:DC117" si="65">IF(AND(CX92="",CY92="",CZ92=""),0,IF($DW92&gt;DB92,DB92,$DW92))</f>
        <v>0</v>
      </c>
      <c r="DD92" s="254"/>
      <c r="DE92" s="250"/>
      <c r="DF92" s="250"/>
      <c r="DG92" s="221"/>
      <c r="DH92" s="251"/>
      <c r="DI92" s="246">
        <f t="shared" ref="DI92:DI117" si="66">IF(DE92&lt;&gt;"",$B$189,IF(DF92&lt;&gt;"",$B$190,IF(DG92&lt;&gt;"",$B$191,0)))</f>
        <v>0</v>
      </c>
      <c r="DJ92" s="255">
        <f t="shared" ref="DJ92:DJ117" si="67">IF(AND(DE92="",DF92="",DG92=""),0,IF($DW92&gt;DI92,DI92,$DW92))</f>
        <v>0</v>
      </c>
      <c r="DK92" s="209"/>
      <c r="DL92" s="286"/>
      <c r="DM92" s="285"/>
      <c r="DO92" s="256"/>
      <c r="DP92" s="257"/>
      <c r="DR92" s="258">
        <f t="shared" si="32"/>
        <v>0</v>
      </c>
      <c r="DS92" s="258">
        <f t="shared" si="33"/>
        <v>0</v>
      </c>
      <c r="DT92" s="258">
        <f t="shared" si="34"/>
        <v>0</v>
      </c>
      <c r="DU92" s="258">
        <f t="shared" si="35"/>
        <v>0</v>
      </c>
      <c r="DV92" s="259">
        <f t="shared" si="36"/>
        <v>0</v>
      </c>
      <c r="DW92" s="259">
        <f t="shared" si="37"/>
        <v>0</v>
      </c>
    </row>
    <row r="93" spans="1:127" s="194" customFormat="1" ht="25.5" x14ac:dyDescent="0.2">
      <c r="A93" s="239">
        <v>66</v>
      </c>
      <c r="B93" s="240" t="s">
        <v>1026</v>
      </c>
      <c r="C93" s="276"/>
      <c r="D93" s="271"/>
      <c r="E93" s="272"/>
      <c r="F93" s="244"/>
      <c r="G93" s="245"/>
      <c r="H93" s="246">
        <f t="shared" si="38"/>
        <v>0</v>
      </c>
      <c r="I93" s="247">
        <f t="shared" si="39"/>
        <v>0</v>
      </c>
      <c r="J93" s="254"/>
      <c r="K93" s="250"/>
      <c r="L93" s="250"/>
      <c r="M93" s="221"/>
      <c r="N93" s="251"/>
      <c r="O93" s="246">
        <f t="shared" si="40"/>
        <v>0</v>
      </c>
      <c r="P93" s="247">
        <f t="shared" si="41"/>
        <v>0</v>
      </c>
      <c r="Q93" s="254"/>
      <c r="R93" s="250"/>
      <c r="S93" s="250"/>
      <c r="T93" s="221"/>
      <c r="U93" s="251"/>
      <c r="V93" s="246">
        <f t="shared" si="42"/>
        <v>0</v>
      </c>
      <c r="W93" s="247">
        <f t="shared" si="43"/>
        <v>0</v>
      </c>
      <c r="X93" s="254"/>
      <c r="Y93" s="250"/>
      <c r="Z93" s="250"/>
      <c r="AA93" s="221"/>
      <c r="AB93" s="251"/>
      <c r="AC93" s="246">
        <f t="shared" si="44"/>
        <v>0</v>
      </c>
      <c r="AD93" s="247">
        <f t="shared" si="45"/>
        <v>0</v>
      </c>
      <c r="AE93" s="254"/>
      <c r="AF93" s="273"/>
      <c r="AG93" s="250"/>
      <c r="AH93" s="221"/>
      <c r="AI93" s="251"/>
      <c r="AJ93" s="246">
        <f t="shared" si="46"/>
        <v>0</v>
      </c>
      <c r="AK93" s="247">
        <f t="shared" si="47"/>
        <v>0</v>
      </c>
      <c r="AL93" s="254"/>
      <c r="AM93" s="250"/>
      <c r="AN93" s="250"/>
      <c r="AO93" s="221"/>
      <c r="AP93" s="251"/>
      <c r="AQ93" s="246">
        <f t="shared" si="48"/>
        <v>0</v>
      </c>
      <c r="AR93" s="247">
        <f t="shared" si="49"/>
        <v>0</v>
      </c>
      <c r="AS93" s="254"/>
      <c r="AT93" s="250"/>
      <c r="AU93" s="250"/>
      <c r="AV93" s="221"/>
      <c r="AW93" s="251"/>
      <c r="AX93" s="246">
        <f t="shared" si="50"/>
        <v>0</v>
      </c>
      <c r="AY93" s="247">
        <f t="shared" si="51"/>
        <v>0</v>
      </c>
      <c r="AZ93" s="254"/>
      <c r="BA93" s="250"/>
      <c r="BB93" s="250"/>
      <c r="BC93" s="221"/>
      <c r="BD93" s="251"/>
      <c r="BE93" s="246">
        <f t="shared" si="52"/>
        <v>0</v>
      </c>
      <c r="BF93" s="247">
        <f t="shared" si="53"/>
        <v>0</v>
      </c>
      <c r="BG93" s="254"/>
      <c r="BH93" s="250"/>
      <c r="BI93" s="250"/>
      <c r="BJ93" s="221"/>
      <c r="BK93" s="251"/>
      <c r="BL93" s="246">
        <f t="shared" si="54"/>
        <v>0</v>
      </c>
      <c r="BM93" s="247">
        <f t="shared" si="55"/>
        <v>0</v>
      </c>
      <c r="BN93" s="254"/>
      <c r="BO93" s="250"/>
      <c r="BP93" s="250"/>
      <c r="BQ93" s="221"/>
      <c r="BR93" s="251"/>
      <c r="BS93" s="246">
        <f t="shared" si="56"/>
        <v>0</v>
      </c>
      <c r="BT93" s="247">
        <f t="shared" si="57"/>
        <v>0</v>
      </c>
      <c r="BU93" s="254"/>
      <c r="BV93" s="250"/>
      <c r="BW93" s="250"/>
      <c r="BX93" s="221"/>
      <c r="BY93" s="251"/>
      <c r="BZ93" s="246">
        <f t="shared" si="58"/>
        <v>0</v>
      </c>
      <c r="CA93" s="247">
        <f t="shared" si="59"/>
        <v>0</v>
      </c>
      <c r="CB93" s="254"/>
      <c r="CC93" s="250"/>
      <c r="CD93" s="250"/>
      <c r="CE93" s="221"/>
      <c r="CF93" s="251"/>
      <c r="CG93" s="246">
        <f t="shared" si="60"/>
        <v>0</v>
      </c>
      <c r="CH93" s="247">
        <f t="shared" si="61"/>
        <v>0</v>
      </c>
      <c r="CI93" s="248"/>
      <c r="CJ93" s="250"/>
      <c r="CK93" s="250"/>
      <c r="CL93" s="274"/>
      <c r="CM93" s="251" t="s">
        <v>968</v>
      </c>
      <c r="CN93" s="246"/>
      <c r="CO93" s="247"/>
      <c r="CP93" s="254"/>
      <c r="CQ93" s="250"/>
      <c r="CR93" s="250"/>
      <c r="CS93" s="221"/>
      <c r="CT93" s="251"/>
      <c r="CU93" s="246">
        <f t="shared" si="62"/>
        <v>0</v>
      </c>
      <c r="CV93" s="247">
        <f t="shared" si="63"/>
        <v>0</v>
      </c>
      <c r="CW93" s="248"/>
      <c r="CX93" s="250"/>
      <c r="CY93" s="250"/>
      <c r="CZ93" s="266"/>
      <c r="DA93" s="251" t="s">
        <v>968</v>
      </c>
      <c r="DB93" s="246">
        <f t="shared" si="64"/>
        <v>0</v>
      </c>
      <c r="DC93" s="247">
        <f t="shared" si="65"/>
        <v>0</v>
      </c>
      <c r="DD93" s="254"/>
      <c r="DE93" s="250"/>
      <c r="DF93" s="250"/>
      <c r="DG93" s="221"/>
      <c r="DH93" s="251"/>
      <c r="DI93" s="246">
        <f t="shared" si="66"/>
        <v>0</v>
      </c>
      <c r="DJ93" s="255">
        <f t="shared" si="67"/>
        <v>0</v>
      </c>
      <c r="DK93" s="209"/>
      <c r="DL93" s="286"/>
      <c r="DM93" s="285"/>
      <c r="DO93" s="256"/>
      <c r="DP93" s="257"/>
      <c r="DR93" s="258">
        <f t="shared" ref="DR93:DR117" si="68">COUNTA(D93:F93,K93:M93,R93:T93,Y93:AA93,AF93:AH93,AM93:AO93,AT93:AV93,BA93:BC93,BH93:BJ93,BO93:BQ93,BV93:BX93,CC93:CE93,CJ93:CL93,CQ93:CS93,CX93:CZ93,DE93:DG93)</f>
        <v>0</v>
      </c>
      <c r="DS93" s="258">
        <f t="shared" ref="DS93:DS117" si="69">IF(COUNTA(D93,K93,R93,Y93,AF93,AM93,AT93,BA93,BH93,BO93,BV93,CC93,CJ93,CQ93,CX93,DE93)&gt;0,$B$189,0)</f>
        <v>0</v>
      </c>
      <c r="DT93" s="258">
        <f t="shared" ref="DT93:DT117" si="70">IF(COUNTA(E93,L93,S93,Z93,AG93,AN93,AU93,BB93,BI93,BP93,BW93,CD93,CK93,CR93,CY93,DF93)&gt;0,$B$190,0)</f>
        <v>0</v>
      </c>
      <c r="DU93" s="258">
        <f t="shared" ref="DU93:DU117" si="71">IF(COUNTA(F93,M93,T93,AA93,AH93,AO93,AV93,BC93,BJ93,BQ93,BX93,CE93,CL93,CS93,CZ93,DG93)&gt;0,$B$191,0)</f>
        <v>0</v>
      </c>
      <c r="DV93" s="259">
        <f t="shared" ref="DV93:DV117" si="72">IF(DU93&gt;DT93,DU93,IF(DT93&gt;DS93,DT93,DS93))</f>
        <v>0</v>
      </c>
      <c r="DW93" s="259">
        <f t="shared" ref="DW93:DW117" si="73">IF(DR93=0,0,DV93/DR93)</f>
        <v>0</v>
      </c>
    </row>
    <row r="94" spans="1:127" s="194" customFormat="1" ht="25.5" x14ac:dyDescent="0.2">
      <c r="A94" s="239">
        <v>67</v>
      </c>
      <c r="B94" s="240" t="s">
        <v>1027</v>
      </c>
      <c r="C94" s="276"/>
      <c r="D94" s="271"/>
      <c r="E94" s="272"/>
      <c r="F94" s="244"/>
      <c r="G94" s="245"/>
      <c r="H94" s="246">
        <f t="shared" si="38"/>
        <v>0</v>
      </c>
      <c r="I94" s="247">
        <f t="shared" si="39"/>
        <v>0</v>
      </c>
      <c r="J94" s="254"/>
      <c r="K94" s="250"/>
      <c r="L94" s="250"/>
      <c r="M94" s="221"/>
      <c r="N94" s="251"/>
      <c r="O94" s="246">
        <f t="shared" si="40"/>
        <v>0</v>
      </c>
      <c r="P94" s="247">
        <f t="shared" si="41"/>
        <v>0</v>
      </c>
      <c r="Q94" s="254"/>
      <c r="R94" s="250"/>
      <c r="S94" s="250"/>
      <c r="T94" s="221"/>
      <c r="U94" s="251"/>
      <c r="V94" s="246">
        <f t="shared" si="42"/>
        <v>0</v>
      </c>
      <c r="W94" s="247">
        <f t="shared" si="43"/>
        <v>0</v>
      </c>
      <c r="X94" s="254"/>
      <c r="Y94" s="250"/>
      <c r="Z94" s="250"/>
      <c r="AA94" s="221"/>
      <c r="AB94" s="251"/>
      <c r="AC94" s="246">
        <f t="shared" si="44"/>
        <v>0</v>
      </c>
      <c r="AD94" s="247">
        <f t="shared" si="45"/>
        <v>0</v>
      </c>
      <c r="AE94" s="254"/>
      <c r="AF94" s="273"/>
      <c r="AG94" s="250"/>
      <c r="AH94" s="221"/>
      <c r="AI94" s="251"/>
      <c r="AJ94" s="246">
        <f t="shared" si="46"/>
        <v>0</v>
      </c>
      <c r="AK94" s="247">
        <f t="shared" si="47"/>
        <v>0</v>
      </c>
      <c r="AL94" s="254"/>
      <c r="AM94" s="250"/>
      <c r="AN94" s="250"/>
      <c r="AO94" s="221"/>
      <c r="AP94" s="251"/>
      <c r="AQ94" s="246">
        <f t="shared" si="48"/>
        <v>0</v>
      </c>
      <c r="AR94" s="247">
        <f t="shared" si="49"/>
        <v>0</v>
      </c>
      <c r="AS94" s="254"/>
      <c r="AT94" s="250"/>
      <c r="AU94" s="250"/>
      <c r="AV94" s="221"/>
      <c r="AW94" s="251"/>
      <c r="AX94" s="246">
        <f t="shared" si="50"/>
        <v>0</v>
      </c>
      <c r="AY94" s="247">
        <f t="shared" si="51"/>
        <v>0</v>
      </c>
      <c r="AZ94" s="254"/>
      <c r="BA94" s="250"/>
      <c r="BB94" s="250"/>
      <c r="BC94" s="221"/>
      <c r="BD94" s="251"/>
      <c r="BE94" s="246">
        <f t="shared" si="52"/>
        <v>0</v>
      </c>
      <c r="BF94" s="247">
        <f t="shared" si="53"/>
        <v>0</v>
      </c>
      <c r="BG94" s="254"/>
      <c r="BH94" s="250"/>
      <c r="BI94" s="250"/>
      <c r="BJ94" s="221"/>
      <c r="BK94" s="251"/>
      <c r="BL94" s="246">
        <f t="shared" si="54"/>
        <v>0</v>
      </c>
      <c r="BM94" s="247">
        <f t="shared" si="55"/>
        <v>0</v>
      </c>
      <c r="BN94" s="254"/>
      <c r="BO94" s="250"/>
      <c r="BP94" s="250"/>
      <c r="BQ94" s="221"/>
      <c r="BR94" s="251"/>
      <c r="BS94" s="246">
        <f t="shared" si="56"/>
        <v>0</v>
      </c>
      <c r="BT94" s="247">
        <f t="shared" si="57"/>
        <v>0</v>
      </c>
      <c r="BU94" s="254"/>
      <c r="BV94" s="250"/>
      <c r="BW94" s="250"/>
      <c r="BX94" s="221"/>
      <c r="BY94" s="251"/>
      <c r="BZ94" s="246">
        <f t="shared" si="58"/>
        <v>0</v>
      </c>
      <c r="CA94" s="247">
        <f t="shared" si="59"/>
        <v>0</v>
      </c>
      <c r="CB94" s="254"/>
      <c r="CC94" s="250"/>
      <c r="CD94" s="250"/>
      <c r="CE94" s="221"/>
      <c r="CF94" s="251"/>
      <c r="CG94" s="246">
        <f t="shared" si="60"/>
        <v>0</v>
      </c>
      <c r="CH94" s="247">
        <f t="shared" si="61"/>
        <v>0</v>
      </c>
      <c r="CI94" s="248"/>
      <c r="CJ94" s="252"/>
      <c r="CK94" s="250"/>
      <c r="CL94" s="250"/>
      <c r="CM94" s="251" t="s">
        <v>968</v>
      </c>
      <c r="CN94" s="246"/>
      <c r="CO94" s="247"/>
      <c r="CP94" s="254"/>
      <c r="CQ94" s="250"/>
      <c r="CR94" s="250"/>
      <c r="CS94" s="221"/>
      <c r="CT94" s="251"/>
      <c r="CU94" s="246">
        <f t="shared" si="62"/>
        <v>0</v>
      </c>
      <c r="CV94" s="247">
        <f t="shared" si="63"/>
        <v>0</v>
      </c>
      <c r="CW94" s="248"/>
      <c r="CX94" s="252"/>
      <c r="CY94" s="250"/>
      <c r="CZ94" s="221"/>
      <c r="DA94" s="251" t="s">
        <v>968</v>
      </c>
      <c r="DB94" s="246">
        <f t="shared" si="64"/>
        <v>0</v>
      </c>
      <c r="DC94" s="247">
        <f t="shared" si="65"/>
        <v>0</v>
      </c>
      <c r="DD94" s="254"/>
      <c r="DE94" s="250"/>
      <c r="DF94" s="250"/>
      <c r="DG94" s="221"/>
      <c r="DH94" s="251"/>
      <c r="DI94" s="246">
        <f t="shared" si="66"/>
        <v>0</v>
      </c>
      <c r="DJ94" s="255">
        <f t="shared" si="67"/>
        <v>0</v>
      </c>
      <c r="DK94" s="209"/>
      <c r="DL94" s="286"/>
      <c r="DM94" s="285"/>
      <c r="DO94" s="256"/>
      <c r="DP94" s="257"/>
      <c r="DR94" s="258">
        <f t="shared" si="68"/>
        <v>0</v>
      </c>
      <c r="DS94" s="258">
        <f t="shared" si="69"/>
        <v>0</v>
      </c>
      <c r="DT94" s="258">
        <f t="shared" si="70"/>
        <v>0</v>
      </c>
      <c r="DU94" s="258">
        <f t="shared" si="71"/>
        <v>0</v>
      </c>
      <c r="DV94" s="259">
        <f t="shared" si="72"/>
        <v>0</v>
      </c>
      <c r="DW94" s="259">
        <f t="shared" si="73"/>
        <v>0</v>
      </c>
    </row>
    <row r="95" spans="1:127" s="194" customFormat="1" ht="15.75" x14ac:dyDescent="0.2">
      <c r="A95" s="239">
        <v>68</v>
      </c>
      <c r="B95" s="240" t="s">
        <v>1028</v>
      </c>
      <c r="C95" s="276"/>
      <c r="D95" s="271"/>
      <c r="E95" s="272"/>
      <c r="F95" s="244"/>
      <c r="G95" s="245"/>
      <c r="H95" s="246">
        <f t="shared" si="38"/>
        <v>0</v>
      </c>
      <c r="I95" s="247">
        <f t="shared" si="39"/>
        <v>0</v>
      </c>
      <c r="J95" s="254"/>
      <c r="K95" s="250"/>
      <c r="L95" s="250"/>
      <c r="M95" s="221"/>
      <c r="N95" s="251"/>
      <c r="O95" s="246">
        <f t="shared" si="40"/>
        <v>0</v>
      </c>
      <c r="P95" s="247">
        <f t="shared" si="41"/>
        <v>0</v>
      </c>
      <c r="Q95" s="254"/>
      <c r="R95" s="250"/>
      <c r="S95" s="250"/>
      <c r="T95" s="221"/>
      <c r="U95" s="251"/>
      <c r="V95" s="246">
        <f t="shared" si="42"/>
        <v>0</v>
      </c>
      <c r="W95" s="247">
        <f t="shared" si="43"/>
        <v>0</v>
      </c>
      <c r="X95" s="254"/>
      <c r="Y95" s="250"/>
      <c r="Z95" s="250"/>
      <c r="AA95" s="221"/>
      <c r="AB95" s="251"/>
      <c r="AC95" s="246">
        <f t="shared" si="44"/>
        <v>0</v>
      </c>
      <c r="AD95" s="247">
        <f t="shared" si="45"/>
        <v>0</v>
      </c>
      <c r="AE95" s="254"/>
      <c r="AF95" s="273"/>
      <c r="AG95" s="250"/>
      <c r="AH95" s="221"/>
      <c r="AI95" s="251"/>
      <c r="AJ95" s="246">
        <f t="shared" si="46"/>
        <v>0</v>
      </c>
      <c r="AK95" s="247">
        <f t="shared" si="47"/>
        <v>0</v>
      </c>
      <c r="AL95" s="254"/>
      <c r="AM95" s="250"/>
      <c r="AN95" s="250"/>
      <c r="AO95" s="221"/>
      <c r="AP95" s="251"/>
      <c r="AQ95" s="246">
        <f t="shared" si="48"/>
        <v>0</v>
      </c>
      <c r="AR95" s="247">
        <f t="shared" si="49"/>
        <v>0</v>
      </c>
      <c r="AS95" s="254"/>
      <c r="AT95" s="250"/>
      <c r="AU95" s="250"/>
      <c r="AV95" s="221"/>
      <c r="AW95" s="251"/>
      <c r="AX95" s="246">
        <f t="shared" si="50"/>
        <v>0</v>
      </c>
      <c r="AY95" s="247">
        <f t="shared" si="51"/>
        <v>0</v>
      </c>
      <c r="AZ95" s="254"/>
      <c r="BA95" s="250"/>
      <c r="BB95" s="250"/>
      <c r="BC95" s="221"/>
      <c r="BD95" s="251"/>
      <c r="BE95" s="246">
        <f t="shared" si="52"/>
        <v>0</v>
      </c>
      <c r="BF95" s="247">
        <f t="shared" si="53"/>
        <v>0</v>
      </c>
      <c r="BG95" s="254"/>
      <c r="BH95" s="250"/>
      <c r="BI95" s="250"/>
      <c r="BJ95" s="221"/>
      <c r="BK95" s="251"/>
      <c r="BL95" s="246">
        <f t="shared" si="54"/>
        <v>0</v>
      </c>
      <c r="BM95" s="247">
        <f t="shared" si="55"/>
        <v>0</v>
      </c>
      <c r="BN95" s="254"/>
      <c r="BO95" s="250"/>
      <c r="BP95" s="250"/>
      <c r="BQ95" s="221"/>
      <c r="BR95" s="251"/>
      <c r="BS95" s="246">
        <f t="shared" si="56"/>
        <v>0</v>
      </c>
      <c r="BT95" s="247">
        <f t="shared" si="57"/>
        <v>0</v>
      </c>
      <c r="BU95" s="254"/>
      <c r="BV95" s="250"/>
      <c r="BW95" s="250"/>
      <c r="BX95" s="221"/>
      <c r="BY95" s="251"/>
      <c r="BZ95" s="246">
        <f t="shared" si="58"/>
        <v>0</v>
      </c>
      <c r="CA95" s="247">
        <f t="shared" si="59"/>
        <v>0</v>
      </c>
      <c r="CB95" s="254"/>
      <c r="CC95" s="250"/>
      <c r="CD95" s="250"/>
      <c r="CE95" s="221"/>
      <c r="CF95" s="251"/>
      <c r="CG95" s="246">
        <f t="shared" si="60"/>
        <v>0</v>
      </c>
      <c r="CH95" s="247">
        <f t="shared" si="61"/>
        <v>0</v>
      </c>
      <c r="CI95" s="248"/>
      <c r="CJ95" s="250"/>
      <c r="CK95" s="250"/>
      <c r="CL95" s="250"/>
      <c r="CM95" s="251" t="s">
        <v>968</v>
      </c>
      <c r="CN95" s="246"/>
      <c r="CO95" s="247"/>
      <c r="CP95" s="254"/>
      <c r="CQ95" s="250"/>
      <c r="CR95" s="250"/>
      <c r="CS95" s="221"/>
      <c r="CT95" s="251"/>
      <c r="CU95" s="246">
        <f t="shared" si="62"/>
        <v>0</v>
      </c>
      <c r="CV95" s="247">
        <f t="shared" si="63"/>
        <v>0</v>
      </c>
      <c r="CW95" s="254"/>
      <c r="CX95" s="250"/>
      <c r="CY95" s="250"/>
      <c r="CZ95" s="221"/>
      <c r="DA95" s="251"/>
      <c r="DB95" s="246">
        <f t="shared" si="64"/>
        <v>0</v>
      </c>
      <c r="DC95" s="247">
        <f t="shared" si="65"/>
        <v>0</v>
      </c>
      <c r="DD95" s="254"/>
      <c r="DE95" s="250"/>
      <c r="DF95" s="250"/>
      <c r="DG95" s="221"/>
      <c r="DH95" s="251"/>
      <c r="DI95" s="246">
        <f t="shared" si="66"/>
        <v>0</v>
      </c>
      <c r="DJ95" s="255">
        <f t="shared" si="67"/>
        <v>0</v>
      </c>
      <c r="DK95" s="209"/>
      <c r="DL95" s="220"/>
      <c r="DM95" s="221"/>
      <c r="DO95" s="256"/>
      <c r="DP95" s="257"/>
      <c r="DR95" s="258">
        <f t="shared" si="68"/>
        <v>0</v>
      </c>
      <c r="DS95" s="258">
        <f t="shared" si="69"/>
        <v>0</v>
      </c>
      <c r="DT95" s="258">
        <f t="shared" si="70"/>
        <v>0</v>
      </c>
      <c r="DU95" s="258">
        <f t="shared" si="71"/>
        <v>0</v>
      </c>
      <c r="DV95" s="259">
        <f t="shared" si="72"/>
        <v>0</v>
      </c>
      <c r="DW95" s="259">
        <f t="shared" si="73"/>
        <v>0</v>
      </c>
    </row>
    <row r="96" spans="1:127" s="194" customFormat="1" ht="15.75" x14ac:dyDescent="0.2">
      <c r="A96" s="239">
        <v>69</v>
      </c>
      <c r="B96" s="240" t="s">
        <v>1029</v>
      </c>
      <c r="C96" s="276"/>
      <c r="D96" s="271"/>
      <c r="E96" s="272"/>
      <c r="F96" s="244"/>
      <c r="G96" s="245"/>
      <c r="H96" s="246">
        <f t="shared" si="38"/>
        <v>0</v>
      </c>
      <c r="I96" s="247">
        <f t="shared" si="39"/>
        <v>0</v>
      </c>
      <c r="J96" s="254"/>
      <c r="K96" s="250"/>
      <c r="L96" s="250"/>
      <c r="M96" s="221"/>
      <c r="N96" s="251"/>
      <c r="O96" s="246">
        <f t="shared" si="40"/>
        <v>0</v>
      </c>
      <c r="P96" s="247">
        <f t="shared" si="41"/>
        <v>0</v>
      </c>
      <c r="Q96" s="254"/>
      <c r="R96" s="250"/>
      <c r="S96" s="250"/>
      <c r="T96" s="221"/>
      <c r="U96" s="251"/>
      <c r="V96" s="246">
        <f t="shared" si="42"/>
        <v>0</v>
      </c>
      <c r="W96" s="247">
        <f t="shared" si="43"/>
        <v>0</v>
      </c>
      <c r="X96" s="254"/>
      <c r="Y96" s="250"/>
      <c r="Z96" s="250"/>
      <c r="AA96" s="221"/>
      <c r="AB96" s="251"/>
      <c r="AC96" s="246">
        <f t="shared" si="44"/>
        <v>0</v>
      </c>
      <c r="AD96" s="247">
        <f t="shared" si="45"/>
        <v>0</v>
      </c>
      <c r="AE96" s="254"/>
      <c r="AF96" s="273"/>
      <c r="AG96" s="250"/>
      <c r="AH96" s="221"/>
      <c r="AI96" s="251"/>
      <c r="AJ96" s="246">
        <f t="shared" si="46"/>
        <v>0</v>
      </c>
      <c r="AK96" s="247">
        <f t="shared" si="47"/>
        <v>0</v>
      </c>
      <c r="AL96" s="254"/>
      <c r="AM96" s="250"/>
      <c r="AN96" s="250"/>
      <c r="AO96" s="221"/>
      <c r="AP96" s="251"/>
      <c r="AQ96" s="246">
        <f t="shared" si="48"/>
        <v>0</v>
      </c>
      <c r="AR96" s="247">
        <f t="shared" si="49"/>
        <v>0</v>
      </c>
      <c r="AS96" s="254"/>
      <c r="AT96" s="250"/>
      <c r="AU96" s="250"/>
      <c r="AV96" s="221"/>
      <c r="AW96" s="251"/>
      <c r="AX96" s="246">
        <f t="shared" si="50"/>
        <v>0</v>
      </c>
      <c r="AY96" s="247">
        <f t="shared" si="51"/>
        <v>0</v>
      </c>
      <c r="AZ96" s="254"/>
      <c r="BA96" s="250"/>
      <c r="BB96" s="250"/>
      <c r="BC96" s="221"/>
      <c r="BD96" s="251"/>
      <c r="BE96" s="246">
        <f t="shared" si="52"/>
        <v>0</v>
      </c>
      <c r="BF96" s="247">
        <f t="shared" si="53"/>
        <v>0</v>
      </c>
      <c r="BG96" s="254"/>
      <c r="BH96" s="250"/>
      <c r="BI96" s="250"/>
      <c r="BJ96" s="221"/>
      <c r="BK96" s="251"/>
      <c r="BL96" s="246">
        <f t="shared" si="54"/>
        <v>0</v>
      </c>
      <c r="BM96" s="247">
        <f t="shared" si="55"/>
        <v>0</v>
      </c>
      <c r="BN96" s="254"/>
      <c r="BO96" s="250"/>
      <c r="BP96" s="250"/>
      <c r="BQ96" s="221"/>
      <c r="BR96" s="251"/>
      <c r="BS96" s="246">
        <f t="shared" si="56"/>
        <v>0</v>
      </c>
      <c r="BT96" s="247">
        <f t="shared" si="57"/>
        <v>0</v>
      </c>
      <c r="BU96" s="254"/>
      <c r="BV96" s="250"/>
      <c r="BW96" s="250"/>
      <c r="BX96" s="221"/>
      <c r="BY96" s="251"/>
      <c r="BZ96" s="246">
        <f t="shared" si="58"/>
        <v>0</v>
      </c>
      <c r="CA96" s="247">
        <f t="shared" si="59"/>
        <v>0</v>
      </c>
      <c r="CB96" s="254"/>
      <c r="CC96" s="250"/>
      <c r="CD96" s="250"/>
      <c r="CE96" s="221"/>
      <c r="CF96" s="251"/>
      <c r="CG96" s="246">
        <f t="shared" si="60"/>
        <v>0</v>
      </c>
      <c r="CH96" s="247">
        <f t="shared" si="61"/>
        <v>0</v>
      </c>
      <c r="CI96" s="254"/>
      <c r="CJ96" s="250"/>
      <c r="CK96" s="250"/>
      <c r="CL96" s="250"/>
      <c r="CM96" s="251"/>
      <c r="CN96" s="246"/>
      <c r="CO96" s="247"/>
      <c r="CP96" s="254"/>
      <c r="CQ96" s="250"/>
      <c r="CR96" s="250"/>
      <c r="CS96" s="221"/>
      <c r="CT96" s="251"/>
      <c r="CU96" s="246">
        <f t="shared" si="62"/>
        <v>0</v>
      </c>
      <c r="CV96" s="247">
        <f t="shared" si="63"/>
        <v>0</v>
      </c>
      <c r="CW96" s="248"/>
      <c r="CX96" s="250"/>
      <c r="CY96" s="253"/>
      <c r="CZ96" s="221"/>
      <c r="DA96" s="251" t="s">
        <v>968</v>
      </c>
      <c r="DB96" s="246">
        <f t="shared" si="64"/>
        <v>0</v>
      </c>
      <c r="DC96" s="247">
        <f t="shared" si="65"/>
        <v>0</v>
      </c>
      <c r="DD96" s="254"/>
      <c r="DE96" s="250"/>
      <c r="DF96" s="250"/>
      <c r="DG96" s="221"/>
      <c r="DH96" s="251"/>
      <c r="DI96" s="246">
        <f t="shared" si="66"/>
        <v>0</v>
      </c>
      <c r="DJ96" s="255">
        <f t="shared" si="67"/>
        <v>0</v>
      </c>
      <c r="DK96" s="209"/>
      <c r="DL96" s="220"/>
      <c r="DM96" s="221"/>
      <c r="DO96" s="256"/>
      <c r="DP96" s="257"/>
      <c r="DR96" s="258">
        <f t="shared" si="68"/>
        <v>0</v>
      </c>
      <c r="DS96" s="258">
        <f t="shared" si="69"/>
        <v>0</v>
      </c>
      <c r="DT96" s="258">
        <f t="shared" si="70"/>
        <v>0</v>
      </c>
      <c r="DU96" s="258">
        <f t="shared" si="71"/>
        <v>0</v>
      </c>
      <c r="DV96" s="259">
        <f t="shared" si="72"/>
        <v>0</v>
      </c>
      <c r="DW96" s="259">
        <f t="shared" si="73"/>
        <v>0</v>
      </c>
    </row>
    <row r="97" spans="1:127" s="194" customFormat="1" ht="15.75" x14ac:dyDescent="0.2">
      <c r="A97" s="239">
        <v>70</v>
      </c>
      <c r="B97" s="240" t="s">
        <v>1030</v>
      </c>
      <c r="C97" s="276"/>
      <c r="D97" s="271"/>
      <c r="E97" s="272"/>
      <c r="F97" s="244"/>
      <c r="G97" s="245"/>
      <c r="H97" s="246">
        <f t="shared" si="38"/>
        <v>0</v>
      </c>
      <c r="I97" s="247">
        <f t="shared" si="39"/>
        <v>0</v>
      </c>
      <c r="J97" s="254"/>
      <c r="K97" s="250"/>
      <c r="L97" s="250"/>
      <c r="M97" s="221"/>
      <c r="N97" s="251"/>
      <c r="O97" s="246">
        <f t="shared" si="40"/>
        <v>0</v>
      </c>
      <c r="P97" s="247">
        <f t="shared" si="41"/>
        <v>0</v>
      </c>
      <c r="Q97" s="254"/>
      <c r="R97" s="250"/>
      <c r="S97" s="250"/>
      <c r="T97" s="221"/>
      <c r="U97" s="251"/>
      <c r="V97" s="246">
        <f t="shared" si="42"/>
        <v>0</v>
      </c>
      <c r="W97" s="247">
        <f t="shared" si="43"/>
        <v>0</v>
      </c>
      <c r="X97" s="254"/>
      <c r="Y97" s="250"/>
      <c r="Z97" s="250"/>
      <c r="AA97" s="221"/>
      <c r="AB97" s="251"/>
      <c r="AC97" s="246">
        <f t="shared" si="44"/>
        <v>0</v>
      </c>
      <c r="AD97" s="247">
        <f t="shared" si="45"/>
        <v>0</v>
      </c>
      <c r="AE97" s="254"/>
      <c r="AF97" s="273"/>
      <c r="AG97" s="250"/>
      <c r="AH97" s="221"/>
      <c r="AI97" s="251"/>
      <c r="AJ97" s="246">
        <f t="shared" si="46"/>
        <v>0</v>
      </c>
      <c r="AK97" s="247">
        <f t="shared" si="47"/>
        <v>0</v>
      </c>
      <c r="AL97" s="254"/>
      <c r="AM97" s="250"/>
      <c r="AN97" s="250"/>
      <c r="AO97" s="221"/>
      <c r="AP97" s="251"/>
      <c r="AQ97" s="246">
        <f t="shared" si="48"/>
        <v>0</v>
      </c>
      <c r="AR97" s="247">
        <f t="shared" si="49"/>
        <v>0</v>
      </c>
      <c r="AS97" s="254"/>
      <c r="AT97" s="250"/>
      <c r="AU97" s="250"/>
      <c r="AV97" s="221"/>
      <c r="AW97" s="251"/>
      <c r="AX97" s="246">
        <f t="shared" si="50"/>
        <v>0</v>
      </c>
      <c r="AY97" s="247">
        <f t="shared" si="51"/>
        <v>0</v>
      </c>
      <c r="AZ97" s="254"/>
      <c r="BA97" s="250"/>
      <c r="BB97" s="250"/>
      <c r="BC97" s="221"/>
      <c r="BD97" s="251"/>
      <c r="BE97" s="246">
        <f t="shared" si="52"/>
        <v>0</v>
      </c>
      <c r="BF97" s="247">
        <f t="shared" si="53"/>
        <v>0</v>
      </c>
      <c r="BG97" s="254"/>
      <c r="BH97" s="250"/>
      <c r="BI97" s="250"/>
      <c r="BJ97" s="221"/>
      <c r="BK97" s="251"/>
      <c r="BL97" s="246">
        <f t="shared" si="54"/>
        <v>0</v>
      </c>
      <c r="BM97" s="247">
        <f t="shared" si="55"/>
        <v>0</v>
      </c>
      <c r="BN97" s="254"/>
      <c r="BO97" s="250"/>
      <c r="BP97" s="250"/>
      <c r="BQ97" s="221"/>
      <c r="BR97" s="251"/>
      <c r="BS97" s="246">
        <f t="shared" si="56"/>
        <v>0</v>
      </c>
      <c r="BT97" s="247">
        <f t="shared" si="57"/>
        <v>0</v>
      </c>
      <c r="BU97" s="254"/>
      <c r="BV97" s="250"/>
      <c r="BW97" s="250"/>
      <c r="BX97" s="221"/>
      <c r="BY97" s="251"/>
      <c r="BZ97" s="246">
        <f t="shared" si="58"/>
        <v>0</v>
      </c>
      <c r="CA97" s="247">
        <f t="shared" si="59"/>
        <v>0</v>
      </c>
      <c r="CB97" s="254"/>
      <c r="CC97" s="250"/>
      <c r="CD97" s="250"/>
      <c r="CE97" s="221"/>
      <c r="CF97" s="251"/>
      <c r="CG97" s="246">
        <f t="shared" si="60"/>
        <v>0</v>
      </c>
      <c r="CH97" s="247">
        <f t="shared" si="61"/>
        <v>0</v>
      </c>
      <c r="CI97" s="248"/>
      <c r="CJ97" s="250"/>
      <c r="CK97" s="250"/>
      <c r="CL97" s="250"/>
      <c r="CM97" s="251" t="s">
        <v>968</v>
      </c>
      <c r="CN97" s="246"/>
      <c r="CO97" s="247"/>
      <c r="CP97" s="254"/>
      <c r="CQ97" s="250"/>
      <c r="CR97" s="250"/>
      <c r="CS97" s="221"/>
      <c r="CT97" s="251"/>
      <c r="CU97" s="246">
        <f t="shared" si="62"/>
        <v>0</v>
      </c>
      <c r="CV97" s="247">
        <f t="shared" si="63"/>
        <v>0</v>
      </c>
      <c r="CW97" s="254"/>
      <c r="CX97" s="250"/>
      <c r="CY97" s="250"/>
      <c r="CZ97" s="221"/>
      <c r="DA97" s="251"/>
      <c r="DB97" s="246">
        <f t="shared" si="64"/>
        <v>0</v>
      </c>
      <c r="DC97" s="247">
        <f t="shared" si="65"/>
        <v>0</v>
      </c>
      <c r="DD97" s="248"/>
      <c r="DE97" s="250"/>
      <c r="DF97" s="250"/>
      <c r="DG97" s="266"/>
      <c r="DH97" s="251" t="s">
        <v>968</v>
      </c>
      <c r="DI97" s="246">
        <f t="shared" si="66"/>
        <v>0</v>
      </c>
      <c r="DJ97" s="255">
        <f t="shared" si="67"/>
        <v>0</v>
      </c>
      <c r="DK97" s="209"/>
      <c r="DL97" s="220"/>
      <c r="DM97" s="221"/>
      <c r="DO97" s="256"/>
      <c r="DP97" s="257"/>
      <c r="DR97" s="258">
        <f t="shared" si="68"/>
        <v>0</v>
      </c>
      <c r="DS97" s="258">
        <f t="shared" si="69"/>
        <v>0</v>
      </c>
      <c r="DT97" s="258">
        <f t="shared" si="70"/>
        <v>0</v>
      </c>
      <c r="DU97" s="258">
        <f t="shared" si="71"/>
        <v>0</v>
      </c>
      <c r="DV97" s="259">
        <f t="shared" si="72"/>
        <v>0</v>
      </c>
      <c r="DW97" s="259">
        <f t="shared" si="73"/>
        <v>0</v>
      </c>
    </row>
    <row r="98" spans="1:127" s="194" customFormat="1" ht="15.75" x14ac:dyDescent="0.2">
      <c r="A98" s="239">
        <v>71</v>
      </c>
      <c r="B98" s="240" t="s">
        <v>1031</v>
      </c>
      <c r="C98" s="276"/>
      <c r="D98" s="271"/>
      <c r="E98" s="272"/>
      <c r="F98" s="244"/>
      <c r="G98" s="245"/>
      <c r="H98" s="246">
        <f t="shared" si="38"/>
        <v>0</v>
      </c>
      <c r="I98" s="247">
        <f t="shared" si="39"/>
        <v>0</v>
      </c>
      <c r="J98" s="254"/>
      <c r="K98" s="250"/>
      <c r="L98" s="250"/>
      <c r="M98" s="221"/>
      <c r="N98" s="251"/>
      <c r="O98" s="246">
        <f t="shared" si="40"/>
        <v>0</v>
      </c>
      <c r="P98" s="247">
        <f t="shared" si="41"/>
        <v>0</v>
      </c>
      <c r="Q98" s="254"/>
      <c r="R98" s="250"/>
      <c r="S98" s="250"/>
      <c r="T98" s="221"/>
      <c r="U98" s="251"/>
      <c r="V98" s="246">
        <f t="shared" si="42"/>
        <v>0</v>
      </c>
      <c r="W98" s="247">
        <f t="shared" si="43"/>
        <v>0</v>
      </c>
      <c r="X98" s="254"/>
      <c r="Y98" s="250"/>
      <c r="Z98" s="250"/>
      <c r="AA98" s="221"/>
      <c r="AB98" s="251"/>
      <c r="AC98" s="246">
        <f t="shared" si="44"/>
        <v>0</v>
      </c>
      <c r="AD98" s="247">
        <f t="shared" si="45"/>
        <v>0</v>
      </c>
      <c r="AE98" s="254"/>
      <c r="AF98" s="273"/>
      <c r="AG98" s="250"/>
      <c r="AH98" s="221"/>
      <c r="AI98" s="251"/>
      <c r="AJ98" s="246">
        <f t="shared" si="46"/>
        <v>0</v>
      </c>
      <c r="AK98" s="247">
        <f t="shared" si="47"/>
        <v>0</v>
      </c>
      <c r="AL98" s="254"/>
      <c r="AM98" s="250"/>
      <c r="AN98" s="250"/>
      <c r="AO98" s="221"/>
      <c r="AP98" s="251"/>
      <c r="AQ98" s="246">
        <f t="shared" si="48"/>
        <v>0</v>
      </c>
      <c r="AR98" s="247">
        <f t="shared" si="49"/>
        <v>0</v>
      </c>
      <c r="AS98" s="254"/>
      <c r="AT98" s="250"/>
      <c r="AU98" s="250"/>
      <c r="AV98" s="221"/>
      <c r="AW98" s="251"/>
      <c r="AX98" s="246">
        <f t="shared" si="50"/>
        <v>0</v>
      </c>
      <c r="AY98" s="247">
        <f t="shared" si="51"/>
        <v>0</v>
      </c>
      <c r="AZ98" s="254"/>
      <c r="BA98" s="250"/>
      <c r="BB98" s="250"/>
      <c r="BC98" s="221"/>
      <c r="BD98" s="251"/>
      <c r="BE98" s="246">
        <f t="shared" si="52"/>
        <v>0</v>
      </c>
      <c r="BF98" s="247">
        <f t="shared" si="53"/>
        <v>0</v>
      </c>
      <c r="BG98" s="254"/>
      <c r="BH98" s="250"/>
      <c r="BI98" s="250"/>
      <c r="BJ98" s="221"/>
      <c r="BK98" s="251"/>
      <c r="BL98" s="246">
        <f t="shared" si="54"/>
        <v>0</v>
      </c>
      <c r="BM98" s="247">
        <f t="shared" si="55"/>
        <v>0</v>
      </c>
      <c r="BN98" s="254"/>
      <c r="BO98" s="250"/>
      <c r="BP98" s="250"/>
      <c r="BQ98" s="221"/>
      <c r="BR98" s="251"/>
      <c r="BS98" s="246">
        <f t="shared" si="56"/>
        <v>0</v>
      </c>
      <c r="BT98" s="247">
        <f t="shared" si="57"/>
        <v>0</v>
      </c>
      <c r="BU98" s="254"/>
      <c r="BV98" s="250"/>
      <c r="BW98" s="250"/>
      <c r="BX98" s="221"/>
      <c r="BY98" s="251"/>
      <c r="BZ98" s="246">
        <f t="shared" si="58"/>
        <v>0</v>
      </c>
      <c r="CA98" s="247">
        <f t="shared" si="59"/>
        <v>0</v>
      </c>
      <c r="CB98" s="254"/>
      <c r="CC98" s="250"/>
      <c r="CD98" s="250"/>
      <c r="CE98" s="221"/>
      <c r="CF98" s="251"/>
      <c r="CG98" s="246">
        <f t="shared" si="60"/>
        <v>0</v>
      </c>
      <c r="CH98" s="247">
        <f t="shared" si="61"/>
        <v>0</v>
      </c>
      <c r="CI98" s="248"/>
      <c r="CJ98" s="250"/>
      <c r="CK98" s="250"/>
      <c r="CL98" s="274"/>
      <c r="CM98" s="251" t="s">
        <v>968</v>
      </c>
      <c r="CN98" s="246"/>
      <c r="CO98" s="247"/>
      <c r="CP98" s="254"/>
      <c r="CQ98" s="250"/>
      <c r="CR98" s="250"/>
      <c r="CS98" s="221"/>
      <c r="CT98" s="251"/>
      <c r="CU98" s="246">
        <f t="shared" si="62"/>
        <v>0</v>
      </c>
      <c r="CV98" s="247">
        <f t="shared" si="63"/>
        <v>0</v>
      </c>
      <c r="CW98" s="254"/>
      <c r="CX98" s="250"/>
      <c r="CY98" s="250"/>
      <c r="CZ98" s="221"/>
      <c r="DA98" s="251"/>
      <c r="DB98" s="246">
        <f t="shared" si="64"/>
        <v>0</v>
      </c>
      <c r="DC98" s="247">
        <f t="shared" si="65"/>
        <v>0</v>
      </c>
      <c r="DD98" s="254"/>
      <c r="DE98" s="250"/>
      <c r="DF98" s="250"/>
      <c r="DG98" s="221"/>
      <c r="DH98" s="251"/>
      <c r="DI98" s="246">
        <f t="shared" si="66"/>
        <v>0</v>
      </c>
      <c r="DJ98" s="255">
        <f t="shared" si="67"/>
        <v>0</v>
      </c>
      <c r="DK98" s="209"/>
      <c r="DL98" s="220"/>
      <c r="DM98" s="221"/>
      <c r="DO98" s="256"/>
      <c r="DP98" s="257"/>
      <c r="DR98" s="258">
        <f t="shared" si="68"/>
        <v>0</v>
      </c>
      <c r="DS98" s="258">
        <f t="shared" si="69"/>
        <v>0</v>
      </c>
      <c r="DT98" s="258">
        <f t="shared" si="70"/>
        <v>0</v>
      </c>
      <c r="DU98" s="258">
        <f t="shared" si="71"/>
        <v>0</v>
      </c>
      <c r="DV98" s="259">
        <f t="shared" si="72"/>
        <v>0</v>
      </c>
      <c r="DW98" s="259">
        <f t="shared" si="73"/>
        <v>0</v>
      </c>
    </row>
    <row r="99" spans="1:127" s="194" customFormat="1" ht="15.75" x14ac:dyDescent="0.2">
      <c r="A99" s="239">
        <v>72</v>
      </c>
      <c r="B99" s="240" t="s">
        <v>1032</v>
      </c>
      <c r="C99" s="276"/>
      <c r="D99" s="271"/>
      <c r="E99" s="272"/>
      <c r="F99" s="244"/>
      <c r="G99" s="245"/>
      <c r="H99" s="246">
        <f t="shared" si="38"/>
        <v>0</v>
      </c>
      <c r="I99" s="247">
        <f t="shared" si="39"/>
        <v>0</v>
      </c>
      <c r="J99" s="254"/>
      <c r="K99" s="250"/>
      <c r="L99" s="250"/>
      <c r="M99" s="221"/>
      <c r="N99" s="251"/>
      <c r="O99" s="246">
        <f t="shared" si="40"/>
        <v>0</v>
      </c>
      <c r="P99" s="247">
        <f t="shared" si="41"/>
        <v>0</v>
      </c>
      <c r="Q99" s="254"/>
      <c r="R99" s="250"/>
      <c r="S99" s="250"/>
      <c r="T99" s="221"/>
      <c r="U99" s="251"/>
      <c r="V99" s="246">
        <f t="shared" si="42"/>
        <v>0</v>
      </c>
      <c r="W99" s="247">
        <f t="shared" si="43"/>
        <v>0</v>
      </c>
      <c r="X99" s="254"/>
      <c r="Y99" s="250"/>
      <c r="Z99" s="250"/>
      <c r="AA99" s="221"/>
      <c r="AB99" s="251"/>
      <c r="AC99" s="246">
        <f t="shared" si="44"/>
        <v>0</v>
      </c>
      <c r="AD99" s="247">
        <f t="shared" si="45"/>
        <v>0</v>
      </c>
      <c r="AE99" s="254"/>
      <c r="AF99" s="273"/>
      <c r="AG99" s="250"/>
      <c r="AH99" s="221"/>
      <c r="AI99" s="251"/>
      <c r="AJ99" s="246">
        <f t="shared" si="46"/>
        <v>0</v>
      </c>
      <c r="AK99" s="247">
        <f t="shared" si="47"/>
        <v>0</v>
      </c>
      <c r="AL99" s="254"/>
      <c r="AM99" s="250"/>
      <c r="AN99" s="250"/>
      <c r="AO99" s="221"/>
      <c r="AP99" s="251"/>
      <c r="AQ99" s="246">
        <f t="shared" si="48"/>
        <v>0</v>
      </c>
      <c r="AR99" s="247">
        <f t="shared" si="49"/>
        <v>0</v>
      </c>
      <c r="AS99" s="254"/>
      <c r="AT99" s="250"/>
      <c r="AU99" s="250"/>
      <c r="AV99" s="221"/>
      <c r="AW99" s="251"/>
      <c r="AX99" s="246">
        <f t="shared" si="50"/>
        <v>0</v>
      </c>
      <c r="AY99" s="247">
        <f t="shared" si="51"/>
        <v>0</v>
      </c>
      <c r="AZ99" s="254"/>
      <c r="BA99" s="250"/>
      <c r="BB99" s="250"/>
      <c r="BC99" s="221"/>
      <c r="BD99" s="251"/>
      <c r="BE99" s="246">
        <f t="shared" si="52"/>
        <v>0</v>
      </c>
      <c r="BF99" s="247">
        <f t="shared" si="53"/>
        <v>0</v>
      </c>
      <c r="BG99" s="254"/>
      <c r="BH99" s="250"/>
      <c r="BI99" s="250"/>
      <c r="BJ99" s="221"/>
      <c r="BK99" s="251"/>
      <c r="BL99" s="246">
        <f t="shared" si="54"/>
        <v>0</v>
      </c>
      <c r="BM99" s="247">
        <f t="shared" si="55"/>
        <v>0</v>
      </c>
      <c r="BN99" s="254"/>
      <c r="BO99" s="250"/>
      <c r="BP99" s="250"/>
      <c r="BQ99" s="221"/>
      <c r="BR99" s="251"/>
      <c r="BS99" s="246">
        <f t="shared" si="56"/>
        <v>0</v>
      </c>
      <c r="BT99" s="247">
        <f t="shared" si="57"/>
        <v>0</v>
      </c>
      <c r="BU99" s="254"/>
      <c r="BV99" s="250"/>
      <c r="BW99" s="250"/>
      <c r="BX99" s="221"/>
      <c r="BY99" s="251"/>
      <c r="BZ99" s="246">
        <f t="shared" si="58"/>
        <v>0</v>
      </c>
      <c r="CA99" s="247">
        <f t="shared" si="59"/>
        <v>0</v>
      </c>
      <c r="CB99" s="254"/>
      <c r="CC99" s="250"/>
      <c r="CD99" s="250"/>
      <c r="CE99" s="221"/>
      <c r="CF99" s="251"/>
      <c r="CG99" s="246">
        <f t="shared" si="60"/>
        <v>0</v>
      </c>
      <c r="CH99" s="247">
        <f t="shared" si="61"/>
        <v>0</v>
      </c>
      <c r="CI99" s="248"/>
      <c r="CJ99" s="273"/>
      <c r="CK99" s="253"/>
      <c r="CL99" s="281"/>
      <c r="CM99" s="251" t="s">
        <v>968</v>
      </c>
      <c r="CN99" s="246"/>
      <c r="CO99" s="247"/>
      <c r="CP99" s="248"/>
      <c r="CQ99" s="273"/>
      <c r="CR99" s="253"/>
      <c r="CS99" s="221"/>
      <c r="CT99" s="251" t="s">
        <v>968</v>
      </c>
      <c r="CU99" s="246">
        <f t="shared" si="62"/>
        <v>0</v>
      </c>
      <c r="CV99" s="247">
        <f t="shared" si="63"/>
        <v>0</v>
      </c>
      <c r="CW99" s="254"/>
      <c r="CX99" s="250"/>
      <c r="CY99" s="250"/>
      <c r="CZ99" s="221"/>
      <c r="DA99" s="251"/>
      <c r="DB99" s="246">
        <f t="shared" si="64"/>
        <v>0</v>
      </c>
      <c r="DC99" s="247">
        <f t="shared" si="65"/>
        <v>0</v>
      </c>
      <c r="DD99" s="254"/>
      <c r="DE99" s="250"/>
      <c r="DF99" s="250"/>
      <c r="DG99" s="221"/>
      <c r="DH99" s="251"/>
      <c r="DI99" s="246">
        <f t="shared" si="66"/>
        <v>0</v>
      </c>
      <c r="DJ99" s="255">
        <f t="shared" si="67"/>
        <v>0</v>
      </c>
      <c r="DK99" s="209"/>
      <c r="DL99" s="220"/>
      <c r="DM99" s="221"/>
      <c r="DO99" s="256"/>
      <c r="DP99" s="257"/>
      <c r="DR99" s="258">
        <f t="shared" si="68"/>
        <v>0</v>
      </c>
      <c r="DS99" s="258">
        <f t="shared" si="69"/>
        <v>0</v>
      </c>
      <c r="DT99" s="258">
        <f t="shared" si="70"/>
        <v>0</v>
      </c>
      <c r="DU99" s="258">
        <f t="shared" si="71"/>
        <v>0</v>
      </c>
      <c r="DV99" s="259">
        <f t="shared" si="72"/>
        <v>0</v>
      </c>
      <c r="DW99" s="259">
        <f t="shared" si="73"/>
        <v>0</v>
      </c>
    </row>
    <row r="100" spans="1:127" s="194" customFormat="1" ht="15.75" x14ac:dyDescent="0.2">
      <c r="A100" s="239">
        <v>73</v>
      </c>
      <c r="B100" s="240" t="s">
        <v>1033</v>
      </c>
      <c r="C100" s="276"/>
      <c r="D100" s="261"/>
      <c r="E100" s="262"/>
      <c r="F100" s="277"/>
      <c r="G100" s="245"/>
      <c r="H100" s="246">
        <f t="shared" si="38"/>
        <v>0</v>
      </c>
      <c r="I100" s="247">
        <f t="shared" si="39"/>
        <v>0</v>
      </c>
      <c r="J100" s="268"/>
      <c r="K100" s="265"/>
      <c r="L100" s="265"/>
      <c r="M100" s="269"/>
      <c r="N100" s="251"/>
      <c r="O100" s="246">
        <f t="shared" si="40"/>
        <v>0</v>
      </c>
      <c r="P100" s="247">
        <f t="shared" si="41"/>
        <v>0</v>
      </c>
      <c r="Q100" s="268"/>
      <c r="R100" s="265"/>
      <c r="S100" s="265"/>
      <c r="T100" s="269"/>
      <c r="U100" s="251"/>
      <c r="V100" s="246">
        <f t="shared" si="42"/>
        <v>0</v>
      </c>
      <c r="W100" s="247">
        <f t="shared" si="43"/>
        <v>0</v>
      </c>
      <c r="X100" s="268"/>
      <c r="Y100" s="265"/>
      <c r="Z100" s="265"/>
      <c r="AA100" s="269"/>
      <c r="AB100" s="251"/>
      <c r="AC100" s="246">
        <f t="shared" si="44"/>
        <v>0</v>
      </c>
      <c r="AD100" s="247">
        <f t="shared" si="45"/>
        <v>0</v>
      </c>
      <c r="AE100" s="268"/>
      <c r="AF100" s="267"/>
      <c r="AG100" s="265"/>
      <c r="AH100" s="269"/>
      <c r="AI100" s="251"/>
      <c r="AJ100" s="246">
        <f t="shared" si="46"/>
        <v>0</v>
      </c>
      <c r="AK100" s="247">
        <f t="shared" si="47"/>
        <v>0</v>
      </c>
      <c r="AL100" s="268"/>
      <c r="AM100" s="265"/>
      <c r="AN100" s="265"/>
      <c r="AO100" s="269"/>
      <c r="AP100" s="251"/>
      <c r="AQ100" s="246">
        <f t="shared" si="48"/>
        <v>0</v>
      </c>
      <c r="AR100" s="247">
        <f t="shared" si="49"/>
        <v>0</v>
      </c>
      <c r="AS100" s="268"/>
      <c r="AT100" s="265"/>
      <c r="AU100" s="250"/>
      <c r="AV100" s="221"/>
      <c r="AW100" s="251"/>
      <c r="AX100" s="246">
        <f t="shared" si="50"/>
        <v>0</v>
      </c>
      <c r="AY100" s="247">
        <f t="shared" si="51"/>
        <v>0</v>
      </c>
      <c r="AZ100" s="268"/>
      <c r="BA100" s="265"/>
      <c r="BB100" s="265"/>
      <c r="BC100" s="269"/>
      <c r="BD100" s="251"/>
      <c r="BE100" s="246">
        <f t="shared" si="52"/>
        <v>0</v>
      </c>
      <c r="BF100" s="247">
        <f t="shared" si="53"/>
        <v>0</v>
      </c>
      <c r="BG100" s="268"/>
      <c r="BH100" s="265"/>
      <c r="BI100" s="265"/>
      <c r="BJ100" s="269"/>
      <c r="BK100" s="251"/>
      <c r="BL100" s="246">
        <f t="shared" si="54"/>
        <v>0</v>
      </c>
      <c r="BM100" s="247">
        <f t="shared" si="55"/>
        <v>0</v>
      </c>
      <c r="BN100" s="254"/>
      <c r="BO100" s="265"/>
      <c r="BP100" s="265"/>
      <c r="BQ100" s="269"/>
      <c r="BR100" s="251"/>
      <c r="BS100" s="246">
        <f t="shared" si="56"/>
        <v>0</v>
      </c>
      <c r="BT100" s="247">
        <f t="shared" si="57"/>
        <v>0</v>
      </c>
      <c r="BU100" s="268"/>
      <c r="BV100" s="265"/>
      <c r="BW100" s="265"/>
      <c r="BX100" s="269"/>
      <c r="BY100" s="251"/>
      <c r="BZ100" s="246">
        <f t="shared" si="58"/>
        <v>0</v>
      </c>
      <c r="CA100" s="247">
        <f t="shared" si="59"/>
        <v>0</v>
      </c>
      <c r="CB100" s="268"/>
      <c r="CC100" s="265"/>
      <c r="CD100" s="265"/>
      <c r="CE100" s="269"/>
      <c r="CF100" s="251"/>
      <c r="CG100" s="246">
        <f t="shared" si="60"/>
        <v>0</v>
      </c>
      <c r="CH100" s="247">
        <f t="shared" si="61"/>
        <v>0</v>
      </c>
      <c r="CI100" s="254"/>
      <c r="CJ100" s="265"/>
      <c r="CK100" s="265"/>
      <c r="CL100" s="265"/>
      <c r="CM100" s="251"/>
      <c r="CN100" s="246"/>
      <c r="CO100" s="247"/>
      <c r="CP100" s="264"/>
      <c r="CQ100" s="265"/>
      <c r="CR100" s="283"/>
      <c r="CS100" s="269"/>
      <c r="CT100" s="251" t="s">
        <v>968</v>
      </c>
      <c r="CU100" s="246">
        <f t="shared" si="62"/>
        <v>0</v>
      </c>
      <c r="CV100" s="247">
        <f t="shared" si="63"/>
        <v>0</v>
      </c>
      <c r="CW100" s="268"/>
      <c r="CX100" s="265"/>
      <c r="CY100" s="265"/>
      <c r="CZ100" s="269"/>
      <c r="DA100" s="251"/>
      <c r="DB100" s="246">
        <f t="shared" si="64"/>
        <v>0</v>
      </c>
      <c r="DC100" s="247">
        <f t="shared" si="65"/>
        <v>0</v>
      </c>
      <c r="DD100" s="268"/>
      <c r="DE100" s="265"/>
      <c r="DF100" s="265"/>
      <c r="DG100" s="269"/>
      <c r="DH100" s="251"/>
      <c r="DI100" s="246">
        <f t="shared" si="66"/>
        <v>0</v>
      </c>
      <c r="DJ100" s="255">
        <f t="shared" si="67"/>
        <v>0</v>
      </c>
      <c r="DK100" s="209"/>
      <c r="DL100" s="220"/>
      <c r="DM100" s="221"/>
      <c r="DO100" s="256"/>
      <c r="DP100" s="257"/>
      <c r="DR100" s="258">
        <f t="shared" si="68"/>
        <v>0</v>
      </c>
      <c r="DS100" s="258">
        <f t="shared" si="69"/>
        <v>0</v>
      </c>
      <c r="DT100" s="258">
        <f t="shared" si="70"/>
        <v>0</v>
      </c>
      <c r="DU100" s="258">
        <f t="shared" si="71"/>
        <v>0</v>
      </c>
      <c r="DV100" s="259">
        <f t="shared" si="72"/>
        <v>0</v>
      </c>
      <c r="DW100" s="259">
        <f t="shared" si="73"/>
        <v>0</v>
      </c>
    </row>
    <row r="101" spans="1:127" s="194" customFormat="1" ht="15.75" x14ac:dyDescent="0.2">
      <c r="A101" s="239">
        <v>74</v>
      </c>
      <c r="B101" s="240" t="s">
        <v>1034</v>
      </c>
      <c r="C101" s="276"/>
      <c r="D101" s="271"/>
      <c r="E101" s="272"/>
      <c r="F101" s="244"/>
      <c r="G101" s="245"/>
      <c r="H101" s="246">
        <f t="shared" si="38"/>
        <v>0</v>
      </c>
      <c r="I101" s="247">
        <f t="shared" si="39"/>
        <v>0</v>
      </c>
      <c r="J101" s="254"/>
      <c r="K101" s="250"/>
      <c r="L101" s="250"/>
      <c r="M101" s="221"/>
      <c r="N101" s="251"/>
      <c r="O101" s="246">
        <f t="shared" si="40"/>
        <v>0</v>
      </c>
      <c r="P101" s="247">
        <f t="shared" si="41"/>
        <v>0</v>
      </c>
      <c r="Q101" s="254"/>
      <c r="R101" s="250"/>
      <c r="S101" s="250"/>
      <c r="T101" s="221"/>
      <c r="U101" s="251"/>
      <c r="V101" s="246">
        <f t="shared" si="42"/>
        <v>0</v>
      </c>
      <c r="W101" s="247">
        <f t="shared" si="43"/>
        <v>0</v>
      </c>
      <c r="X101" s="254"/>
      <c r="Y101" s="250"/>
      <c r="Z101" s="250"/>
      <c r="AA101" s="221"/>
      <c r="AB101" s="251"/>
      <c r="AC101" s="246">
        <f t="shared" si="44"/>
        <v>0</v>
      </c>
      <c r="AD101" s="247">
        <f t="shared" si="45"/>
        <v>0</v>
      </c>
      <c r="AE101" s="254"/>
      <c r="AF101" s="273"/>
      <c r="AG101" s="250"/>
      <c r="AH101" s="221"/>
      <c r="AI101" s="251"/>
      <c r="AJ101" s="246">
        <f t="shared" si="46"/>
        <v>0</v>
      </c>
      <c r="AK101" s="247">
        <f t="shared" si="47"/>
        <v>0</v>
      </c>
      <c r="AL101" s="254"/>
      <c r="AM101" s="250"/>
      <c r="AN101" s="250"/>
      <c r="AO101" s="221"/>
      <c r="AP101" s="251"/>
      <c r="AQ101" s="246">
        <f t="shared" si="48"/>
        <v>0</v>
      </c>
      <c r="AR101" s="247">
        <f t="shared" si="49"/>
        <v>0</v>
      </c>
      <c r="AS101" s="254"/>
      <c r="AT101" s="250"/>
      <c r="AU101" s="250"/>
      <c r="AV101" s="221"/>
      <c r="AW101" s="251"/>
      <c r="AX101" s="246">
        <f t="shared" si="50"/>
        <v>0</v>
      </c>
      <c r="AY101" s="247">
        <f t="shared" si="51"/>
        <v>0</v>
      </c>
      <c r="AZ101" s="254"/>
      <c r="BA101" s="250"/>
      <c r="BB101" s="250"/>
      <c r="BC101" s="221"/>
      <c r="BD101" s="251"/>
      <c r="BE101" s="246">
        <f t="shared" si="52"/>
        <v>0</v>
      </c>
      <c r="BF101" s="247">
        <f t="shared" si="53"/>
        <v>0</v>
      </c>
      <c r="BG101" s="254"/>
      <c r="BH101" s="250"/>
      <c r="BI101" s="250"/>
      <c r="BJ101" s="221"/>
      <c r="BK101" s="251"/>
      <c r="BL101" s="246">
        <f t="shared" si="54"/>
        <v>0</v>
      </c>
      <c r="BM101" s="247">
        <f t="shared" si="55"/>
        <v>0</v>
      </c>
      <c r="BN101" s="248"/>
      <c r="BO101" s="250"/>
      <c r="BP101" s="250"/>
      <c r="BQ101" s="221"/>
      <c r="BR101" s="251" t="s">
        <v>968</v>
      </c>
      <c r="BS101" s="246">
        <f t="shared" si="56"/>
        <v>0</v>
      </c>
      <c r="BT101" s="247">
        <f t="shared" si="57"/>
        <v>0</v>
      </c>
      <c r="BU101" s="254"/>
      <c r="BV101" s="250"/>
      <c r="BW101" s="250"/>
      <c r="BX101" s="221"/>
      <c r="BY101" s="251"/>
      <c r="BZ101" s="246">
        <f t="shared" si="58"/>
        <v>0</v>
      </c>
      <c r="CA101" s="247">
        <f t="shared" si="59"/>
        <v>0</v>
      </c>
      <c r="CB101" s="254"/>
      <c r="CC101" s="250"/>
      <c r="CD101" s="250"/>
      <c r="CE101" s="221"/>
      <c r="CF101" s="251"/>
      <c r="CG101" s="246">
        <f t="shared" si="60"/>
        <v>0</v>
      </c>
      <c r="CH101" s="247">
        <f t="shared" si="61"/>
        <v>0</v>
      </c>
      <c r="CI101" s="254"/>
      <c r="CJ101" s="250"/>
      <c r="CK101" s="250"/>
      <c r="CL101" s="250"/>
      <c r="CM101" s="251"/>
      <c r="CN101" s="246"/>
      <c r="CO101" s="247"/>
      <c r="CP101" s="254"/>
      <c r="CQ101" s="250"/>
      <c r="CR101" s="250"/>
      <c r="CS101" s="221"/>
      <c r="CT101" s="251"/>
      <c r="CU101" s="246">
        <f t="shared" si="62"/>
        <v>0</v>
      </c>
      <c r="CV101" s="247">
        <f t="shared" si="63"/>
        <v>0</v>
      </c>
      <c r="CW101" s="254"/>
      <c r="CX101" s="250"/>
      <c r="CY101" s="250"/>
      <c r="CZ101" s="221"/>
      <c r="DA101" s="251"/>
      <c r="DB101" s="246">
        <f t="shared" si="64"/>
        <v>0</v>
      </c>
      <c r="DC101" s="247">
        <f t="shared" si="65"/>
        <v>0</v>
      </c>
      <c r="DD101" s="254"/>
      <c r="DE101" s="250"/>
      <c r="DF101" s="250"/>
      <c r="DG101" s="221"/>
      <c r="DH101" s="251"/>
      <c r="DI101" s="246">
        <f t="shared" si="66"/>
        <v>0</v>
      </c>
      <c r="DJ101" s="255">
        <f t="shared" si="67"/>
        <v>0</v>
      </c>
      <c r="DK101" s="209"/>
      <c r="DL101" s="220"/>
      <c r="DM101" s="221"/>
      <c r="DO101" s="256"/>
      <c r="DP101" s="257"/>
      <c r="DR101" s="258">
        <f t="shared" si="68"/>
        <v>0</v>
      </c>
      <c r="DS101" s="258">
        <f t="shared" si="69"/>
        <v>0</v>
      </c>
      <c r="DT101" s="258">
        <f t="shared" si="70"/>
        <v>0</v>
      </c>
      <c r="DU101" s="258">
        <f t="shared" si="71"/>
        <v>0</v>
      </c>
      <c r="DV101" s="259">
        <f t="shared" si="72"/>
        <v>0</v>
      </c>
      <c r="DW101" s="259">
        <f t="shared" si="73"/>
        <v>0</v>
      </c>
    </row>
    <row r="102" spans="1:127" s="194" customFormat="1" ht="15.75" x14ac:dyDescent="0.2">
      <c r="A102" s="239">
        <v>75</v>
      </c>
      <c r="B102" s="240" t="s">
        <v>1035</v>
      </c>
      <c r="C102" s="276"/>
      <c r="D102" s="271"/>
      <c r="E102" s="272"/>
      <c r="F102" s="244"/>
      <c r="G102" s="245"/>
      <c r="H102" s="246">
        <f t="shared" si="38"/>
        <v>0</v>
      </c>
      <c r="I102" s="247">
        <f t="shared" si="39"/>
        <v>0</v>
      </c>
      <c r="J102" s="254"/>
      <c r="K102" s="250"/>
      <c r="L102" s="250"/>
      <c r="M102" s="221"/>
      <c r="N102" s="251"/>
      <c r="O102" s="246">
        <f t="shared" si="40"/>
        <v>0</v>
      </c>
      <c r="P102" s="247">
        <f t="shared" si="41"/>
        <v>0</v>
      </c>
      <c r="Q102" s="254"/>
      <c r="R102" s="250"/>
      <c r="S102" s="250"/>
      <c r="T102" s="221"/>
      <c r="U102" s="251"/>
      <c r="V102" s="246">
        <f t="shared" si="42"/>
        <v>0</v>
      </c>
      <c r="W102" s="247">
        <f t="shared" si="43"/>
        <v>0</v>
      </c>
      <c r="X102" s="254"/>
      <c r="Y102" s="250"/>
      <c r="Z102" s="250"/>
      <c r="AA102" s="221"/>
      <c r="AB102" s="251"/>
      <c r="AC102" s="246">
        <f t="shared" si="44"/>
        <v>0</v>
      </c>
      <c r="AD102" s="247">
        <f t="shared" si="45"/>
        <v>0</v>
      </c>
      <c r="AE102" s="254"/>
      <c r="AF102" s="273"/>
      <c r="AG102" s="250"/>
      <c r="AH102" s="221"/>
      <c r="AI102" s="251"/>
      <c r="AJ102" s="246">
        <f t="shared" si="46"/>
        <v>0</v>
      </c>
      <c r="AK102" s="247">
        <f t="shared" si="47"/>
        <v>0</v>
      </c>
      <c r="AL102" s="254"/>
      <c r="AM102" s="250"/>
      <c r="AN102" s="250"/>
      <c r="AO102" s="221"/>
      <c r="AP102" s="251"/>
      <c r="AQ102" s="246">
        <f t="shared" si="48"/>
        <v>0</v>
      </c>
      <c r="AR102" s="247">
        <f t="shared" si="49"/>
        <v>0</v>
      </c>
      <c r="AS102" s="254"/>
      <c r="AT102" s="250"/>
      <c r="AU102" s="250"/>
      <c r="AV102" s="221"/>
      <c r="AW102" s="251"/>
      <c r="AX102" s="246">
        <f t="shared" si="50"/>
        <v>0</v>
      </c>
      <c r="AY102" s="247">
        <f t="shared" si="51"/>
        <v>0</v>
      </c>
      <c r="AZ102" s="254"/>
      <c r="BA102" s="250"/>
      <c r="BB102" s="250"/>
      <c r="BC102" s="221"/>
      <c r="BD102" s="251"/>
      <c r="BE102" s="246">
        <f t="shared" si="52"/>
        <v>0</v>
      </c>
      <c r="BF102" s="247">
        <f t="shared" si="53"/>
        <v>0</v>
      </c>
      <c r="BG102" s="254"/>
      <c r="BH102" s="250"/>
      <c r="BI102" s="250"/>
      <c r="BJ102" s="221"/>
      <c r="BK102" s="251"/>
      <c r="BL102" s="246">
        <f t="shared" si="54"/>
        <v>0</v>
      </c>
      <c r="BM102" s="247">
        <f t="shared" si="55"/>
        <v>0</v>
      </c>
      <c r="BN102" s="254"/>
      <c r="BO102" s="250"/>
      <c r="BP102" s="250"/>
      <c r="BQ102" s="221"/>
      <c r="BR102" s="251"/>
      <c r="BS102" s="246">
        <f t="shared" si="56"/>
        <v>0</v>
      </c>
      <c r="BT102" s="247">
        <f t="shared" si="57"/>
        <v>0</v>
      </c>
      <c r="BU102" s="254"/>
      <c r="BV102" s="250"/>
      <c r="BW102" s="250"/>
      <c r="BX102" s="221"/>
      <c r="BY102" s="251"/>
      <c r="BZ102" s="246">
        <f t="shared" si="58"/>
        <v>0</v>
      </c>
      <c r="CA102" s="247">
        <f t="shared" si="59"/>
        <v>0</v>
      </c>
      <c r="CB102" s="254"/>
      <c r="CC102" s="250"/>
      <c r="CD102" s="250"/>
      <c r="CE102" s="221"/>
      <c r="CF102" s="251"/>
      <c r="CG102" s="246">
        <f t="shared" si="60"/>
        <v>0</v>
      </c>
      <c r="CH102" s="247">
        <f t="shared" si="61"/>
        <v>0</v>
      </c>
      <c r="CI102" s="248"/>
      <c r="CJ102" s="252"/>
      <c r="CK102" s="275"/>
      <c r="CL102" s="281"/>
      <c r="CM102" s="251" t="s">
        <v>968</v>
      </c>
      <c r="CN102" s="246"/>
      <c r="CO102" s="247"/>
      <c r="CP102" s="248"/>
      <c r="CQ102" s="250"/>
      <c r="CR102" s="253"/>
      <c r="CS102" s="221"/>
      <c r="CT102" s="251" t="s">
        <v>968</v>
      </c>
      <c r="CU102" s="246">
        <f t="shared" si="62"/>
        <v>0</v>
      </c>
      <c r="CV102" s="247">
        <f t="shared" si="63"/>
        <v>0</v>
      </c>
      <c r="CW102" s="254"/>
      <c r="CX102" s="250"/>
      <c r="CY102" s="250"/>
      <c r="CZ102" s="221"/>
      <c r="DA102" s="251"/>
      <c r="DB102" s="246">
        <f t="shared" si="64"/>
        <v>0</v>
      </c>
      <c r="DC102" s="247">
        <f t="shared" si="65"/>
        <v>0</v>
      </c>
      <c r="DD102" s="254"/>
      <c r="DE102" s="250"/>
      <c r="DF102" s="250"/>
      <c r="DG102" s="221"/>
      <c r="DH102" s="251"/>
      <c r="DI102" s="246">
        <f t="shared" si="66"/>
        <v>0</v>
      </c>
      <c r="DJ102" s="255">
        <f t="shared" si="67"/>
        <v>0</v>
      </c>
      <c r="DK102" s="209"/>
      <c r="DL102" s="220"/>
      <c r="DM102" s="221"/>
      <c r="DO102" s="256"/>
      <c r="DP102" s="257"/>
      <c r="DR102" s="258">
        <f t="shared" si="68"/>
        <v>0</v>
      </c>
      <c r="DS102" s="258">
        <f t="shared" si="69"/>
        <v>0</v>
      </c>
      <c r="DT102" s="258">
        <f t="shared" si="70"/>
        <v>0</v>
      </c>
      <c r="DU102" s="258">
        <f t="shared" si="71"/>
        <v>0</v>
      </c>
      <c r="DV102" s="259">
        <f t="shared" si="72"/>
        <v>0</v>
      </c>
      <c r="DW102" s="259">
        <f t="shared" si="73"/>
        <v>0</v>
      </c>
    </row>
    <row r="103" spans="1:127" s="194" customFormat="1" ht="15.75" x14ac:dyDescent="0.2">
      <c r="A103" s="239">
        <v>76</v>
      </c>
      <c r="B103" s="240" t="s">
        <v>1036</v>
      </c>
      <c r="C103" s="276"/>
      <c r="D103" s="271"/>
      <c r="E103" s="272"/>
      <c r="F103" s="244"/>
      <c r="G103" s="245"/>
      <c r="H103" s="246">
        <f t="shared" si="38"/>
        <v>0</v>
      </c>
      <c r="I103" s="247">
        <f t="shared" si="39"/>
        <v>0</v>
      </c>
      <c r="J103" s="254"/>
      <c r="K103" s="250"/>
      <c r="L103" s="250"/>
      <c r="M103" s="221"/>
      <c r="N103" s="251"/>
      <c r="O103" s="246">
        <f t="shared" si="40"/>
        <v>0</v>
      </c>
      <c r="P103" s="247">
        <f t="shared" si="41"/>
        <v>0</v>
      </c>
      <c r="Q103" s="254"/>
      <c r="R103" s="250"/>
      <c r="S103" s="250"/>
      <c r="T103" s="221"/>
      <c r="U103" s="251"/>
      <c r="V103" s="246">
        <f t="shared" si="42"/>
        <v>0</v>
      </c>
      <c r="W103" s="247">
        <f t="shared" si="43"/>
        <v>0</v>
      </c>
      <c r="X103" s="254"/>
      <c r="Y103" s="250"/>
      <c r="Z103" s="250"/>
      <c r="AA103" s="221"/>
      <c r="AB103" s="251"/>
      <c r="AC103" s="246">
        <f t="shared" si="44"/>
        <v>0</v>
      </c>
      <c r="AD103" s="247">
        <f t="shared" si="45"/>
        <v>0</v>
      </c>
      <c r="AE103" s="254"/>
      <c r="AF103" s="273"/>
      <c r="AG103" s="250"/>
      <c r="AH103" s="221"/>
      <c r="AI103" s="251"/>
      <c r="AJ103" s="246">
        <f t="shared" si="46"/>
        <v>0</v>
      </c>
      <c r="AK103" s="247">
        <f t="shared" si="47"/>
        <v>0</v>
      </c>
      <c r="AL103" s="254"/>
      <c r="AM103" s="250"/>
      <c r="AN103" s="250"/>
      <c r="AO103" s="221"/>
      <c r="AP103" s="251"/>
      <c r="AQ103" s="246">
        <f t="shared" si="48"/>
        <v>0</v>
      </c>
      <c r="AR103" s="247">
        <f t="shared" si="49"/>
        <v>0</v>
      </c>
      <c r="AS103" s="254"/>
      <c r="AT103" s="250"/>
      <c r="AU103" s="250"/>
      <c r="AV103" s="221"/>
      <c r="AW103" s="251"/>
      <c r="AX103" s="246">
        <f t="shared" si="50"/>
        <v>0</v>
      </c>
      <c r="AY103" s="247">
        <f t="shared" si="51"/>
        <v>0</v>
      </c>
      <c r="AZ103" s="254"/>
      <c r="BA103" s="250"/>
      <c r="BB103" s="250"/>
      <c r="BC103" s="221"/>
      <c r="BD103" s="251"/>
      <c r="BE103" s="246">
        <f t="shared" si="52"/>
        <v>0</v>
      </c>
      <c r="BF103" s="247">
        <f t="shared" si="53"/>
        <v>0</v>
      </c>
      <c r="BG103" s="254"/>
      <c r="BH103" s="250"/>
      <c r="BI103" s="250"/>
      <c r="BJ103" s="221"/>
      <c r="BK103" s="251"/>
      <c r="BL103" s="246">
        <f t="shared" si="54"/>
        <v>0</v>
      </c>
      <c r="BM103" s="247">
        <f t="shared" si="55"/>
        <v>0</v>
      </c>
      <c r="BN103" s="254"/>
      <c r="BO103" s="250"/>
      <c r="BP103" s="250"/>
      <c r="BQ103" s="221"/>
      <c r="BR103" s="251"/>
      <c r="BS103" s="246">
        <f t="shared" si="56"/>
        <v>0</v>
      </c>
      <c r="BT103" s="247">
        <f t="shared" si="57"/>
        <v>0</v>
      </c>
      <c r="BU103" s="254"/>
      <c r="BV103" s="250"/>
      <c r="BW103" s="250"/>
      <c r="BX103" s="221"/>
      <c r="BY103" s="251"/>
      <c r="BZ103" s="246">
        <f t="shared" si="58"/>
        <v>0</v>
      </c>
      <c r="CA103" s="247">
        <f t="shared" si="59"/>
        <v>0</v>
      </c>
      <c r="CB103" s="254"/>
      <c r="CC103" s="250"/>
      <c r="CD103" s="250"/>
      <c r="CE103" s="221"/>
      <c r="CF103" s="251"/>
      <c r="CG103" s="246">
        <f t="shared" si="60"/>
        <v>0</v>
      </c>
      <c r="CH103" s="247">
        <f t="shared" si="61"/>
        <v>0</v>
      </c>
      <c r="CI103" s="254"/>
      <c r="CJ103" s="250"/>
      <c r="CK103" s="250"/>
      <c r="CL103" s="250"/>
      <c r="CM103" s="251"/>
      <c r="CN103" s="246"/>
      <c r="CO103" s="247"/>
      <c r="CP103" s="248"/>
      <c r="CQ103" s="250"/>
      <c r="CR103" s="253"/>
      <c r="CS103" s="221"/>
      <c r="CT103" s="251" t="s">
        <v>968</v>
      </c>
      <c r="CU103" s="246">
        <f t="shared" si="62"/>
        <v>0</v>
      </c>
      <c r="CV103" s="247">
        <f t="shared" si="63"/>
        <v>0</v>
      </c>
      <c r="CW103" s="254"/>
      <c r="CX103" s="250"/>
      <c r="CY103" s="250"/>
      <c r="CZ103" s="221"/>
      <c r="DA103" s="251"/>
      <c r="DB103" s="246">
        <f t="shared" si="64"/>
        <v>0</v>
      </c>
      <c r="DC103" s="247">
        <f t="shared" si="65"/>
        <v>0</v>
      </c>
      <c r="DD103" s="254"/>
      <c r="DE103" s="250"/>
      <c r="DF103" s="250"/>
      <c r="DG103" s="221"/>
      <c r="DH103" s="251"/>
      <c r="DI103" s="246">
        <f t="shared" si="66"/>
        <v>0</v>
      </c>
      <c r="DJ103" s="255">
        <f t="shared" si="67"/>
        <v>0</v>
      </c>
      <c r="DK103" s="209"/>
      <c r="DL103" s="220"/>
      <c r="DM103" s="221"/>
      <c r="DO103" s="256"/>
      <c r="DP103" s="257"/>
      <c r="DR103" s="258">
        <f t="shared" si="68"/>
        <v>0</v>
      </c>
      <c r="DS103" s="258">
        <f t="shared" si="69"/>
        <v>0</v>
      </c>
      <c r="DT103" s="258">
        <f t="shared" si="70"/>
        <v>0</v>
      </c>
      <c r="DU103" s="258">
        <f t="shared" si="71"/>
        <v>0</v>
      </c>
      <c r="DV103" s="259">
        <f t="shared" si="72"/>
        <v>0</v>
      </c>
      <c r="DW103" s="259">
        <f t="shared" si="73"/>
        <v>0</v>
      </c>
    </row>
    <row r="104" spans="1:127" s="194" customFormat="1" ht="15.75" x14ac:dyDescent="0.2">
      <c r="A104" s="239">
        <v>77</v>
      </c>
      <c r="B104" s="240" t="s">
        <v>1037</v>
      </c>
      <c r="C104" s="276"/>
      <c r="D104" s="271"/>
      <c r="E104" s="272"/>
      <c r="F104" s="244"/>
      <c r="G104" s="245"/>
      <c r="H104" s="246">
        <f t="shared" si="38"/>
        <v>0</v>
      </c>
      <c r="I104" s="247">
        <f t="shared" si="39"/>
        <v>0</v>
      </c>
      <c r="J104" s="254"/>
      <c r="K104" s="250"/>
      <c r="L104" s="250"/>
      <c r="M104" s="221"/>
      <c r="N104" s="251"/>
      <c r="O104" s="246">
        <f t="shared" si="40"/>
        <v>0</v>
      </c>
      <c r="P104" s="247">
        <f t="shared" si="41"/>
        <v>0</v>
      </c>
      <c r="Q104" s="254"/>
      <c r="R104" s="250"/>
      <c r="S104" s="250"/>
      <c r="T104" s="221"/>
      <c r="U104" s="251"/>
      <c r="V104" s="246">
        <f t="shared" si="42"/>
        <v>0</v>
      </c>
      <c r="W104" s="247">
        <f t="shared" si="43"/>
        <v>0</v>
      </c>
      <c r="X104" s="254"/>
      <c r="Y104" s="250"/>
      <c r="Z104" s="250"/>
      <c r="AA104" s="221"/>
      <c r="AB104" s="251"/>
      <c r="AC104" s="246">
        <f t="shared" si="44"/>
        <v>0</v>
      </c>
      <c r="AD104" s="247">
        <f t="shared" si="45"/>
        <v>0</v>
      </c>
      <c r="AE104" s="254"/>
      <c r="AF104" s="273"/>
      <c r="AG104" s="250"/>
      <c r="AH104" s="221"/>
      <c r="AI104" s="251"/>
      <c r="AJ104" s="246">
        <f t="shared" si="46"/>
        <v>0</v>
      </c>
      <c r="AK104" s="247">
        <f t="shared" si="47"/>
        <v>0</v>
      </c>
      <c r="AL104" s="254"/>
      <c r="AM104" s="250"/>
      <c r="AN104" s="250"/>
      <c r="AO104" s="221"/>
      <c r="AP104" s="251"/>
      <c r="AQ104" s="246">
        <f t="shared" si="48"/>
        <v>0</v>
      </c>
      <c r="AR104" s="247">
        <f t="shared" si="49"/>
        <v>0</v>
      </c>
      <c r="AS104" s="254"/>
      <c r="AT104" s="250"/>
      <c r="AU104" s="250"/>
      <c r="AV104" s="221"/>
      <c r="AW104" s="251"/>
      <c r="AX104" s="246">
        <f t="shared" si="50"/>
        <v>0</v>
      </c>
      <c r="AY104" s="247">
        <f t="shared" si="51"/>
        <v>0</v>
      </c>
      <c r="AZ104" s="254"/>
      <c r="BA104" s="250"/>
      <c r="BB104" s="250"/>
      <c r="BC104" s="221"/>
      <c r="BD104" s="251"/>
      <c r="BE104" s="246">
        <f t="shared" si="52"/>
        <v>0</v>
      </c>
      <c r="BF104" s="247">
        <f t="shared" si="53"/>
        <v>0</v>
      </c>
      <c r="BG104" s="254"/>
      <c r="BH104" s="250"/>
      <c r="BI104" s="250"/>
      <c r="BJ104" s="221"/>
      <c r="BK104" s="251"/>
      <c r="BL104" s="246">
        <f t="shared" si="54"/>
        <v>0</v>
      </c>
      <c r="BM104" s="247">
        <f t="shared" si="55"/>
        <v>0</v>
      </c>
      <c r="BN104" s="254"/>
      <c r="BO104" s="250"/>
      <c r="BP104" s="250"/>
      <c r="BQ104" s="221"/>
      <c r="BR104" s="251"/>
      <c r="BS104" s="246">
        <f t="shared" si="56"/>
        <v>0</v>
      </c>
      <c r="BT104" s="247">
        <f t="shared" si="57"/>
        <v>0</v>
      </c>
      <c r="BU104" s="254"/>
      <c r="BV104" s="250"/>
      <c r="BW104" s="250"/>
      <c r="BX104" s="221"/>
      <c r="BY104" s="251"/>
      <c r="BZ104" s="246">
        <f t="shared" si="58"/>
        <v>0</v>
      </c>
      <c r="CA104" s="247">
        <f t="shared" si="59"/>
        <v>0</v>
      </c>
      <c r="CB104" s="254"/>
      <c r="CC104" s="250"/>
      <c r="CD104" s="250"/>
      <c r="CE104" s="221"/>
      <c r="CF104" s="251"/>
      <c r="CG104" s="246">
        <f t="shared" si="60"/>
        <v>0</v>
      </c>
      <c r="CH104" s="247">
        <f t="shared" si="61"/>
        <v>0</v>
      </c>
      <c r="CI104" s="254"/>
      <c r="CJ104" s="250"/>
      <c r="CK104" s="250"/>
      <c r="CL104" s="250"/>
      <c r="CM104" s="251"/>
      <c r="CN104" s="246"/>
      <c r="CO104" s="247"/>
      <c r="CP104" s="248"/>
      <c r="CQ104" s="250"/>
      <c r="CR104" s="250"/>
      <c r="CS104" s="266"/>
      <c r="CT104" s="251" t="s">
        <v>968</v>
      </c>
      <c r="CU104" s="246">
        <f t="shared" si="62"/>
        <v>0</v>
      </c>
      <c r="CV104" s="247">
        <f t="shared" si="63"/>
        <v>0</v>
      </c>
      <c r="CW104" s="254"/>
      <c r="CX104" s="250"/>
      <c r="CY104" s="250"/>
      <c r="CZ104" s="221"/>
      <c r="DA104" s="251"/>
      <c r="DB104" s="246">
        <f t="shared" si="64"/>
        <v>0</v>
      </c>
      <c r="DC104" s="247">
        <f t="shared" si="65"/>
        <v>0</v>
      </c>
      <c r="DD104" s="254"/>
      <c r="DE104" s="250"/>
      <c r="DF104" s="250"/>
      <c r="DG104" s="221"/>
      <c r="DH104" s="251"/>
      <c r="DI104" s="246">
        <f t="shared" si="66"/>
        <v>0</v>
      </c>
      <c r="DJ104" s="255">
        <f t="shared" si="67"/>
        <v>0</v>
      </c>
      <c r="DK104" s="209"/>
      <c r="DL104" s="220"/>
      <c r="DM104" s="221"/>
      <c r="DO104" s="256"/>
      <c r="DP104" s="257"/>
      <c r="DR104" s="258">
        <f t="shared" si="68"/>
        <v>0</v>
      </c>
      <c r="DS104" s="258">
        <f t="shared" si="69"/>
        <v>0</v>
      </c>
      <c r="DT104" s="258">
        <f t="shared" si="70"/>
        <v>0</v>
      </c>
      <c r="DU104" s="258">
        <f t="shared" si="71"/>
        <v>0</v>
      </c>
      <c r="DV104" s="259">
        <f t="shared" si="72"/>
        <v>0</v>
      </c>
      <c r="DW104" s="259">
        <f t="shared" si="73"/>
        <v>0</v>
      </c>
    </row>
    <row r="105" spans="1:127" s="194" customFormat="1" ht="15.75" x14ac:dyDescent="0.2">
      <c r="A105" s="239">
        <v>78</v>
      </c>
      <c r="B105" s="240" t="s">
        <v>1038</v>
      </c>
      <c r="C105" s="276"/>
      <c r="D105" s="271"/>
      <c r="E105" s="272"/>
      <c r="F105" s="244"/>
      <c r="G105" s="245"/>
      <c r="H105" s="246">
        <f t="shared" si="38"/>
        <v>0</v>
      </c>
      <c r="I105" s="247">
        <f t="shared" si="39"/>
        <v>0</v>
      </c>
      <c r="J105" s="254"/>
      <c r="K105" s="250"/>
      <c r="L105" s="250"/>
      <c r="M105" s="221"/>
      <c r="N105" s="251"/>
      <c r="O105" s="246">
        <f t="shared" si="40"/>
        <v>0</v>
      </c>
      <c r="P105" s="247">
        <f t="shared" si="41"/>
        <v>0</v>
      </c>
      <c r="Q105" s="254"/>
      <c r="R105" s="250"/>
      <c r="S105" s="250"/>
      <c r="T105" s="221"/>
      <c r="U105" s="251"/>
      <c r="V105" s="246">
        <f t="shared" si="42"/>
        <v>0</v>
      </c>
      <c r="W105" s="247">
        <f t="shared" si="43"/>
        <v>0</v>
      </c>
      <c r="X105" s="254"/>
      <c r="Y105" s="250"/>
      <c r="Z105" s="250"/>
      <c r="AA105" s="221"/>
      <c r="AB105" s="251"/>
      <c r="AC105" s="246">
        <f t="shared" si="44"/>
        <v>0</v>
      </c>
      <c r="AD105" s="247">
        <f t="shared" si="45"/>
        <v>0</v>
      </c>
      <c r="AE105" s="254"/>
      <c r="AF105" s="273"/>
      <c r="AG105" s="250"/>
      <c r="AH105" s="221"/>
      <c r="AI105" s="251"/>
      <c r="AJ105" s="246">
        <f t="shared" si="46"/>
        <v>0</v>
      </c>
      <c r="AK105" s="247">
        <f t="shared" si="47"/>
        <v>0</v>
      </c>
      <c r="AL105" s="254"/>
      <c r="AM105" s="250"/>
      <c r="AN105" s="250"/>
      <c r="AO105" s="221"/>
      <c r="AP105" s="251"/>
      <c r="AQ105" s="246">
        <f t="shared" si="48"/>
        <v>0</v>
      </c>
      <c r="AR105" s="247">
        <f t="shared" si="49"/>
        <v>0</v>
      </c>
      <c r="AS105" s="254"/>
      <c r="AT105" s="250"/>
      <c r="AU105" s="250"/>
      <c r="AV105" s="221"/>
      <c r="AW105" s="251"/>
      <c r="AX105" s="246">
        <f t="shared" si="50"/>
        <v>0</v>
      </c>
      <c r="AY105" s="247">
        <f t="shared" si="51"/>
        <v>0</v>
      </c>
      <c r="AZ105" s="254"/>
      <c r="BA105" s="250"/>
      <c r="BB105" s="250"/>
      <c r="BC105" s="221"/>
      <c r="BD105" s="251"/>
      <c r="BE105" s="246">
        <f t="shared" si="52"/>
        <v>0</v>
      </c>
      <c r="BF105" s="247">
        <f t="shared" si="53"/>
        <v>0</v>
      </c>
      <c r="BG105" s="254"/>
      <c r="BH105" s="250"/>
      <c r="BI105" s="250"/>
      <c r="BJ105" s="221"/>
      <c r="BK105" s="251"/>
      <c r="BL105" s="246">
        <f t="shared" si="54"/>
        <v>0</v>
      </c>
      <c r="BM105" s="247">
        <f t="shared" si="55"/>
        <v>0</v>
      </c>
      <c r="BN105" s="254"/>
      <c r="BO105" s="250"/>
      <c r="BP105" s="250"/>
      <c r="BQ105" s="221"/>
      <c r="BR105" s="251"/>
      <c r="BS105" s="246">
        <f t="shared" si="56"/>
        <v>0</v>
      </c>
      <c r="BT105" s="247">
        <f t="shared" si="57"/>
        <v>0</v>
      </c>
      <c r="BU105" s="254"/>
      <c r="BV105" s="250"/>
      <c r="BW105" s="250"/>
      <c r="BX105" s="221"/>
      <c r="BY105" s="251"/>
      <c r="BZ105" s="246">
        <f t="shared" si="58"/>
        <v>0</v>
      </c>
      <c r="CA105" s="247">
        <f t="shared" si="59"/>
        <v>0</v>
      </c>
      <c r="CB105" s="254"/>
      <c r="CC105" s="250"/>
      <c r="CD105" s="250"/>
      <c r="CE105" s="221"/>
      <c r="CF105" s="251"/>
      <c r="CG105" s="246">
        <f t="shared" si="60"/>
        <v>0</v>
      </c>
      <c r="CH105" s="247">
        <f t="shared" si="61"/>
        <v>0</v>
      </c>
      <c r="CI105" s="254"/>
      <c r="CJ105" s="250"/>
      <c r="CK105" s="250"/>
      <c r="CL105" s="250"/>
      <c r="CM105" s="251"/>
      <c r="CN105" s="246"/>
      <c r="CO105" s="247"/>
      <c r="CP105" s="248"/>
      <c r="CQ105" s="250"/>
      <c r="CR105" s="250"/>
      <c r="CS105" s="266"/>
      <c r="CT105" s="251" t="s">
        <v>968</v>
      </c>
      <c r="CU105" s="246">
        <f t="shared" si="62"/>
        <v>0</v>
      </c>
      <c r="CV105" s="247">
        <f t="shared" si="63"/>
        <v>0</v>
      </c>
      <c r="CW105" s="254"/>
      <c r="CX105" s="250"/>
      <c r="CY105" s="250"/>
      <c r="CZ105" s="221"/>
      <c r="DA105" s="251"/>
      <c r="DB105" s="246">
        <f t="shared" si="64"/>
        <v>0</v>
      </c>
      <c r="DC105" s="247">
        <f t="shared" si="65"/>
        <v>0</v>
      </c>
      <c r="DD105" s="254"/>
      <c r="DE105" s="250"/>
      <c r="DF105" s="250"/>
      <c r="DG105" s="221"/>
      <c r="DH105" s="251"/>
      <c r="DI105" s="246">
        <f t="shared" si="66"/>
        <v>0</v>
      </c>
      <c r="DJ105" s="255">
        <f t="shared" si="67"/>
        <v>0</v>
      </c>
      <c r="DK105" s="209"/>
      <c r="DL105" s="220"/>
      <c r="DM105" s="221"/>
      <c r="DO105" s="256"/>
      <c r="DP105" s="257"/>
      <c r="DR105" s="258">
        <f t="shared" si="68"/>
        <v>0</v>
      </c>
      <c r="DS105" s="258">
        <f t="shared" si="69"/>
        <v>0</v>
      </c>
      <c r="DT105" s="258">
        <f t="shared" si="70"/>
        <v>0</v>
      </c>
      <c r="DU105" s="258">
        <f t="shared" si="71"/>
        <v>0</v>
      </c>
      <c r="DV105" s="259">
        <f t="shared" si="72"/>
        <v>0</v>
      </c>
      <c r="DW105" s="259">
        <f t="shared" si="73"/>
        <v>0</v>
      </c>
    </row>
    <row r="106" spans="1:127" s="194" customFormat="1" ht="15.75" x14ac:dyDescent="0.2">
      <c r="A106" s="239">
        <v>79</v>
      </c>
      <c r="B106" s="240" t="s">
        <v>40</v>
      </c>
      <c r="C106" s="276"/>
      <c r="D106" s="271"/>
      <c r="E106" s="272"/>
      <c r="F106" s="244"/>
      <c r="G106" s="245"/>
      <c r="H106" s="246">
        <f t="shared" si="38"/>
        <v>0</v>
      </c>
      <c r="I106" s="247">
        <f t="shared" si="39"/>
        <v>0</v>
      </c>
      <c r="J106" s="254"/>
      <c r="K106" s="250"/>
      <c r="L106" s="250"/>
      <c r="M106" s="221"/>
      <c r="N106" s="251"/>
      <c r="O106" s="246">
        <f t="shared" si="40"/>
        <v>0</v>
      </c>
      <c r="P106" s="247">
        <f t="shared" si="41"/>
        <v>0</v>
      </c>
      <c r="Q106" s="254"/>
      <c r="R106" s="250"/>
      <c r="S106" s="250"/>
      <c r="T106" s="221"/>
      <c r="U106" s="251"/>
      <c r="V106" s="246">
        <f t="shared" si="42"/>
        <v>0</v>
      </c>
      <c r="W106" s="247">
        <f t="shared" si="43"/>
        <v>0</v>
      </c>
      <c r="X106" s="254"/>
      <c r="Y106" s="250"/>
      <c r="Z106" s="250"/>
      <c r="AA106" s="221"/>
      <c r="AB106" s="251"/>
      <c r="AC106" s="246">
        <f t="shared" si="44"/>
        <v>0</v>
      </c>
      <c r="AD106" s="247">
        <f t="shared" si="45"/>
        <v>0</v>
      </c>
      <c r="AE106" s="254"/>
      <c r="AF106" s="273"/>
      <c r="AG106" s="250"/>
      <c r="AH106" s="221"/>
      <c r="AI106" s="251"/>
      <c r="AJ106" s="246">
        <f t="shared" si="46"/>
        <v>0</v>
      </c>
      <c r="AK106" s="247">
        <f t="shared" si="47"/>
        <v>0</v>
      </c>
      <c r="AL106" s="254"/>
      <c r="AM106" s="250"/>
      <c r="AN106" s="250"/>
      <c r="AO106" s="221"/>
      <c r="AP106" s="251"/>
      <c r="AQ106" s="246">
        <f t="shared" si="48"/>
        <v>0</v>
      </c>
      <c r="AR106" s="247">
        <f t="shared" si="49"/>
        <v>0</v>
      </c>
      <c r="AS106" s="254"/>
      <c r="AT106" s="250"/>
      <c r="AU106" s="250"/>
      <c r="AV106" s="221"/>
      <c r="AW106" s="251"/>
      <c r="AX106" s="246">
        <f t="shared" si="50"/>
        <v>0</v>
      </c>
      <c r="AY106" s="247">
        <f t="shared" si="51"/>
        <v>0</v>
      </c>
      <c r="AZ106" s="254"/>
      <c r="BA106" s="250"/>
      <c r="BB106" s="250"/>
      <c r="BC106" s="221"/>
      <c r="BD106" s="251"/>
      <c r="BE106" s="246">
        <f t="shared" si="52"/>
        <v>0</v>
      </c>
      <c r="BF106" s="247">
        <f t="shared" si="53"/>
        <v>0</v>
      </c>
      <c r="BG106" s="254"/>
      <c r="BH106" s="250"/>
      <c r="BI106" s="250"/>
      <c r="BJ106" s="221"/>
      <c r="BK106" s="251"/>
      <c r="BL106" s="246">
        <f t="shared" si="54"/>
        <v>0</v>
      </c>
      <c r="BM106" s="247">
        <f t="shared" si="55"/>
        <v>0</v>
      </c>
      <c r="BN106" s="254"/>
      <c r="BO106" s="250"/>
      <c r="BP106" s="250"/>
      <c r="BQ106" s="221"/>
      <c r="BR106" s="251"/>
      <c r="BS106" s="246">
        <f t="shared" si="56"/>
        <v>0</v>
      </c>
      <c r="BT106" s="247">
        <f t="shared" si="57"/>
        <v>0</v>
      </c>
      <c r="BU106" s="254"/>
      <c r="BV106" s="250"/>
      <c r="BW106" s="250"/>
      <c r="BX106" s="221"/>
      <c r="BY106" s="251"/>
      <c r="BZ106" s="246">
        <f t="shared" si="58"/>
        <v>0</v>
      </c>
      <c r="CA106" s="247">
        <f t="shared" si="59"/>
        <v>0</v>
      </c>
      <c r="CB106" s="254"/>
      <c r="CC106" s="250"/>
      <c r="CD106" s="250"/>
      <c r="CE106" s="221"/>
      <c r="CF106" s="251"/>
      <c r="CG106" s="246">
        <f t="shared" si="60"/>
        <v>0</v>
      </c>
      <c r="CH106" s="247">
        <f t="shared" si="61"/>
        <v>0</v>
      </c>
      <c r="CI106" s="254"/>
      <c r="CJ106" s="250"/>
      <c r="CK106" s="250"/>
      <c r="CL106" s="250"/>
      <c r="CM106" s="251"/>
      <c r="CN106" s="246"/>
      <c r="CO106" s="247"/>
      <c r="CP106" s="248"/>
      <c r="CQ106" s="252"/>
      <c r="CR106" s="275"/>
      <c r="CS106" s="221"/>
      <c r="CT106" s="251" t="s">
        <v>968</v>
      </c>
      <c r="CU106" s="246">
        <f t="shared" si="62"/>
        <v>0</v>
      </c>
      <c r="CV106" s="247">
        <f t="shared" si="63"/>
        <v>0</v>
      </c>
      <c r="CW106" s="254"/>
      <c r="CX106" s="250"/>
      <c r="CY106" s="250"/>
      <c r="CZ106" s="221"/>
      <c r="DA106" s="251"/>
      <c r="DB106" s="246">
        <f t="shared" si="64"/>
        <v>0</v>
      </c>
      <c r="DC106" s="247">
        <f t="shared" si="65"/>
        <v>0</v>
      </c>
      <c r="DD106" s="254"/>
      <c r="DE106" s="250"/>
      <c r="DF106" s="250"/>
      <c r="DG106" s="221"/>
      <c r="DH106" s="251"/>
      <c r="DI106" s="246">
        <f t="shared" si="66"/>
        <v>0</v>
      </c>
      <c r="DJ106" s="255">
        <f t="shared" si="67"/>
        <v>0</v>
      </c>
      <c r="DK106" s="209"/>
      <c r="DL106" s="220"/>
      <c r="DM106" s="221"/>
      <c r="DO106" s="256"/>
      <c r="DP106" s="257"/>
      <c r="DR106" s="258">
        <f t="shared" si="68"/>
        <v>0</v>
      </c>
      <c r="DS106" s="258">
        <f t="shared" si="69"/>
        <v>0</v>
      </c>
      <c r="DT106" s="258">
        <f t="shared" si="70"/>
        <v>0</v>
      </c>
      <c r="DU106" s="258">
        <f t="shared" si="71"/>
        <v>0</v>
      </c>
      <c r="DV106" s="259">
        <f t="shared" si="72"/>
        <v>0</v>
      </c>
      <c r="DW106" s="259">
        <f t="shared" si="73"/>
        <v>0</v>
      </c>
    </row>
    <row r="107" spans="1:127" s="194" customFormat="1" ht="15.75" x14ac:dyDescent="0.2">
      <c r="A107" s="239">
        <v>80</v>
      </c>
      <c r="B107" s="240" t="s">
        <v>1039</v>
      </c>
      <c r="C107" s="276"/>
      <c r="D107" s="271"/>
      <c r="E107" s="272"/>
      <c r="F107" s="244"/>
      <c r="G107" s="245"/>
      <c r="H107" s="246">
        <f t="shared" si="38"/>
        <v>0</v>
      </c>
      <c r="I107" s="247">
        <f t="shared" si="39"/>
        <v>0</v>
      </c>
      <c r="J107" s="254"/>
      <c r="K107" s="250"/>
      <c r="L107" s="250"/>
      <c r="M107" s="221"/>
      <c r="N107" s="251"/>
      <c r="O107" s="246">
        <f t="shared" si="40"/>
        <v>0</v>
      </c>
      <c r="P107" s="247">
        <f t="shared" si="41"/>
        <v>0</v>
      </c>
      <c r="Q107" s="254"/>
      <c r="R107" s="250"/>
      <c r="S107" s="250"/>
      <c r="T107" s="221"/>
      <c r="U107" s="251"/>
      <c r="V107" s="246">
        <f t="shared" si="42"/>
        <v>0</v>
      </c>
      <c r="W107" s="247">
        <f t="shared" si="43"/>
        <v>0</v>
      </c>
      <c r="X107" s="254"/>
      <c r="Y107" s="250"/>
      <c r="Z107" s="250"/>
      <c r="AA107" s="221"/>
      <c r="AB107" s="251"/>
      <c r="AC107" s="246">
        <f t="shared" si="44"/>
        <v>0</v>
      </c>
      <c r="AD107" s="247">
        <f t="shared" si="45"/>
        <v>0</v>
      </c>
      <c r="AE107" s="254"/>
      <c r="AF107" s="273"/>
      <c r="AG107" s="250"/>
      <c r="AH107" s="221"/>
      <c r="AI107" s="251"/>
      <c r="AJ107" s="246">
        <f t="shared" si="46"/>
        <v>0</v>
      </c>
      <c r="AK107" s="247">
        <f t="shared" si="47"/>
        <v>0</v>
      </c>
      <c r="AL107" s="254"/>
      <c r="AM107" s="250"/>
      <c r="AN107" s="250"/>
      <c r="AO107" s="221"/>
      <c r="AP107" s="251"/>
      <c r="AQ107" s="246">
        <f t="shared" si="48"/>
        <v>0</v>
      </c>
      <c r="AR107" s="247">
        <f t="shared" si="49"/>
        <v>0</v>
      </c>
      <c r="AS107" s="254"/>
      <c r="AT107" s="250"/>
      <c r="AU107" s="250"/>
      <c r="AV107" s="221"/>
      <c r="AW107" s="251"/>
      <c r="AX107" s="246">
        <f t="shared" si="50"/>
        <v>0</v>
      </c>
      <c r="AY107" s="247">
        <f t="shared" si="51"/>
        <v>0</v>
      </c>
      <c r="AZ107" s="254"/>
      <c r="BA107" s="250"/>
      <c r="BB107" s="250"/>
      <c r="BC107" s="221"/>
      <c r="BD107" s="251"/>
      <c r="BE107" s="246">
        <f t="shared" si="52"/>
        <v>0</v>
      </c>
      <c r="BF107" s="247">
        <f t="shared" si="53"/>
        <v>0</v>
      </c>
      <c r="BG107" s="254"/>
      <c r="BH107" s="250"/>
      <c r="BI107" s="250"/>
      <c r="BJ107" s="221"/>
      <c r="BK107" s="251"/>
      <c r="BL107" s="246">
        <f t="shared" si="54"/>
        <v>0</v>
      </c>
      <c r="BM107" s="247">
        <f t="shared" si="55"/>
        <v>0</v>
      </c>
      <c r="BN107" s="254"/>
      <c r="BO107" s="250"/>
      <c r="BP107" s="250"/>
      <c r="BQ107" s="221"/>
      <c r="BR107" s="251"/>
      <c r="BS107" s="246">
        <f t="shared" si="56"/>
        <v>0</v>
      </c>
      <c r="BT107" s="247">
        <f t="shared" si="57"/>
        <v>0</v>
      </c>
      <c r="BU107" s="254"/>
      <c r="BV107" s="250"/>
      <c r="BW107" s="250"/>
      <c r="BX107" s="221"/>
      <c r="BY107" s="251"/>
      <c r="BZ107" s="246">
        <f t="shared" si="58"/>
        <v>0</v>
      </c>
      <c r="CA107" s="247">
        <f t="shared" si="59"/>
        <v>0</v>
      </c>
      <c r="CB107" s="254"/>
      <c r="CC107" s="250"/>
      <c r="CD107" s="250"/>
      <c r="CE107" s="221"/>
      <c r="CF107" s="251"/>
      <c r="CG107" s="246">
        <f t="shared" si="60"/>
        <v>0</v>
      </c>
      <c r="CH107" s="247">
        <f t="shared" si="61"/>
        <v>0</v>
      </c>
      <c r="CI107" s="254"/>
      <c r="CJ107" s="250"/>
      <c r="CK107" s="250"/>
      <c r="CL107" s="250"/>
      <c r="CM107" s="251"/>
      <c r="CN107" s="246"/>
      <c r="CO107" s="247"/>
      <c r="CP107" s="248"/>
      <c r="CQ107" s="250"/>
      <c r="CR107" s="250"/>
      <c r="CS107" s="266"/>
      <c r="CT107" s="251" t="s">
        <v>968</v>
      </c>
      <c r="CU107" s="246">
        <f t="shared" si="62"/>
        <v>0</v>
      </c>
      <c r="CV107" s="247">
        <f t="shared" si="63"/>
        <v>0</v>
      </c>
      <c r="CW107" s="254"/>
      <c r="CX107" s="250"/>
      <c r="CY107" s="250"/>
      <c r="CZ107" s="221"/>
      <c r="DA107" s="251"/>
      <c r="DB107" s="246">
        <f t="shared" si="64"/>
        <v>0</v>
      </c>
      <c r="DC107" s="247">
        <f t="shared" si="65"/>
        <v>0</v>
      </c>
      <c r="DD107" s="254"/>
      <c r="DE107" s="250"/>
      <c r="DF107" s="250"/>
      <c r="DG107" s="221"/>
      <c r="DH107" s="251"/>
      <c r="DI107" s="246">
        <f t="shared" si="66"/>
        <v>0</v>
      </c>
      <c r="DJ107" s="255">
        <f t="shared" si="67"/>
        <v>0</v>
      </c>
      <c r="DK107" s="209"/>
      <c r="DL107" s="220"/>
      <c r="DM107" s="221"/>
      <c r="DO107" s="256"/>
      <c r="DP107" s="257"/>
      <c r="DR107" s="258">
        <f t="shared" si="68"/>
        <v>0</v>
      </c>
      <c r="DS107" s="258">
        <f t="shared" si="69"/>
        <v>0</v>
      </c>
      <c r="DT107" s="258">
        <f t="shared" si="70"/>
        <v>0</v>
      </c>
      <c r="DU107" s="258">
        <f t="shared" si="71"/>
        <v>0</v>
      </c>
      <c r="DV107" s="259">
        <f t="shared" si="72"/>
        <v>0</v>
      </c>
      <c r="DW107" s="259">
        <f t="shared" si="73"/>
        <v>0</v>
      </c>
    </row>
    <row r="108" spans="1:127" s="194" customFormat="1" ht="15.75" x14ac:dyDescent="0.2">
      <c r="A108" s="239">
        <v>81</v>
      </c>
      <c r="B108" s="240" t="s">
        <v>43</v>
      </c>
      <c r="C108" s="276"/>
      <c r="D108" s="271"/>
      <c r="E108" s="272"/>
      <c r="F108" s="244"/>
      <c r="G108" s="245"/>
      <c r="H108" s="246">
        <f t="shared" si="38"/>
        <v>0</v>
      </c>
      <c r="I108" s="247">
        <f t="shared" si="39"/>
        <v>0</v>
      </c>
      <c r="J108" s="254"/>
      <c r="K108" s="250"/>
      <c r="L108" s="250"/>
      <c r="M108" s="221"/>
      <c r="N108" s="251"/>
      <c r="O108" s="246">
        <f t="shared" si="40"/>
        <v>0</v>
      </c>
      <c r="P108" s="247">
        <f t="shared" si="41"/>
        <v>0</v>
      </c>
      <c r="Q108" s="254"/>
      <c r="R108" s="250"/>
      <c r="S108" s="250"/>
      <c r="T108" s="221"/>
      <c r="U108" s="251"/>
      <c r="V108" s="246">
        <f t="shared" si="42"/>
        <v>0</v>
      </c>
      <c r="W108" s="247">
        <f t="shared" si="43"/>
        <v>0</v>
      </c>
      <c r="X108" s="254"/>
      <c r="Y108" s="250"/>
      <c r="Z108" s="250"/>
      <c r="AA108" s="221"/>
      <c r="AB108" s="251"/>
      <c r="AC108" s="246">
        <f t="shared" si="44"/>
        <v>0</v>
      </c>
      <c r="AD108" s="247">
        <f t="shared" si="45"/>
        <v>0</v>
      </c>
      <c r="AE108" s="254"/>
      <c r="AF108" s="273"/>
      <c r="AG108" s="250"/>
      <c r="AH108" s="221"/>
      <c r="AI108" s="251"/>
      <c r="AJ108" s="246">
        <f t="shared" si="46"/>
        <v>0</v>
      </c>
      <c r="AK108" s="247">
        <f t="shared" si="47"/>
        <v>0</v>
      </c>
      <c r="AL108" s="254"/>
      <c r="AM108" s="250"/>
      <c r="AN108" s="250"/>
      <c r="AO108" s="221"/>
      <c r="AP108" s="251"/>
      <c r="AQ108" s="246">
        <f t="shared" si="48"/>
        <v>0</v>
      </c>
      <c r="AR108" s="247">
        <f t="shared" si="49"/>
        <v>0</v>
      </c>
      <c r="AS108" s="254"/>
      <c r="AT108" s="250"/>
      <c r="AU108" s="250"/>
      <c r="AV108" s="221"/>
      <c r="AW108" s="251"/>
      <c r="AX108" s="246">
        <f t="shared" si="50"/>
        <v>0</v>
      </c>
      <c r="AY108" s="247">
        <f t="shared" si="51"/>
        <v>0</v>
      </c>
      <c r="AZ108" s="254"/>
      <c r="BA108" s="250"/>
      <c r="BB108" s="250"/>
      <c r="BC108" s="221"/>
      <c r="BD108" s="251"/>
      <c r="BE108" s="246">
        <f t="shared" si="52"/>
        <v>0</v>
      </c>
      <c r="BF108" s="247">
        <f t="shared" si="53"/>
        <v>0</v>
      </c>
      <c r="BG108" s="254"/>
      <c r="BH108" s="250"/>
      <c r="BI108" s="250"/>
      <c r="BJ108" s="221"/>
      <c r="BK108" s="251"/>
      <c r="BL108" s="246">
        <f t="shared" si="54"/>
        <v>0</v>
      </c>
      <c r="BM108" s="247">
        <f t="shared" si="55"/>
        <v>0</v>
      </c>
      <c r="BN108" s="254"/>
      <c r="BO108" s="250"/>
      <c r="BP108" s="250"/>
      <c r="BQ108" s="221"/>
      <c r="BR108" s="251"/>
      <c r="BS108" s="246">
        <f t="shared" si="56"/>
        <v>0</v>
      </c>
      <c r="BT108" s="247">
        <f t="shared" si="57"/>
        <v>0</v>
      </c>
      <c r="BU108" s="254"/>
      <c r="BV108" s="250"/>
      <c r="BW108" s="250"/>
      <c r="BX108" s="221"/>
      <c r="BY108" s="251"/>
      <c r="BZ108" s="246">
        <f t="shared" si="58"/>
        <v>0</v>
      </c>
      <c r="CA108" s="247">
        <f t="shared" si="59"/>
        <v>0</v>
      </c>
      <c r="CB108" s="254"/>
      <c r="CC108" s="250"/>
      <c r="CD108" s="250"/>
      <c r="CE108" s="221"/>
      <c r="CF108" s="251"/>
      <c r="CG108" s="246">
        <f t="shared" si="60"/>
        <v>0</v>
      </c>
      <c r="CH108" s="247">
        <f t="shared" si="61"/>
        <v>0</v>
      </c>
      <c r="CI108" s="254"/>
      <c r="CJ108" s="250"/>
      <c r="CK108" s="250"/>
      <c r="CL108" s="250"/>
      <c r="CM108" s="251"/>
      <c r="CN108" s="246"/>
      <c r="CO108" s="247"/>
      <c r="CP108" s="248"/>
      <c r="CQ108" s="250"/>
      <c r="CR108" s="253"/>
      <c r="CS108" s="221"/>
      <c r="CT108" s="251" t="s">
        <v>968</v>
      </c>
      <c r="CU108" s="246">
        <f t="shared" si="62"/>
        <v>0</v>
      </c>
      <c r="CV108" s="247">
        <f t="shared" si="63"/>
        <v>0</v>
      </c>
      <c r="CW108" s="254"/>
      <c r="CX108" s="250"/>
      <c r="CY108" s="250"/>
      <c r="CZ108" s="221"/>
      <c r="DA108" s="251"/>
      <c r="DB108" s="246">
        <f t="shared" si="64"/>
        <v>0</v>
      </c>
      <c r="DC108" s="247">
        <f t="shared" si="65"/>
        <v>0</v>
      </c>
      <c r="DD108" s="254"/>
      <c r="DE108" s="250"/>
      <c r="DF108" s="250"/>
      <c r="DG108" s="221"/>
      <c r="DH108" s="251"/>
      <c r="DI108" s="246">
        <f t="shared" si="66"/>
        <v>0</v>
      </c>
      <c r="DJ108" s="255">
        <f t="shared" si="67"/>
        <v>0</v>
      </c>
      <c r="DK108" s="209"/>
      <c r="DL108" s="220"/>
      <c r="DM108" s="221"/>
      <c r="DO108" s="256"/>
      <c r="DP108" s="257"/>
      <c r="DR108" s="258">
        <f t="shared" si="68"/>
        <v>0</v>
      </c>
      <c r="DS108" s="258">
        <f t="shared" si="69"/>
        <v>0</v>
      </c>
      <c r="DT108" s="258">
        <f t="shared" si="70"/>
        <v>0</v>
      </c>
      <c r="DU108" s="258">
        <f t="shared" si="71"/>
        <v>0</v>
      </c>
      <c r="DV108" s="259">
        <f t="shared" si="72"/>
        <v>0</v>
      </c>
      <c r="DW108" s="259">
        <f t="shared" si="73"/>
        <v>0</v>
      </c>
    </row>
    <row r="109" spans="1:127" s="194" customFormat="1" ht="15.75" x14ac:dyDescent="0.2">
      <c r="A109" s="239">
        <v>82</v>
      </c>
      <c r="B109" s="240" t="s">
        <v>1040</v>
      </c>
      <c r="C109" s="276"/>
      <c r="D109" s="261"/>
      <c r="E109" s="262"/>
      <c r="F109" s="277"/>
      <c r="G109" s="245"/>
      <c r="H109" s="246">
        <f t="shared" si="38"/>
        <v>0</v>
      </c>
      <c r="I109" s="247">
        <f t="shared" si="39"/>
        <v>0</v>
      </c>
      <c r="J109" s="268"/>
      <c r="K109" s="265"/>
      <c r="L109" s="265"/>
      <c r="M109" s="269"/>
      <c r="N109" s="251"/>
      <c r="O109" s="246">
        <f t="shared" si="40"/>
        <v>0</v>
      </c>
      <c r="P109" s="247">
        <f t="shared" si="41"/>
        <v>0</v>
      </c>
      <c r="Q109" s="268"/>
      <c r="R109" s="265"/>
      <c r="S109" s="265"/>
      <c r="T109" s="269"/>
      <c r="U109" s="251"/>
      <c r="V109" s="246">
        <f t="shared" si="42"/>
        <v>0</v>
      </c>
      <c r="W109" s="247">
        <f t="shared" si="43"/>
        <v>0</v>
      </c>
      <c r="X109" s="268"/>
      <c r="Y109" s="265"/>
      <c r="Z109" s="265"/>
      <c r="AA109" s="269"/>
      <c r="AB109" s="251"/>
      <c r="AC109" s="246">
        <f t="shared" si="44"/>
        <v>0</v>
      </c>
      <c r="AD109" s="247">
        <f t="shared" si="45"/>
        <v>0</v>
      </c>
      <c r="AE109" s="268"/>
      <c r="AF109" s="267"/>
      <c r="AG109" s="265"/>
      <c r="AH109" s="269"/>
      <c r="AI109" s="251"/>
      <c r="AJ109" s="246">
        <f t="shared" si="46"/>
        <v>0</v>
      </c>
      <c r="AK109" s="247">
        <f t="shared" si="47"/>
        <v>0</v>
      </c>
      <c r="AL109" s="268"/>
      <c r="AM109" s="265"/>
      <c r="AN109" s="265"/>
      <c r="AO109" s="269"/>
      <c r="AP109" s="251"/>
      <c r="AQ109" s="246">
        <f t="shared" si="48"/>
        <v>0</v>
      </c>
      <c r="AR109" s="247">
        <f t="shared" si="49"/>
        <v>0</v>
      </c>
      <c r="AS109" s="268"/>
      <c r="AT109" s="265"/>
      <c r="AU109" s="250"/>
      <c r="AV109" s="221"/>
      <c r="AW109" s="251"/>
      <c r="AX109" s="246">
        <f t="shared" si="50"/>
        <v>0</v>
      </c>
      <c r="AY109" s="247">
        <f t="shared" si="51"/>
        <v>0</v>
      </c>
      <c r="AZ109" s="268"/>
      <c r="BA109" s="265"/>
      <c r="BB109" s="265"/>
      <c r="BC109" s="269"/>
      <c r="BD109" s="251"/>
      <c r="BE109" s="246">
        <f t="shared" si="52"/>
        <v>0</v>
      </c>
      <c r="BF109" s="247">
        <f t="shared" si="53"/>
        <v>0</v>
      </c>
      <c r="BG109" s="268"/>
      <c r="BH109" s="265"/>
      <c r="BI109" s="265"/>
      <c r="BJ109" s="269"/>
      <c r="BK109" s="251"/>
      <c r="BL109" s="246">
        <f t="shared" si="54"/>
        <v>0</v>
      </c>
      <c r="BM109" s="247">
        <f t="shared" si="55"/>
        <v>0</v>
      </c>
      <c r="BN109" s="268"/>
      <c r="BO109" s="265"/>
      <c r="BP109" s="265"/>
      <c r="BQ109" s="221"/>
      <c r="BR109" s="251"/>
      <c r="BS109" s="246">
        <f t="shared" si="56"/>
        <v>0</v>
      </c>
      <c r="BT109" s="247">
        <f t="shared" si="57"/>
        <v>0</v>
      </c>
      <c r="BU109" s="268"/>
      <c r="BV109" s="265"/>
      <c r="BW109" s="265"/>
      <c r="BX109" s="269"/>
      <c r="BY109" s="251"/>
      <c r="BZ109" s="246">
        <f t="shared" si="58"/>
        <v>0</v>
      </c>
      <c r="CA109" s="247">
        <f t="shared" si="59"/>
        <v>0</v>
      </c>
      <c r="CB109" s="268"/>
      <c r="CC109" s="265"/>
      <c r="CD109" s="265"/>
      <c r="CE109" s="269"/>
      <c r="CF109" s="251"/>
      <c r="CG109" s="246">
        <f t="shared" si="60"/>
        <v>0</v>
      </c>
      <c r="CH109" s="247">
        <f t="shared" si="61"/>
        <v>0</v>
      </c>
      <c r="CI109" s="254"/>
      <c r="CJ109" s="265"/>
      <c r="CK109" s="265"/>
      <c r="CL109" s="250"/>
      <c r="CM109" s="251"/>
      <c r="CN109" s="246">
        <f t="shared" ref="CN109:CN117" si="74">IF(CJ109&lt;&gt;"",$B$189,IF(CK109&lt;&gt;"",$B$190,IF(CL109&lt;&gt;"",$B$191,0)))</f>
        <v>0</v>
      </c>
      <c r="CO109" s="247">
        <f t="shared" ref="CO109:CO117" si="75">IF(AND(CJ109="",CK109="",CL109=""),0,IF($DW109&gt;CN109,CN109,$DW109))</f>
        <v>0</v>
      </c>
      <c r="CP109" s="264"/>
      <c r="CQ109" s="265"/>
      <c r="CR109" s="283"/>
      <c r="CS109" s="269"/>
      <c r="CT109" s="251" t="s">
        <v>968</v>
      </c>
      <c r="CU109" s="246">
        <f t="shared" si="62"/>
        <v>0</v>
      </c>
      <c r="CV109" s="247">
        <f t="shared" si="63"/>
        <v>0</v>
      </c>
      <c r="CW109" s="268"/>
      <c r="CX109" s="265"/>
      <c r="CY109" s="265"/>
      <c r="CZ109" s="269"/>
      <c r="DA109" s="251"/>
      <c r="DB109" s="246">
        <f t="shared" si="64"/>
        <v>0</v>
      </c>
      <c r="DC109" s="247">
        <f t="shared" si="65"/>
        <v>0</v>
      </c>
      <c r="DD109" s="268"/>
      <c r="DE109" s="265"/>
      <c r="DF109" s="265"/>
      <c r="DG109" s="269"/>
      <c r="DH109" s="251"/>
      <c r="DI109" s="246">
        <f t="shared" si="66"/>
        <v>0</v>
      </c>
      <c r="DJ109" s="255">
        <f t="shared" si="67"/>
        <v>0</v>
      </c>
      <c r="DK109" s="209"/>
      <c r="DL109" s="220"/>
      <c r="DM109" s="221"/>
      <c r="DO109" s="256"/>
      <c r="DP109" s="257"/>
      <c r="DR109" s="258">
        <f t="shared" si="68"/>
        <v>0</v>
      </c>
      <c r="DS109" s="258">
        <f t="shared" si="69"/>
        <v>0</v>
      </c>
      <c r="DT109" s="258">
        <f t="shared" si="70"/>
        <v>0</v>
      </c>
      <c r="DU109" s="258">
        <f t="shared" si="71"/>
        <v>0</v>
      </c>
      <c r="DV109" s="259">
        <f t="shared" si="72"/>
        <v>0</v>
      </c>
      <c r="DW109" s="259">
        <f t="shared" si="73"/>
        <v>0</v>
      </c>
    </row>
    <row r="110" spans="1:127" s="194" customFormat="1" ht="15.75" x14ac:dyDescent="0.2">
      <c r="A110" s="239">
        <v>83</v>
      </c>
      <c r="B110" s="240" t="s">
        <v>42</v>
      </c>
      <c r="C110" s="276"/>
      <c r="D110" s="271"/>
      <c r="E110" s="272"/>
      <c r="F110" s="244"/>
      <c r="G110" s="245"/>
      <c r="H110" s="246">
        <f t="shared" si="38"/>
        <v>0</v>
      </c>
      <c r="I110" s="247">
        <f t="shared" si="39"/>
        <v>0</v>
      </c>
      <c r="J110" s="254"/>
      <c r="K110" s="250"/>
      <c r="L110" s="250"/>
      <c r="M110" s="221"/>
      <c r="N110" s="251"/>
      <c r="O110" s="246">
        <f t="shared" si="40"/>
        <v>0</v>
      </c>
      <c r="P110" s="247">
        <f t="shared" si="41"/>
        <v>0</v>
      </c>
      <c r="Q110" s="254"/>
      <c r="R110" s="250"/>
      <c r="S110" s="250"/>
      <c r="T110" s="221"/>
      <c r="U110" s="251"/>
      <c r="V110" s="246">
        <f t="shared" si="42"/>
        <v>0</v>
      </c>
      <c r="W110" s="247">
        <f t="shared" si="43"/>
        <v>0</v>
      </c>
      <c r="X110" s="254"/>
      <c r="Y110" s="250"/>
      <c r="Z110" s="250"/>
      <c r="AA110" s="221"/>
      <c r="AB110" s="251"/>
      <c r="AC110" s="246">
        <f t="shared" si="44"/>
        <v>0</v>
      </c>
      <c r="AD110" s="247">
        <f t="shared" si="45"/>
        <v>0</v>
      </c>
      <c r="AE110" s="254"/>
      <c r="AF110" s="273"/>
      <c r="AG110" s="250"/>
      <c r="AH110" s="221"/>
      <c r="AI110" s="251"/>
      <c r="AJ110" s="246">
        <f t="shared" si="46"/>
        <v>0</v>
      </c>
      <c r="AK110" s="247">
        <f t="shared" si="47"/>
        <v>0</v>
      </c>
      <c r="AL110" s="254"/>
      <c r="AM110" s="250"/>
      <c r="AN110" s="250"/>
      <c r="AO110" s="221"/>
      <c r="AP110" s="251"/>
      <c r="AQ110" s="246">
        <f t="shared" si="48"/>
        <v>0</v>
      </c>
      <c r="AR110" s="247">
        <f t="shared" si="49"/>
        <v>0</v>
      </c>
      <c r="AS110" s="254"/>
      <c r="AT110" s="250"/>
      <c r="AU110" s="250"/>
      <c r="AV110" s="221"/>
      <c r="AW110" s="251"/>
      <c r="AX110" s="246">
        <f t="shared" si="50"/>
        <v>0</v>
      </c>
      <c r="AY110" s="247">
        <f t="shared" si="51"/>
        <v>0</v>
      </c>
      <c r="AZ110" s="254"/>
      <c r="BA110" s="250"/>
      <c r="BB110" s="250"/>
      <c r="BC110" s="221"/>
      <c r="BD110" s="251"/>
      <c r="BE110" s="246">
        <f t="shared" si="52"/>
        <v>0</v>
      </c>
      <c r="BF110" s="247">
        <f t="shared" si="53"/>
        <v>0</v>
      </c>
      <c r="BG110" s="254"/>
      <c r="BH110" s="250"/>
      <c r="BI110" s="250"/>
      <c r="BJ110" s="221"/>
      <c r="BK110" s="251"/>
      <c r="BL110" s="246">
        <f t="shared" si="54"/>
        <v>0</v>
      </c>
      <c r="BM110" s="247">
        <f t="shared" si="55"/>
        <v>0</v>
      </c>
      <c r="BN110" s="254"/>
      <c r="BO110" s="250"/>
      <c r="BP110" s="250"/>
      <c r="BQ110" s="221"/>
      <c r="BR110" s="251"/>
      <c r="BS110" s="246">
        <f t="shared" si="56"/>
        <v>0</v>
      </c>
      <c r="BT110" s="247">
        <f t="shared" si="57"/>
        <v>0</v>
      </c>
      <c r="BU110" s="254"/>
      <c r="BV110" s="250"/>
      <c r="BW110" s="250"/>
      <c r="BX110" s="221"/>
      <c r="BY110" s="251"/>
      <c r="BZ110" s="246">
        <f t="shared" si="58"/>
        <v>0</v>
      </c>
      <c r="CA110" s="247">
        <f t="shared" si="59"/>
        <v>0</v>
      </c>
      <c r="CB110" s="254"/>
      <c r="CC110" s="250"/>
      <c r="CD110" s="250"/>
      <c r="CE110" s="221"/>
      <c r="CF110" s="251"/>
      <c r="CG110" s="246">
        <f t="shared" si="60"/>
        <v>0</v>
      </c>
      <c r="CH110" s="247">
        <f t="shared" si="61"/>
        <v>0</v>
      </c>
      <c r="CI110" s="254"/>
      <c r="CJ110" s="250"/>
      <c r="CK110" s="250"/>
      <c r="CL110" s="250"/>
      <c r="CM110" s="251"/>
      <c r="CN110" s="246">
        <f t="shared" si="74"/>
        <v>0</v>
      </c>
      <c r="CO110" s="247">
        <f t="shared" si="75"/>
        <v>0</v>
      </c>
      <c r="CP110" s="248"/>
      <c r="CQ110" s="273"/>
      <c r="CR110" s="253"/>
      <c r="CS110" s="221"/>
      <c r="CT110" s="251" t="s">
        <v>968</v>
      </c>
      <c r="CU110" s="246">
        <f t="shared" si="62"/>
        <v>0</v>
      </c>
      <c r="CV110" s="247">
        <f t="shared" si="63"/>
        <v>0</v>
      </c>
      <c r="CW110" s="254"/>
      <c r="CX110" s="250"/>
      <c r="CY110" s="250"/>
      <c r="CZ110" s="221"/>
      <c r="DA110" s="251"/>
      <c r="DB110" s="246">
        <f t="shared" si="64"/>
        <v>0</v>
      </c>
      <c r="DC110" s="247">
        <f t="shared" si="65"/>
        <v>0</v>
      </c>
      <c r="DD110" s="254"/>
      <c r="DE110" s="250"/>
      <c r="DF110" s="250"/>
      <c r="DG110" s="221"/>
      <c r="DH110" s="251"/>
      <c r="DI110" s="246">
        <f t="shared" si="66"/>
        <v>0</v>
      </c>
      <c r="DJ110" s="255">
        <f t="shared" si="67"/>
        <v>0</v>
      </c>
      <c r="DK110" s="209"/>
      <c r="DL110" s="220"/>
      <c r="DM110" s="221"/>
      <c r="DO110" s="256"/>
      <c r="DP110" s="257"/>
      <c r="DR110" s="258">
        <f t="shared" si="68"/>
        <v>0</v>
      </c>
      <c r="DS110" s="258">
        <f t="shared" si="69"/>
        <v>0</v>
      </c>
      <c r="DT110" s="258">
        <f t="shared" si="70"/>
        <v>0</v>
      </c>
      <c r="DU110" s="258">
        <f t="shared" si="71"/>
        <v>0</v>
      </c>
      <c r="DV110" s="259">
        <f t="shared" si="72"/>
        <v>0</v>
      </c>
      <c r="DW110" s="259">
        <f t="shared" si="73"/>
        <v>0</v>
      </c>
    </row>
    <row r="111" spans="1:127" s="194" customFormat="1" ht="15.75" x14ac:dyDescent="0.2">
      <c r="A111" s="239">
        <v>84</v>
      </c>
      <c r="B111" s="240" t="s">
        <v>1041</v>
      </c>
      <c r="C111" s="276"/>
      <c r="D111" s="271"/>
      <c r="E111" s="272"/>
      <c r="F111" s="244"/>
      <c r="G111" s="245"/>
      <c r="H111" s="246">
        <f t="shared" si="38"/>
        <v>0</v>
      </c>
      <c r="I111" s="247">
        <f t="shared" si="39"/>
        <v>0</v>
      </c>
      <c r="J111" s="254"/>
      <c r="K111" s="250"/>
      <c r="L111" s="250"/>
      <c r="M111" s="221"/>
      <c r="N111" s="251"/>
      <c r="O111" s="246">
        <f t="shared" si="40"/>
        <v>0</v>
      </c>
      <c r="P111" s="247">
        <f t="shared" si="41"/>
        <v>0</v>
      </c>
      <c r="Q111" s="254"/>
      <c r="R111" s="250"/>
      <c r="S111" s="250"/>
      <c r="T111" s="221"/>
      <c r="U111" s="251"/>
      <c r="V111" s="246">
        <f t="shared" si="42"/>
        <v>0</v>
      </c>
      <c r="W111" s="247">
        <f t="shared" si="43"/>
        <v>0</v>
      </c>
      <c r="X111" s="254"/>
      <c r="Y111" s="250"/>
      <c r="Z111" s="250"/>
      <c r="AA111" s="221"/>
      <c r="AB111" s="251"/>
      <c r="AC111" s="246">
        <f t="shared" si="44"/>
        <v>0</v>
      </c>
      <c r="AD111" s="247">
        <f t="shared" si="45"/>
        <v>0</v>
      </c>
      <c r="AE111" s="254"/>
      <c r="AF111" s="273"/>
      <c r="AG111" s="250"/>
      <c r="AH111" s="221"/>
      <c r="AI111" s="251"/>
      <c r="AJ111" s="246">
        <f t="shared" si="46"/>
        <v>0</v>
      </c>
      <c r="AK111" s="247">
        <f t="shared" si="47"/>
        <v>0</v>
      </c>
      <c r="AL111" s="254"/>
      <c r="AM111" s="250"/>
      <c r="AN111" s="250"/>
      <c r="AO111" s="221"/>
      <c r="AP111" s="251"/>
      <c r="AQ111" s="246">
        <f t="shared" si="48"/>
        <v>0</v>
      </c>
      <c r="AR111" s="247">
        <f t="shared" si="49"/>
        <v>0</v>
      </c>
      <c r="AS111" s="254"/>
      <c r="AT111" s="250"/>
      <c r="AU111" s="250"/>
      <c r="AV111" s="221"/>
      <c r="AW111" s="251"/>
      <c r="AX111" s="246">
        <f t="shared" si="50"/>
        <v>0</v>
      </c>
      <c r="AY111" s="247">
        <f t="shared" si="51"/>
        <v>0</v>
      </c>
      <c r="AZ111" s="254"/>
      <c r="BA111" s="250"/>
      <c r="BB111" s="250"/>
      <c r="BC111" s="221"/>
      <c r="BD111" s="251"/>
      <c r="BE111" s="246">
        <f t="shared" si="52"/>
        <v>0</v>
      </c>
      <c r="BF111" s="247">
        <f t="shared" si="53"/>
        <v>0</v>
      </c>
      <c r="BG111" s="254"/>
      <c r="BH111" s="250"/>
      <c r="BI111" s="250"/>
      <c r="BJ111" s="221"/>
      <c r="BK111" s="251"/>
      <c r="BL111" s="246">
        <f t="shared" si="54"/>
        <v>0</v>
      </c>
      <c r="BM111" s="247">
        <f t="shared" si="55"/>
        <v>0</v>
      </c>
      <c r="BN111" s="254"/>
      <c r="BO111" s="250"/>
      <c r="BP111" s="250"/>
      <c r="BQ111" s="221"/>
      <c r="BR111" s="251"/>
      <c r="BS111" s="246">
        <f t="shared" si="56"/>
        <v>0</v>
      </c>
      <c r="BT111" s="247">
        <f t="shared" si="57"/>
        <v>0</v>
      </c>
      <c r="BU111" s="254"/>
      <c r="BV111" s="250"/>
      <c r="BW111" s="250"/>
      <c r="BX111" s="221"/>
      <c r="BY111" s="251"/>
      <c r="BZ111" s="246">
        <f t="shared" si="58"/>
        <v>0</v>
      </c>
      <c r="CA111" s="247">
        <f t="shared" si="59"/>
        <v>0</v>
      </c>
      <c r="CB111" s="254"/>
      <c r="CC111" s="250"/>
      <c r="CD111" s="250"/>
      <c r="CE111" s="221"/>
      <c r="CF111" s="251"/>
      <c r="CG111" s="246">
        <f t="shared" si="60"/>
        <v>0</v>
      </c>
      <c r="CH111" s="247">
        <f t="shared" si="61"/>
        <v>0</v>
      </c>
      <c r="CI111" s="254"/>
      <c r="CJ111" s="250"/>
      <c r="CK111" s="250"/>
      <c r="CL111" s="250"/>
      <c r="CM111" s="251"/>
      <c r="CN111" s="246">
        <f t="shared" si="74"/>
        <v>0</v>
      </c>
      <c r="CO111" s="247">
        <f t="shared" si="75"/>
        <v>0</v>
      </c>
      <c r="CP111" s="248"/>
      <c r="CQ111" s="273"/>
      <c r="CR111" s="253"/>
      <c r="CS111" s="221"/>
      <c r="CT111" s="251" t="s">
        <v>968</v>
      </c>
      <c r="CU111" s="246">
        <f t="shared" si="62"/>
        <v>0</v>
      </c>
      <c r="CV111" s="247">
        <f t="shared" si="63"/>
        <v>0</v>
      </c>
      <c r="CW111" s="254"/>
      <c r="CX111" s="250"/>
      <c r="CY111" s="250"/>
      <c r="CZ111" s="221"/>
      <c r="DA111" s="251"/>
      <c r="DB111" s="246">
        <f t="shared" si="64"/>
        <v>0</v>
      </c>
      <c r="DC111" s="247">
        <f t="shared" si="65"/>
        <v>0</v>
      </c>
      <c r="DD111" s="254"/>
      <c r="DE111" s="250"/>
      <c r="DF111" s="250"/>
      <c r="DG111" s="221"/>
      <c r="DH111" s="251"/>
      <c r="DI111" s="246">
        <f t="shared" si="66"/>
        <v>0</v>
      </c>
      <c r="DJ111" s="255">
        <f t="shared" si="67"/>
        <v>0</v>
      </c>
      <c r="DK111" s="209"/>
      <c r="DL111" s="220"/>
      <c r="DM111" s="221"/>
      <c r="DO111" s="256"/>
      <c r="DP111" s="257"/>
      <c r="DR111" s="258">
        <f t="shared" si="68"/>
        <v>0</v>
      </c>
      <c r="DS111" s="258">
        <f t="shared" si="69"/>
        <v>0</v>
      </c>
      <c r="DT111" s="258">
        <f t="shared" si="70"/>
        <v>0</v>
      </c>
      <c r="DU111" s="258">
        <f t="shared" si="71"/>
        <v>0</v>
      </c>
      <c r="DV111" s="259">
        <f t="shared" si="72"/>
        <v>0</v>
      </c>
      <c r="DW111" s="259">
        <f t="shared" si="73"/>
        <v>0</v>
      </c>
    </row>
    <row r="112" spans="1:127" s="209" customFormat="1" ht="15.75" x14ac:dyDescent="0.2">
      <c r="A112" s="239">
        <v>85</v>
      </c>
      <c r="B112" s="240" t="s">
        <v>1042</v>
      </c>
      <c r="C112" s="276"/>
      <c r="D112" s="271"/>
      <c r="E112" s="272"/>
      <c r="F112" s="244"/>
      <c r="G112" s="245"/>
      <c r="H112" s="246">
        <f t="shared" si="38"/>
        <v>0</v>
      </c>
      <c r="I112" s="247">
        <f t="shared" si="39"/>
        <v>0</v>
      </c>
      <c r="J112" s="254"/>
      <c r="K112" s="250"/>
      <c r="L112" s="250"/>
      <c r="M112" s="221"/>
      <c r="N112" s="251"/>
      <c r="O112" s="246">
        <f t="shared" si="40"/>
        <v>0</v>
      </c>
      <c r="P112" s="247">
        <f t="shared" si="41"/>
        <v>0</v>
      </c>
      <c r="Q112" s="254"/>
      <c r="R112" s="250"/>
      <c r="S112" s="250"/>
      <c r="T112" s="221"/>
      <c r="U112" s="251"/>
      <c r="V112" s="246">
        <f t="shared" si="42"/>
        <v>0</v>
      </c>
      <c r="W112" s="247">
        <f t="shared" si="43"/>
        <v>0</v>
      </c>
      <c r="X112" s="254"/>
      <c r="Y112" s="250"/>
      <c r="Z112" s="250"/>
      <c r="AA112" s="221"/>
      <c r="AB112" s="251"/>
      <c r="AC112" s="246">
        <f t="shared" si="44"/>
        <v>0</v>
      </c>
      <c r="AD112" s="247">
        <f t="shared" si="45"/>
        <v>0</v>
      </c>
      <c r="AE112" s="254"/>
      <c r="AF112" s="273"/>
      <c r="AG112" s="250"/>
      <c r="AH112" s="221"/>
      <c r="AI112" s="251"/>
      <c r="AJ112" s="246">
        <f t="shared" si="46"/>
        <v>0</v>
      </c>
      <c r="AK112" s="247">
        <f t="shared" si="47"/>
        <v>0</v>
      </c>
      <c r="AL112" s="254"/>
      <c r="AM112" s="250"/>
      <c r="AN112" s="250"/>
      <c r="AO112" s="221"/>
      <c r="AP112" s="251"/>
      <c r="AQ112" s="246">
        <f t="shared" si="48"/>
        <v>0</v>
      </c>
      <c r="AR112" s="247">
        <f t="shared" si="49"/>
        <v>0</v>
      </c>
      <c r="AS112" s="254"/>
      <c r="AT112" s="250"/>
      <c r="AU112" s="250"/>
      <c r="AV112" s="221"/>
      <c r="AW112" s="251"/>
      <c r="AX112" s="246">
        <f t="shared" si="50"/>
        <v>0</v>
      </c>
      <c r="AY112" s="247">
        <f t="shared" si="51"/>
        <v>0</v>
      </c>
      <c r="AZ112" s="254"/>
      <c r="BA112" s="250"/>
      <c r="BB112" s="250"/>
      <c r="BC112" s="221"/>
      <c r="BD112" s="251"/>
      <c r="BE112" s="246">
        <f t="shared" si="52"/>
        <v>0</v>
      </c>
      <c r="BF112" s="247">
        <f t="shared" si="53"/>
        <v>0</v>
      </c>
      <c r="BG112" s="254"/>
      <c r="BH112" s="250"/>
      <c r="BI112" s="250"/>
      <c r="BJ112" s="221"/>
      <c r="BK112" s="251"/>
      <c r="BL112" s="246">
        <f t="shared" si="54"/>
        <v>0</v>
      </c>
      <c r="BM112" s="247">
        <f t="shared" si="55"/>
        <v>0</v>
      </c>
      <c r="BN112" s="254"/>
      <c r="BO112" s="250"/>
      <c r="BP112" s="250"/>
      <c r="BQ112" s="221"/>
      <c r="BR112" s="251"/>
      <c r="BS112" s="246">
        <f t="shared" si="56"/>
        <v>0</v>
      </c>
      <c r="BT112" s="247">
        <f t="shared" si="57"/>
        <v>0</v>
      </c>
      <c r="BU112" s="254"/>
      <c r="BV112" s="250"/>
      <c r="BW112" s="250"/>
      <c r="BX112" s="221"/>
      <c r="BY112" s="251"/>
      <c r="BZ112" s="246">
        <f t="shared" si="58"/>
        <v>0</v>
      </c>
      <c r="CA112" s="247">
        <f t="shared" si="59"/>
        <v>0</v>
      </c>
      <c r="CB112" s="254"/>
      <c r="CC112" s="250"/>
      <c r="CD112" s="250"/>
      <c r="CE112" s="221"/>
      <c r="CF112" s="251"/>
      <c r="CG112" s="246">
        <f t="shared" si="60"/>
        <v>0</v>
      </c>
      <c r="CH112" s="247">
        <f t="shared" si="61"/>
        <v>0</v>
      </c>
      <c r="CI112" s="254"/>
      <c r="CJ112" s="250"/>
      <c r="CK112" s="250"/>
      <c r="CL112" s="250"/>
      <c r="CM112" s="251"/>
      <c r="CN112" s="246">
        <f t="shared" si="74"/>
        <v>0</v>
      </c>
      <c r="CO112" s="247">
        <f t="shared" si="75"/>
        <v>0</v>
      </c>
      <c r="CP112" s="254"/>
      <c r="CQ112" s="250"/>
      <c r="CR112" s="250"/>
      <c r="CS112" s="221"/>
      <c r="CT112" s="251"/>
      <c r="CU112" s="246">
        <f t="shared" si="62"/>
        <v>0</v>
      </c>
      <c r="CV112" s="247">
        <f t="shared" si="63"/>
        <v>0</v>
      </c>
      <c r="CW112" s="254"/>
      <c r="CX112" s="250"/>
      <c r="CY112" s="250"/>
      <c r="CZ112" s="221"/>
      <c r="DA112" s="251"/>
      <c r="DB112" s="246">
        <f t="shared" si="64"/>
        <v>0</v>
      </c>
      <c r="DC112" s="247">
        <f t="shared" si="65"/>
        <v>0</v>
      </c>
      <c r="DD112" s="248"/>
      <c r="DE112" s="250"/>
      <c r="DF112" s="253"/>
      <c r="DG112" s="221"/>
      <c r="DH112" s="251" t="s">
        <v>968</v>
      </c>
      <c r="DI112" s="246">
        <f t="shared" si="66"/>
        <v>0</v>
      </c>
      <c r="DJ112" s="255">
        <f t="shared" si="67"/>
        <v>0</v>
      </c>
      <c r="DL112" s="220"/>
      <c r="DM112" s="221"/>
      <c r="DO112" s="256"/>
      <c r="DP112" s="257"/>
      <c r="DR112" s="258">
        <f t="shared" si="68"/>
        <v>0</v>
      </c>
      <c r="DS112" s="258">
        <f t="shared" si="69"/>
        <v>0</v>
      </c>
      <c r="DT112" s="258">
        <f t="shared" si="70"/>
        <v>0</v>
      </c>
      <c r="DU112" s="258">
        <f t="shared" si="71"/>
        <v>0</v>
      </c>
      <c r="DV112" s="259">
        <f t="shared" si="72"/>
        <v>0</v>
      </c>
      <c r="DW112" s="259">
        <f t="shared" si="73"/>
        <v>0</v>
      </c>
    </row>
    <row r="113" spans="1:127" s="209" customFormat="1" ht="15.75" x14ac:dyDescent="0.2">
      <c r="A113" s="239">
        <v>86</v>
      </c>
      <c r="B113" s="240" t="s">
        <v>261</v>
      </c>
      <c r="C113" s="276"/>
      <c r="D113" s="271"/>
      <c r="E113" s="272"/>
      <c r="F113" s="244"/>
      <c r="G113" s="245"/>
      <c r="H113" s="246">
        <f t="shared" si="38"/>
        <v>0</v>
      </c>
      <c r="I113" s="247">
        <f t="shared" si="39"/>
        <v>0</v>
      </c>
      <c r="J113" s="254"/>
      <c r="K113" s="250"/>
      <c r="L113" s="250"/>
      <c r="M113" s="221"/>
      <c r="N113" s="251"/>
      <c r="O113" s="246">
        <f t="shared" si="40"/>
        <v>0</v>
      </c>
      <c r="P113" s="247">
        <f t="shared" si="41"/>
        <v>0</v>
      </c>
      <c r="Q113" s="254"/>
      <c r="R113" s="250"/>
      <c r="S113" s="250"/>
      <c r="T113" s="221"/>
      <c r="U113" s="251"/>
      <c r="V113" s="246">
        <f t="shared" si="42"/>
        <v>0</v>
      </c>
      <c r="W113" s="247">
        <f t="shared" si="43"/>
        <v>0</v>
      </c>
      <c r="X113" s="254"/>
      <c r="Y113" s="250"/>
      <c r="Z113" s="250"/>
      <c r="AA113" s="221"/>
      <c r="AB113" s="251"/>
      <c r="AC113" s="246">
        <f t="shared" si="44"/>
        <v>0</v>
      </c>
      <c r="AD113" s="247">
        <f t="shared" si="45"/>
        <v>0</v>
      </c>
      <c r="AE113" s="254"/>
      <c r="AF113" s="273"/>
      <c r="AG113" s="250"/>
      <c r="AH113" s="221"/>
      <c r="AI113" s="251"/>
      <c r="AJ113" s="246">
        <f t="shared" si="46"/>
        <v>0</v>
      </c>
      <c r="AK113" s="247">
        <f t="shared" si="47"/>
        <v>0</v>
      </c>
      <c r="AL113" s="254"/>
      <c r="AM113" s="250"/>
      <c r="AN113" s="250"/>
      <c r="AO113" s="221"/>
      <c r="AP113" s="251"/>
      <c r="AQ113" s="246">
        <f t="shared" si="48"/>
        <v>0</v>
      </c>
      <c r="AR113" s="247">
        <f t="shared" si="49"/>
        <v>0</v>
      </c>
      <c r="AS113" s="254"/>
      <c r="AT113" s="250"/>
      <c r="AU113" s="250"/>
      <c r="AV113" s="221"/>
      <c r="AW113" s="251"/>
      <c r="AX113" s="246">
        <f t="shared" si="50"/>
        <v>0</v>
      </c>
      <c r="AY113" s="247">
        <f t="shared" si="51"/>
        <v>0</v>
      </c>
      <c r="AZ113" s="254"/>
      <c r="BA113" s="250"/>
      <c r="BB113" s="250"/>
      <c r="BC113" s="221"/>
      <c r="BD113" s="251"/>
      <c r="BE113" s="246">
        <f t="shared" si="52"/>
        <v>0</v>
      </c>
      <c r="BF113" s="247">
        <f t="shared" si="53"/>
        <v>0</v>
      </c>
      <c r="BG113" s="254"/>
      <c r="BH113" s="250"/>
      <c r="BI113" s="250"/>
      <c r="BJ113" s="221"/>
      <c r="BK113" s="251"/>
      <c r="BL113" s="246">
        <f t="shared" si="54"/>
        <v>0</v>
      </c>
      <c r="BM113" s="247">
        <f t="shared" si="55"/>
        <v>0</v>
      </c>
      <c r="BN113" s="254"/>
      <c r="BO113" s="250"/>
      <c r="BP113" s="250"/>
      <c r="BQ113" s="221"/>
      <c r="BR113" s="251"/>
      <c r="BS113" s="246">
        <f t="shared" si="56"/>
        <v>0</v>
      </c>
      <c r="BT113" s="247">
        <f t="shared" si="57"/>
        <v>0</v>
      </c>
      <c r="BU113" s="254"/>
      <c r="BV113" s="250"/>
      <c r="BW113" s="250"/>
      <c r="BX113" s="221"/>
      <c r="BY113" s="251"/>
      <c r="BZ113" s="246">
        <f t="shared" si="58"/>
        <v>0</v>
      </c>
      <c r="CA113" s="247">
        <f t="shared" si="59"/>
        <v>0</v>
      </c>
      <c r="CB113" s="254"/>
      <c r="CC113" s="250"/>
      <c r="CD113" s="250"/>
      <c r="CE113" s="221"/>
      <c r="CF113" s="251"/>
      <c r="CG113" s="246">
        <f t="shared" si="60"/>
        <v>0</v>
      </c>
      <c r="CH113" s="247">
        <f t="shared" si="61"/>
        <v>0</v>
      </c>
      <c r="CI113" s="254"/>
      <c r="CJ113" s="250"/>
      <c r="CK113" s="250"/>
      <c r="CL113" s="250"/>
      <c r="CM113" s="251"/>
      <c r="CN113" s="246">
        <f t="shared" si="74"/>
        <v>0</v>
      </c>
      <c r="CO113" s="247">
        <f t="shared" si="75"/>
        <v>0</v>
      </c>
      <c r="CP113" s="254"/>
      <c r="CQ113" s="250"/>
      <c r="CR113" s="250"/>
      <c r="CS113" s="221"/>
      <c r="CT113" s="251"/>
      <c r="CU113" s="246">
        <f t="shared" si="62"/>
        <v>0</v>
      </c>
      <c r="CV113" s="247">
        <f t="shared" si="63"/>
        <v>0</v>
      </c>
      <c r="CW113" s="254"/>
      <c r="CX113" s="250"/>
      <c r="CY113" s="250"/>
      <c r="CZ113" s="221"/>
      <c r="DA113" s="251"/>
      <c r="DB113" s="246">
        <f t="shared" si="64"/>
        <v>0</v>
      </c>
      <c r="DC113" s="247">
        <f t="shared" si="65"/>
        <v>0</v>
      </c>
      <c r="DD113" s="248"/>
      <c r="DE113" s="250"/>
      <c r="DF113" s="283"/>
      <c r="DG113" s="221"/>
      <c r="DH113" s="251" t="s">
        <v>968</v>
      </c>
      <c r="DI113" s="246">
        <f t="shared" si="66"/>
        <v>0</v>
      </c>
      <c r="DJ113" s="255">
        <f t="shared" si="67"/>
        <v>0</v>
      </c>
      <c r="DL113" s="220"/>
      <c r="DM113" s="221"/>
      <c r="DO113" s="256"/>
      <c r="DP113" s="257"/>
      <c r="DR113" s="258">
        <f t="shared" si="68"/>
        <v>0</v>
      </c>
      <c r="DS113" s="258">
        <f t="shared" si="69"/>
        <v>0</v>
      </c>
      <c r="DT113" s="258">
        <f t="shared" si="70"/>
        <v>0</v>
      </c>
      <c r="DU113" s="258">
        <f t="shared" si="71"/>
        <v>0</v>
      </c>
      <c r="DV113" s="259">
        <f t="shared" si="72"/>
        <v>0</v>
      </c>
      <c r="DW113" s="259">
        <f t="shared" si="73"/>
        <v>0</v>
      </c>
    </row>
    <row r="114" spans="1:127" s="209" customFormat="1" ht="15.75" x14ac:dyDescent="0.2">
      <c r="A114" s="239">
        <v>87</v>
      </c>
      <c r="B114" s="240" t="s">
        <v>262</v>
      </c>
      <c r="C114" s="276"/>
      <c r="D114" s="271"/>
      <c r="E114" s="272"/>
      <c r="F114" s="244"/>
      <c r="G114" s="245"/>
      <c r="H114" s="246">
        <f t="shared" si="38"/>
        <v>0</v>
      </c>
      <c r="I114" s="247">
        <f t="shared" si="39"/>
        <v>0</v>
      </c>
      <c r="J114" s="254"/>
      <c r="K114" s="250"/>
      <c r="L114" s="250"/>
      <c r="M114" s="221"/>
      <c r="N114" s="251"/>
      <c r="O114" s="246">
        <f t="shared" si="40"/>
        <v>0</v>
      </c>
      <c r="P114" s="247">
        <f t="shared" si="41"/>
        <v>0</v>
      </c>
      <c r="Q114" s="254"/>
      <c r="R114" s="250"/>
      <c r="S114" s="250"/>
      <c r="T114" s="221"/>
      <c r="U114" s="251"/>
      <c r="V114" s="246">
        <f t="shared" si="42"/>
        <v>0</v>
      </c>
      <c r="W114" s="247">
        <f t="shared" si="43"/>
        <v>0</v>
      </c>
      <c r="X114" s="254"/>
      <c r="Y114" s="250"/>
      <c r="Z114" s="250"/>
      <c r="AA114" s="221"/>
      <c r="AB114" s="251"/>
      <c r="AC114" s="246">
        <f t="shared" si="44"/>
        <v>0</v>
      </c>
      <c r="AD114" s="247">
        <f t="shared" si="45"/>
        <v>0</v>
      </c>
      <c r="AE114" s="254"/>
      <c r="AF114" s="273"/>
      <c r="AG114" s="250"/>
      <c r="AH114" s="221"/>
      <c r="AI114" s="251"/>
      <c r="AJ114" s="246">
        <f t="shared" si="46"/>
        <v>0</v>
      </c>
      <c r="AK114" s="247">
        <f t="shared" si="47"/>
        <v>0</v>
      </c>
      <c r="AL114" s="254"/>
      <c r="AM114" s="250"/>
      <c r="AN114" s="250"/>
      <c r="AO114" s="221"/>
      <c r="AP114" s="251"/>
      <c r="AQ114" s="246">
        <f t="shared" si="48"/>
        <v>0</v>
      </c>
      <c r="AR114" s="247">
        <f t="shared" si="49"/>
        <v>0</v>
      </c>
      <c r="AS114" s="254"/>
      <c r="AT114" s="250"/>
      <c r="AU114" s="250"/>
      <c r="AV114" s="221"/>
      <c r="AW114" s="251"/>
      <c r="AX114" s="246">
        <f t="shared" si="50"/>
        <v>0</v>
      </c>
      <c r="AY114" s="247">
        <f t="shared" si="51"/>
        <v>0</v>
      </c>
      <c r="AZ114" s="254"/>
      <c r="BA114" s="250"/>
      <c r="BB114" s="250"/>
      <c r="BC114" s="221"/>
      <c r="BD114" s="251"/>
      <c r="BE114" s="246">
        <f t="shared" si="52"/>
        <v>0</v>
      </c>
      <c r="BF114" s="247">
        <f t="shared" si="53"/>
        <v>0</v>
      </c>
      <c r="BG114" s="254"/>
      <c r="BH114" s="250"/>
      <c r="BI114" s="250"/>
      <c r="BJ114" s="221"/>
      <c r="BK114" s="251"/>
      <c r="BL114" s="246">
        <f t="shared" si="54"/>
        <v>0</v>
      </c>
      <c r="BM114" s="247">
        <f t="shared" si="55"/>
        <v>0</v>
      </c>
      <c r="BN114" s="254"/>
      <c r="BO114" s="250"/>
      <c r="BP114" s="250"/>
      <c r="BQ114" s="221"/>
      <c r="BR114" s="251"/>
      <c r="BS114" s="246">
        <f t="shared" si="56"/>
        <v>0</v>
      </c>
      <c r="BT114" s="247">
        <f t="shared" si="57"/>
        <v>0</v>
      </c>
      <c r="BU114" s="254"/>
      <c r="BV114" s="250"/>
      <c r="BW114" s="250"/>
      <c r="BX114" s="221"/>
      <c r="BY114" s="251"/>
      <c r="BZ114" s="246">
        <f t="shared" si="58"/>
        <v>0</v>
      </c>
      <c r="CA114" s="247">
        <f t="shared" si="59"/>
        <v>0</v>
      </c>
      <c r="CB114" s="254"/>
      <c r="CC114" s="250"/>
      <c r="CD114" s="250"/>
      <c r="CE114" s="221"/>
      <c r="CF114" s="251"/>
      <c r="CG114" s="246">
        <f t="shared" si="60"/>
        <v>0</v>
      </c>
      <c r="CH114" s="247">
        <f t="shared" si="61"/>
        <v>0</v>
      </c>
      <c r="CI114" s="254"/>
      <c r="CJ114" s="250"/>
      <c r="CK114" s="250"/>
      <c r="CL114" s="250"/>
      <c r="CM114" s="251"/>
      <c r="CN114" s="246">
        <f t="shared" si="74"/>
        <v>0</v>
      </c>
      <c r="CO114" s="247">
        <f t="shared" si="75"/>
        <v>0</v>
      </c>
      <c r="CP114" s="254"/>
      <c r="CQ114" s="250"/>
      <c r="CR114" s="250"/>
      <c r="CS114" s="221"/>
      <c r="CT114" s="251"/>
      <c r="CU114" s="246">
        <f t="shared" si="62"/>
        <v>0</v>
      </c>
      <c r="CV114" s="247">
        <f t="shared" si="63"/>
        <v>0</v>
      </c>
      <c r="CW114" s="254"/>
      <c r="CX114" s="250"/>
      <c r="CY114" s="250"/>
      <c r="CZ114" s="221"/>
      <c r="DA114" s="251"/>
      <c r="DB114" s="246">
        <f t="shared" si="64"/>
        <v>0</v>
      </c>
      <c r="DC114" s="247">
        <f t="shared" si="65"/>
        <v>0</v>
      </c>
      <c r="DD114" s="248"/>
      <c r="DE114" s="250"/>
      <c r="DF114" s="283"/>
      <c r="DG114" s="221"/>
      <c r="DH114" s="251" t="s">
        <v>968</v>
      </c>
      <c r="DI114" s="246">
        <f t="shared" si="66"/>
        <v>0</v>
      </c>
      <c r="DJ114" s="255">
        <f t="shared" si="67"/>
        <v>0</v>
      </c>
      <c r="DL114" s="220"/>
      <c r="DM114" s="221"/>
      <c r="DO114" s="256"/>
      <c r="DP114" s="257"/>
      <c r="DR114" s="258">
        <f t="shared" si="68"/>
        <v>0</v>
      </c>
      <c r="DS114" s="258">
        <f t="shared" si="69"/>
        <v>0</v>
      </c>
      <c r="DT114" s="258">
        <f t="shared" si="70"/>
        <v>0</v>
      </c>
      <c r="DU114" s="258">
        <f t="shared" si="71"/>
        <v>0</v>
      </c>
      <c r="DV114" s="259">
        <f t="shared" si="72"/>
        <v>0</v>
      </c>
      <c r="DW114" s="259">
        <f t="shared" si="73"/>
        <v>0</v>
      </c>
    </row>
    <row r="115" spans="1:127" s="209" customFormat="1" ht="15.75" x14ac:dyDescent="0.2">
      <c r="A115" s="239">
        <v>88</v>
      </c>
      <c r="B115" s="240" t="s">
        <v>263</v>
      </c>
      <c r="C115" s="276"/>
      <c r="D115" s="271"/>
      <c r="E115" s="272"/>
      <c r="F115" s="244"/>
      <c r="G115" s="245"/>
      <c r="H115" s="246">
        <f t="shared" si="38"/>
        <v>0</v>
      </c>
      <c r="I115" s="247">
        <f t="shared" si="39"/>
        <v>0</v>
      </c>
      <c r="J115" s="254"/>
      <c r="K115" s="250"/>
      <c r="L115" s="250"/>
      <c r="M115" s="221"/>
      <c r="N115" s="251"/>
      <c r="O115" s="246">
        <f t="shared" si="40"/>
        <v>0</v>
      </c>
      <c r="P115" s="247">
        <f t="shared" si="41"/>
        <v>0</v>
      </c>
      <c r="Q115" s="254"/>
      <c r="R115" s="250"/>
      <c r="S115" s="250"/>
      <c r="T115" s="221"/>
      <c r="U115" s="251"/>
      <c r="V115" s="246">
        <f t="shared" si="42"/>
        <v>0</v>
      </c>
      <c r="W115" s="247">
        <f t="shared" si="43"/>
        <v>0</v>
      </c>
      <c r="X115" s="254"/>
      <c r="Y115" s="250"/>
      <c r="Z115" s="250"/>
      <c r="AA115" s="221"/>
      <c r="AB115" s="251"/>
      <c r="AC115" s="246">
        <f t="shared" si="44"/>
        <v>0</v>
      </c>
      <c r="AD115" s="247">
        <f t="shared" si="45"/>
        <v>0</v>
      </c>
      <c r="AE115" s="254"/>
      <c r="AF115" s="273"/>
      <c r="AG115" s="250"/>
      <c r="AH115" s="221"/>
      <c r="AI115" s="251"/>
      <c r="AJ115" s="246">
        <f t="shared" si="46"/>
        <v>0</v>
      </c>
      <c r="AK115" s="247">
        <f t="shared" si="47"/>
        <v>0</v>
      </c>
      <c r="AL115" s="254"/>
      <c r="AM115" s="250"/>
      <c r="AN115" s="250"/>
      <c r="AO115" s="221"/>
      <c r="AP115" s="251"/>
      <c r="AQ115" s="246">
        <f t="shared" si="48"/>
        <v>0</v>
      </c>
      <c r="AR115" s="247">
        <f t="shared" si="49"/>
        <v>0</v>
      </c>
      <c r="AS115" s="254"/>
      <c r="AT115" s="250"/>
      <c r="AU115" s="250"/>
      <c r="AV115" s="221"/>
      <c r="AW115" s="251"/>
      <c r="AX115" s="246">
        <f t="shared" si="50"/>
        <v>0</v>
      </c>
      <c r="AY115" s="247">
        <f t="shared" si="51"/>
        <v>0</v>
      </c>
      <c r="AZ115" s="254"/>
      <c r="BA115" s="250"/>
      <c r="BB115" s="250"/>
      <c r="BC115" s="221"/>
      <c r="BD115" s="251"/>
      <c r="BE115" s="246">
        <f t="shared" si="52"/>
        <v>0</v>
      </c>
      <c r="BF115" s="247">
        <f t="shared" si="53"/>
        <v>0</v>
      </c>
      <c r="BG115" s="254"/>
      <c r="BH115" s="250"/>
      <c r="BI115" s="250"/>
      <c r="BJ115" s="221"/>
      <c r="BK115" s="251"/>
      <c r="BL115" s="246">
        <f t="shared" si="54"/>
        <v>0</v>
      </c>
      <c r="BM115" s="247">
        <f t="shared" si="55"/>
        <v>0</v>
      </c>
      <c r="BN115" s="254"/>
      <c r="BO115" s="250"/>
      <c r="BP115" s="250"/>
      <c r="BQ115" s="221"/>
      <c r="BR115" s="251"/>
      <c r="BS115" s="246">
        <f t="shared" si="56"/>
        <v>0</v>
      </c>
      <c r="BT115" s="247">
        <f t="shared" si="57"/>
        <v>0</v>
      </c>
      <c r="BU115" s="254"/>
      <c r="BV115" s="250"/>
      <c r="BW115" s="250"/>
      <c r="BX115" s="221"/>
      <c r="BY115" s="251"/>
      <c r="BZ115" s="246">
        <f t="shared" si="58"/>
        <v>0</v>
      </c>
      <c r="CA115" s="247">
        <f t="shared" si="59"/>
        <v>0</v>
      </c>
      <c r="CB115" s="254"/>
      <c r="CC115" s="250"/>
      <c r="CD115" s="250"/>
      <c r="CE115" s="221"/>
      <c r="CF115" s="251"/>
      <c r="CG115" s="246">
        <f t="shared" si="60"/>
        <v>0</v>
      </c>
      <c r="CH115" s="247">
        <f t="shared" si="61"/>
        <v>0</v>
      </c>
      <c r="CI115" s="254"/>
      <c r="CJ115" s="250"/>
      <c r="CK115" s="250"/>
      <c r="CL115" s="250"/>
      <c r="CM115" s="251"/>
      <c r="CN115" s="246">
        <f t="shared" si="74"/>
        <v>0</v>
      </c>
      <c r="CO115" s="247">
        <f t="shared" si="75"/>
        <v>0</v>
      </c>
      <c r="CP115" s="254"/>
      <c r="CQ115" s="250"/>
      <c r="CR115" s="250"/>
      <c r="CS115" s="221"/>
      <c r="CT115" s="251"/>
      <c r="CU115" s="246">
        <f t="shared" si="62"/>
        <v>0</v>
      </c>
      <c r="CV115" s="247">
        <f t="shared" si="63"/>
        <v>0</v>
      </c>
      <c r="CW115" s="254"/>
      <c r="CX115" s="250"/>
      <c r="CY115" s="250"/>
      <c r="CZ115" s="221"/>
      <c r="DA115" s="251"/>
      <c r="DB115" s="246">
        <f t="shared" si="64"/>
        <v>0</v>
      </c>
      <c r="DC115" s="247">
        <f t="shared" si="65"/>
        <v>0</v>
      </c>
      <c r="DD115" s="248"/>
      <c r="DE115" s="250"/>
      <c r="DF115" s="283"/>
      <c r="DG115" s="221"/>
      <c r="DH115" s="251" t="s">
        <v>968</v>
      </c>
      <c r="DI115" s="246">
        <f t="shared" si="66"/>
        <v>0</v>
      </c>
      <c r="DJ115" s="255">
        <f t="shared" si="67"/>
        <v>0</v>
      </c>
      <c r="DL115" s="220"/>
      <c r="DM115" s="221"/>
      <c r="DO115" s="256"/>
      <c r="DP115" s="257"/>
      <c r="DR115" s="258">
        <f t="shared" si="68"/>
        <v>0</v>
      </c>
      <c r="DS115" s="258">
        <f t="shared" si="69"/>
        <v>0</v>
      </c>
      <c r="DT115" s="258">
        <f t="shared" si="70"/>
        <v>0</v>
      </c>
      <c r="DU115" s="258">
        <f t="shared" si="71"/>
        <v>0</v>
      </c>
      <c r="DV115" s="259">
        <f t="shared" si="72"/>
        <v>0</v>
      </c>
      <c r="DW115" s="259">
        <f t="shared" si="73"/>
        <v>0</v>
      </c>
    </row>
    <row r="116" spans="1:127" s="209" customFormat="1" ht="15.75" x14ac:dyDescent="0.2">
      <c r="A116" s="239">
        <v>89</v>
      </c>
      <c r="B116" s="240" t="s">
        <v>264</v>
      </c>
      <c r="C116" s="276"/>
      <c r="D116" s="271"/>
      <c r="E116" s="272"/>
      <c r="F116" s="244"/>
      <c r="G116" s="245"/>
      <c r="H116" s="278">
        <f t="shared" si="38"/>
        <v>0</v>
      </c>
      <c r="I116" s="255">
        <f t="shared" si="39"/>
        <v>0</v>
      </c>
      <c r="J116" s="254"/>
      <c r="K116" s="250"/>
      <c r="L116" s="250"/>
      <c r="M116" s="221"/>
      <c r="N116" s="251"/>
      <c r="O116" s="246">
        <f t="shared" si="40"/>
        <v>0</v>
      </c>
      <c r="P116" s="255">
        <f t="shared" si="41"/>
        <v>0</v>
      </c>
      <c r="Q116" s="254"/>
      <c r="R116" s="250"/>
      <c r="S116" s="250"/>
      <c r="T116" s="221"/>
      <c r="U116" s="251"/>
      <c r="V116" s="246">
        <f t="shared" si="42"/>
        <v>0</v>
      </c>
      <c r="W116" s="255">
        <f t="shared" si="43"/>
        <v>0</v>
      </c>
      <c r="X116" s="254"/>
      <c r="Y116" s="250"/>
      <c r="Z116" s="250"/>
      <c r="AA116" s="221"/>
      <c r="AB116" s="251"/>
      <c r="AC116" s="278">
        <f t="shared" si="44"/>
        <v>0</v>
      </c>
      <c r="AD116" s="255">
        <f t="shared" si="45"/>
        <v>0</v>
      </c>
      <c r="AE116" s="254"/>
      <c r="AF116" s="273"/>
      <c r="AG116" s="250"/>
      <c r="AH116" s="221"/>
      <c r="AI116" s="251"/>
      <c r="AJ116" s="278">
        <f t="shared" si="46"/>
        <v>0</v>
      </c>
      <c r="AK116" s="255">
        <f t="shared" si="47"/>
        <v>0</v>
      </c>
      <c r="AL116" s="254"/>
      <c r="AM116" s="250"/>
      <c r="AN116" s="250"/>
      <c r="AO116" s="221"/>
      <c r="AP116" s="251"/>
      <c r="AQ116" s="278">
        <f t="shared" si="48"/>
        <v>0</v>
      </c>
      <c r="AR116" s="255">
        <f t="shared" si="49"/>
        <v>0</v>
      </c>
      <c r="AS116" s="254"/>
      <c r="AT116" s="250"/>
      <c r="AU116" s="250"/>
      <c r="AV116" s="221"/>
      <c r="AW116" s="251"/>
      <c r="AX116" s="278">
        <f t="shared" si="50"/>
        <v>0</v>
      </c>
      <c r="AY116" s="255">
        <f t="shared" si="51"/>
        <v>0</v>
      </c>
      <c r="AZ116" s="254"/>
      <c r="BA116" s="250"/>
      <c r="BB116" s="250"/>
      <c r="BC116" s="221"/>
      <c r="BD116" s="251"/>
      <c r="BE116" s="278">
        <f t="shared" si="52"/>
        <v>0</v>
      </c>
      <c r="BF116" s="255">
        <f t="shared" si="53"/>
        <v>0</v>
      </c>
      <c r="BG116" s="254"/>
      <c r="BH116" s="250"/>
      <c r="BI116" s="250"/>
      <c r="BJ116" s="221"/>
      <c r="BK116" s="251"/>
      <c r="BL116" s="278">
        <f t="shared" si="54"/>
        <v>0</v>
      </c>
      <c r="BM116" s="255">
        <f t="shared" si="55"/>
        <v>0</v>
      </c>
      <c r="BN116" s="254"/>
      <c r="BO116" s="250"/>
      <c r="BP116" s="250"/>
      <c r="BQ116" s="221"/>
      <c r="BR116" s="251"/>
      <c r="BS116" s="278">
        <f t="shared" si="56"/>
        <v>0</v>
      </c>
      <c r="BT116" s="255">
        <f t="shared" si="57"/>
        <v>0</v>
      </c>
      <c r="BU116" s="254"/>
      <c r="BV116" s="250"/>
      <c r="BW116" s="250"/>
      <c r="BX116" s="221"/>
      <c r="BY116" s="251"/>
      <c r="BZ116" s="278">
        <f t="shared" si="58"/>
        <v>0</v>
      </c>
      <c r="CA116" s="255">
        <f t="shared" si="59"/>
        <v>0</v>
      </c>
      <c r="CB116" s="254"/>
      <c r="CC116" s="250"/>
      <c r="CD116" s="250"/>
      <c r="CE116" s="221"/>
      <c r="CF116" s="251"/>
      <c r="CG116" s="278">
        <f t="shared" si="60"/>
        <v>0</v>
      </c>
      <c r="CH116" s="255">
        <f t="shared" si="61"/>
        <v>0</v>
      </c>
      <c r="CI116" s="254"/>
      <c r="CJ116" s="250"/>
      <c r="CK116" s="250"/>
      <c r="CL116" s="250"/>
      <c r="CM116" s="251"/>
      <c r="CN116" s="278">
        <f t="shared" si="74"/>
        <v>0</v>
      </c>
      <c r="CO116" s="255">
        <f t="shared" si="75"/>
        <v>0</v>
      </c>
      <c r="CP116" s="254"/>
      <c r="CQ116" s="250"/>
      <c r="CR116" s="250"/>
      <c r="CS116" s="221"/>
      <c r="CT116" s="251"/>
      <c r="CU116" s="278">
        <f t="shared" si="62"/>
        <v>0</v>
      </c>
      <c r="CV116" s="255">
        <f t="shared" si="63"/>
        <v>0</v>
      </c>
      <c r="CW116" s="254"/>
      <c r="CX116" s="250"/>
      <c r="CY116" s="250"/>
      <c r="CZ116" s="221"/>
      <c r="DA116" s="251"/>
      <c r="DB116" s="278">
        <f t="shared" si="64"/>
        <v>0</v>
      </c>
      <c r="DC116" s="255">
        <f t="shared" si="65"/>
        <v>0</v>
      </c>
      <c r="DD116" s="248"/>
      <c r="DE116" s="250"/>
      <c r="DF116" s="283"/>
      <c r="DG116" s="221"/>
      <c r="DH116" s="251" t="s">
        <v>968</v>
      </c>
      <c r="DI116" s="246">
        <f t="shared" si="66"/>
        <v>0</v>
      </c>
      <c r="DJ116" s="255">
        <f t="shared" si="67"/>
        <v>0</v>
      </c>
      <c r="DL116" s="220"/>
      <c r="DM116" s="221"/>
      <c r="DO116" s="256"/>
      <c r="DP116" s="257"/>
      <c r="DR116" s="258">
        <f t="shared" si="68"/>
        <v>0</v>
      </c>
      <c r="DS116" s="258">
        <f t="shared" si="69"/>
        <v>0</v>
      </c>
      <c r="DT116" s="258">
        <f t="shared" si="70"/>
        <v>0</v>
      </c>
      <c r="DU116" s="258">
        <f t="shared" si="71"/>
        <v>0</v>
      </c>
      <c r="DV116" s="259">
        <f t="shared" si="72"/>
        <v>0</v>
      </c>
      <c r="DW116" s="259">
        <f t="shared" si="73"/>
        <v>0</v>
      </c>
    </row>
    <row r="117" spans="1:127" s="209" customFormat="1" ht="16.5" thickBot="1" x14ac:dyDescent="0.25">
      <c r="A117" s="239">
        <v>90</v>
      </c>
      <c r="B117" s="240" t="s">
        <v>265</v>
      </c>
      <c r="C117" s="287"/>
      <c r="D117" s="288"/>
      <c r="E117" s="288"/>
      <c r="F117" s="289"/>
      <c r="G117" s="290"/>
      <c r="H117" s="291">
        <f t="shared" si="38"/>
        <v>0</v>
      </c>
      <c r="I117" s="292">
        <f t="shared" si="39"/>
        <v>0</v>
      </c>
      <c r="J117" s="293"/>
      <c r="K117" s="294"/>
      <c r="L117" s="294"/>
      <c r="M117" s="295"/>
      <c r="N117" s="296"/>
      <c r="O117" s="297">
        <f t="shared" si="40"/>
        <v>0</v>
      </c>
      <c r="P117" s="292">
        <f t="shared" si="41"/>
        <v>0</v>
      </c>
      <c r="Q117" s="293"/>
      <c r="R117" s="294"/>
      <c r="S117" s="294"/>
      <c r="T117" s="295"/>
      <c r="U117" s="296"/>
      <c r="V117" s="297">
        <f t="shared" si="42"/>
        <v>0</v>
      </c>
      <c r="W117" s="292">
        <f t="shared" si="43"/>
        <v>0</v>
      </c>
      <c r="X117" s="293"/>
      <c r="Y117" s="294"/>
      <c r="Z117" s="294"/>
      <c r="AA117" s="295"/>
      <c r="AB117" s="296"/>
      <c r="AC117" s="291">
        <f t="shared" si="44"/>
        <v>0</v>
      </c>
      <c r="AD117" s="292">
        <f t="shared" si="45"/>
        <v>0</v>
      </c>
      <c r="AE117" s="293"/>
      <c r="AF117" s="298"/>
      <c r="AG117" s="294"/>
      <c r="AH117" s="295"/>
      <c r="AI117" s="296"/>
      <c r="AJ117" s="291">
        <f t="shared" si="46"/>
        <v>0</v>
      </c>
      <c r="AK117" s="292">
        <f t="shared" si="47"/>
        <v>0</v>
      </c>
      <c r="AL117" s="293"/>
      <c r="AM117" s="294"/>
      <c r="AN117" s="294"/>
      <c r="AO117" s="295"/>
      <c r="AP117" s="296"/>
      <c r="AQ117" s="291">
        <f t="shared" si="48"/>
        <v>0</v>
      </c>
      <c r="AR117" s="292">
        <f t="shared" si="49"/>
        <v>0</v>
      </c>
      <c r="AS117" s="293"/>
      <c r="AT117" s="294"/>
      <c r="AU117" s="294"/>
      <c r="AV117" s="295"/>
      <c r="AW117" s="296"/>
      <c r="AX117" s="291">
        <f t="shared" si="50"/>
        <v>0</v>
      </c>
      <c r="AY117" s="292">
        <f t="shared" si="51"/>
        <v>0</v>
      </c>
      <c r="AZ117" s="293"/>
      <c r="BA117" s="294"/>
      <c r="BB117" s="294"/>
      <c r="BC117" s="295"/>
      <c r="BD117" s="296"/>
      <c r="BE117" s="291">
        <f t="shared" si="52"/>
        <v>0</v>
      </c>
      <c r="BF117" s="292">
        <f t="shared" si="53"/>
        <v>0</v>
      </c>
      <c r="BG117" s="293"/>
      <c r="BH117" s="294"/>
      <c r="BI117" s="294"/>
      <c r="BJ117" s="295"/>
      <c r="BK117" s="296"/>
      <c r="BL117" s="291">
        <f t="shared" si="54"/>
        <v>0</v>
      </c>
      <c r="BM117" s="292">
        <f t="shared" si="55"/>
        <v>0</v>
      </c>
      <c r="BN117" s="293"/>
      <c r="BO117" s="294"/>
      <c r="BP117" s="294"/>
      <c r="BQ117" s="295"/>
      <c r="BR117" s="296"/>
      <c r="BS117" s="291">
        <f t="shared" si="56"/>
        <v>0</v>
      </c>
      <c r="BT117" s="292">
        <f t="shared" si="57"/>
        <v>0</v>
      </c>
      <c r="BU117" s="293"/>
      <c r="BV117" s="294"/>
      <c r="BW117" s="294"/>
      <c r="BX117" s="295"/>
      <c r="BY117" s="296"/>
      <c r="BZ117" s="291">
        <f t="shared" si="58"/>
        <v>0</v>
      </c>
      <c r="CA117" s="292">
        <f t="shared" si="59"/>
        <v>0</v>
      </c>
      <c r="CB117" s="293"/>
      <c r="CC117" s="294"/>
      <c r="CD117" s="294"/>
      <c r="CE117" s="295"/>
      <c r="CF117" s="296"/>
      <c r="CG117" s="291">
        <f t="shared" si="60"/>
        <v>0</v>
      </c>
      <c r="CH117" s="292">
        <f t="shared" si="61"/>
        <v>0</v>
      </c>
      <c r="CI117" s="293"/>
      <c r="CJ117" s="294"/>
      <c r="CK117" s="294"/>
      <c r="CL117" s="294"/>
      <c r="CM117" s="296"/>
      <c r="CN117" s="291">
        <f t="shared" si="74"/>
        <v>0</v>
      </c>
      <c r="CO117" s="292">
        <f t="shared" si="75"/>
        <v>0</v>
      </c>
      <c r="CP117" s="293"/>
      <c r="CQ117" s="294"/>
      <c r="CR117" s="294"/>
      <c r="CS117" s="295"/>
      <c r="CT117" s="296"/>
      <c r="CU117" s="291">
        <f t="shared" si="62"/>
        <v>0</v>
      </c>
      <c r="CV117" s="292">
        <f t="shared" si="63"/>
        <v>0</v>
      </c>
      <c r="CW117" s="293"/>
      <c r="CX117" s="294"/>
      <c r="CY117" s="294"/>
      <c r="CZ117" s="295"/>
      <c r="DA117" s="296"/>
      <c r="DB117" s="291">
        <f t="shared" si="64"/>
        <v>0</v>
      </c>
      <c r="DC117" s="292">
        <f t="shared" si="65"/>
        <v>0</v>
      </c>
      <c r="DD117" s="299"/>
      <c r="DE117" s="294"/>
      <c r="DF117" s="294"/>
      <c r="DG117" s="300"/>
      <c r="DH117" s="296" t="s">
        <v>968</v>
      </c>
      <c r="DI117" s="297">
        <f t="shared" si="66"/>
        <v>0</v>
      </c>
      <c r="DJ117" s="292">
        <f t="shared" si="67"/>
        <v>0</v>
      </c>
      <c r="DL117" s="301"/>
      <c r="DM117" s="295"/>
      <c r="DO117" s="302"/>
      <c r="DP117" s="303"/>
      <c r="DR117" s="258">
        <f t="shared" si="68"/>
        <v>0</v>
      </c>
      <c r="DS117" s="258">
        <f t="shared" si="69"/>
        <v>0</v>
      </c>
      <c r="DT117" s="258">
        <f t="shared" si="70"/>
        <v>0</v>
      </c>
      <c r="DU117" s="258">
        <f t="shared" si="71"/>
        <v>0</v>
      </c>
      <c r="DV117" s="259">
        <f t="shared" si="72"/>
        <v>0</v>
      </c>
      <c r="DW117" s="259">
        <f t="shared" si="73"/>
        <v>0</v>
      </c>
    </row>
    <row r="118" spans="1:127" s="194" customFormat="1" ht="15.75" x14ac:dyDescent="0.2">
      <c r="A118" s="304" t="s">
        <v>1043</v>
      </c>
      <c r="B118" s="304" t="str">
        <f>100-(I118+W118+AD118+AK118+AR118+AY118+BF118+BM118+BT118+CA118+CH118+CO118+CV118+DC118+DJ118+DO118)&amp;" %"</f>
        <v>100 %</v>
      </c>
      <c r="H118" s="305" t="s">
        <v>1043</v>
      </c>
      <c r="I118" s="305">
        <f>IF(SUM(INDEX((D$28:F$117="m")*(I$28:I$117),0))&gt;=C26,C26,SUM(INDEX((D$28:F$117="m")*(I$28:I$117),0)))</f>
        <v>0</v>
      </c>
      <c r="L118" s="306"/>
      <c r="M118" s="307"/>
      <c r="O118" s="305" t="s">
        <v>1043</v>
      </c>
      <c r="P118" s="305">
        <f>IF(SUM(INDEX((K$28:M$117="m")*(P$28:P$117),0))&gt;=J26,J26,SUM(INDEX((K$28:M$117="m")*(P$28:P$117),0)))</f>
        <v>0</v>
      </c>
      <c r="S118" s="306"/>
      <c r="T118" s="307"/>
      <c r="V118" s="305" t="s">
        <v>1043</v>
      </c>
      <c r="W118" s="305">
        <f>IF(SUM(INDEX((R$28:T$117="m")*(W$28:W$117),0))&gt;=Q26,Q26,SUM(INDEX((R$28:T$117="m")*(W$28:W$117),0)))</f>
        <v>0</v>
      </c>
      <c r="AC118" s="305" t="s">
        <v>1043</v>
      </c>
      <c r="AD118" s="305">
        <f>IF(SUM(INDEX((Y$28:AA$117="m")*(AD$28:AD$117),0))&gt;=X26,X26,SUM(INDEX((Y$28:AA$117="m")*(AD$28:AD$117),0)))</f>
        <v>0</v>
      </c>
      <c r="AJ118" s="305" t="s">
        <v>1043</v>
      </c>
      <c r="AK118" s="305">
        <f>IF(SUM(INDEX((AF$28:AH$117="m")*(AK$28:AK$117),0))&gt;=AE26,AE26,SUM(INDEX((AF$28:AH$117="m")*(AK$28:AK$117),0)))</f>
        <v>0</v>
      </c>
      <c r="AQ118" s="305" t="s">
        <v>1043</v>
      </c>
      <c r="AR118" s="305">
        <f>IF(SUM(INDEX((AM$28:AO$117="m")*(AR$28:AR$117),0))&gt;=AL26,AL26,SUM(INDEX((AM$28:AO$117="m")*(AR$28:AR$117),0)))</f>
        <v>0</v>
      </c>
      <c r="AX118" s="305" t="s">
        <v>1043</v>
      </c>
      <c r="AY118" s="305">
        <f>IF(SUM(INDEX((AT$28:AV$117="m")*(AY$28:AY$117),0))&gt;=AS26,AS26,SUM(INDEX((AT$28:AV$117="m")*(AY$28:AY$117),0)))</f>
        <v>0</v>
      </c>
      <c r="BE118" s="305" t="s">
        <v>1043</v>
      </c>
      <c r="BF118" s="305">
        <f>IF(SUM(INDEX((BA$28:BC$117="m")*(BF$28:BF$117),0))&gt;=AS26,AS26,SUM(INDEX((BA$28:BC$117="m")*(BF$28:BF$117),0)))</f>
        <v>0</v>
      </c>
      <c r="BL118" s="305" t="s">
        <v>1043</v>
      </c>
      <c r="BM118" s="305">
        <f>IF(SUM(INDEX((BH$28:BJ$117="m")*(BM$28:BM$117),0))&gt;=AS26,AS26,SUM(INDEX((BH$28:BJ$117="m")*(BM$28:BM$117),0)))</f>
        <v>0</v>
      </c>
      <c r="BS118" s="305" t="s">
        <v>1043</v>
      </c>
      <c r="BT118" s="305">
        <f>IF(SUM(INDEX((BO$28:BQ$117="m")*(BT$28:BT$117),0))&gt;=BN26,BN26,SUM(INDEX((BO$28:BQ$117="m")*(BT$28:BT$117),0)))</f>
        <v>0</v>
      </c>
      <c r="BZ118" s="305" t="s">
        <v>1043</v>
      </c>
      <c r="CA118" s="305">
        <f>IF(SUM(INDEX((BV$28:BX$117="m")*(CA$28:CA$117),0))&gt;=BU26,BU26,SUM(INDEX((BV$28:BX$117="m")*(CA$28:CA$117),0)))</f>
        <v>0</v>
      </c>
      <c r="CG118" s="305" t="s">
        <v>1043</v>
      </c>
      <c r="CH118" s="305">
        <f>IF(SUM(INDEX((CC$28:CE$117="m")*(CH$28:CH$117),0))&gt;=CB26,CB26,SUM(INDEX((CC$28:CE$117="m")*(CH$28:CH$117),0)))</f>
        <v>0</v>
      </c>
      <c r="CN118" s="305" t="s">
        <v>1043</v>
      </c>
      <c r="CO118" s="305">
        <f>IF(SUM(INDEX((CJ$28:CL$117="m")*(CO$28:CO$117),0))&gt;=CI26,CI26,SUM(INDEX((CJ$28:CL$117="m")*(CO$28:CO$117),0)))</f>
        <v>0</v>
      </c>
      <c r="CU118" s="305" t="s">
        <v>1043</v>
      </c>
      <c r="CV118" s="305">
        <f>IF(SUM(INDEX((CQ$28:CS$117="m")*(CV$28:CV$117),0))&gt;=CP26,CP26,SUM(INDEX((CQ$28:CS$117="m")*(CV$28:CV$117),0)))</f>
        <v>0</v>
      </c>
      <c r="DB118" s="305" t="s">
        <v>1043</v>
      </c>
      <c r="DC118" s="305">
        <f>IF(SUM(INDEX((CX$28:CZ$117="m")*(DC$28:DC$117),0))&gt;=CW26,CW26,SUM(INDEX((CX$28:CZ$117="m")*(DC$28:DC$117),0)))</f>
        <v>0</v>
      </c>
      <c r="DI118" s="305" t="s">
        <v>1043</v>
      </c>
      <c r="DJ118" s="305">
        <f>IF(SUM(INDEX((DE$28:DG$117="m")*(DJ$28:DJ$117),0))&gt;=DD26,DD26,SUM(INDEX((DE$28:DG$117="m")*(DJ$28:DJ$117),0)))</f>
        <v>0</v>
      </c>
      <c r="DK118" s="209"/>
    </row>
    <row r="119" spans="1:127" s="194" customFormat="1" ht="15.75" x14ac:dyDescent="0.2">
      <c r="A119" s="304" t="s">
        <v>1044</v>
      </c>
      <c r="B119" s="304" t="str">
        <f>100-(I119+W119+AD119+AK119+AR119+AY119+BF119+BM119+BT119+CA119+CH119+CO119+CV119+DC119+DJ119+DO119)&amp;" %"</f>
        <v>100 %</v>
      </c>
      <c r="H119" s="305" t="s">
        <v>1044</v>
      </c>
      <c r="I119" s="305">
        <f>IF(SUM(INDEX((D$28:F$117="d")*(I$28:I$117),0))&gt;=C26,C26,SUM(INDEX((D$28:F$117="d")*(I$28:I$117),0)))</f>
        <v>0</v>
      </c>
      <c r="L119" s="306"/>
      <c r="M119" s="307"/>
      <c r="O119" s="305" t="s">
        <v>1044</v>
      </c>
      <c r="P119" s="305">
        <f>IF(SUM(INDEX((K$28:M$117="d")*(P$28:P$117),0))&gt;=J26,J26,SUM(INDEX((K$28:M$117="d")*(P$28:P$117),0)))</f>
        <v>0</v>
      </c>
      <c r="S119" s="306"/>
      <c r="T119" s="307"/>
      <c r="V119" s="305" t="s">
        <v>1044</v>
      </c>
      <c r="W119" s="305">
        <f>IF(SUM(INDEX((R$28:T$117="d")*(W$28:W$117),0))&gt;=Q26,Q26,SUM(INDEX((R$28:T$117="d")*(W$28:W$117),0)))</f>
        <v>0</v>
      </c>
      <c r="AC119" s="305" t="s">
        <v>1044</v>
      </c>
      <c r="AD119" s="305">
        <f>IF(SUM(INDEX((Y$28:AA$117="d")*(AD$28:AD$117),0))&gt;=X26,X26,SUM(INDEX((Y$28:AA$117="d")*(AD$28:AD$117),0)))</f>
        <v>0</v>
      </c>
      <c r="AJ119" s="305" t="s">
        <v>1044</v>
      </c>
      <c r="AK119" s="305">
        <f>IF(SUM(INDEX((AF$28:AH$117="d")*(AK$28:AK$117),0))&gt;=AE26,AE26,SUM(INDEX((AF$28:AH$117="d")*(AK$28:AK$117),0)))</f>
        <v>0</v>
      </c>
      <c r="AQ119" s="305" t="s">
        <v>1044</v>
      </c>
      <c r="AR119" s="305">
        <f>IF(SUM(INDEX((AM$28:AO$117="d")*(AR$28:AR$117),0))&gt;=AL26,AL26,SUM(INDEX((AM$28:AO$117="d")*(AR$28:AR$117),0)))</f>
        <v>0</v>
      </c>
      <c r="AX119" s="305" t="s">
        <v>1044</v>
      </c>
      <c r="AY119" s="305">
        <f>IF(SUM(INDEX((AT$28:AV$117="d")*(AY$28:AY$117),0))&gt;=AS26,AS26,SUM(INDEX((AT$28:AV$117="d")*(AY$28:AY$117),0)))</f>
        <v>0</v>
      </c>
      <c r="BE119" s="305" t="s">
        <v>1044</v>
      </c>
      <c r="BF119" s="305">
        <f>IF(SUM(INDEX((BA$28:BC$117="d")*(BF$28:BF$117),0))&gt;=AS26,AS26,SUM(INDEX((BA$28:BC$117="d")*(BF$28:BF$117),0)))</f>
        <v>0</v>
      </c>
      <c r="BL119" s="305" t="s">
        <v>1044</v>
      </c>
      <c r="BM119" s="305">
        <f>IF(SUM(INDEX((BH$28:BJ$117="d")*(BM$28:BM$117),0))&gt;=AS26,AS26,SUM(INDEX((BH$28:BJ$117="d")*(BM$28:BM$117),0)))</f>
        <v>0</v>
      </c>
      <c r="BS119" s="305" t="s">
        <v>1044</v>
      </c>
      <c r="BT119" s="305">
        <f>IF(SUM(INDEX((BO$28:BQ$117="d")*(BT$28:BT$117),0))&gt;=BN26,BN26,SUM(INDEX((BO$28:BQ$117="d")*(BT$28:BT$117),0)))</f>
        <v>0</v>
      </c>
      <c r="BZ119" s="305" t="s">
        <v>1044</v>
      </c>
      <c r="CA119" s="305">
        <f>IF(SUM(INDEX((BV$28:BX$117="d")*(CA$28:CA$117),0))&gt;=BU26,BU26,SUM(INDEX((BV$28:BX$117="d")*(CA$28:CA$117),0)))</f>
        <v>0</v>
      </c>
      <c r="CG119" s="305" t="s">
        <v>1044</v>
      </c>
      <c r="CH119" s="305">
        <f>IF(SUM(INDEX((CC$28:CE$117="d")*(CH$28:CH$117),0))&gt;=CB26,CB26,SUM(INDEX((CC$28:CE$117="d")*(CH$28:CH$117),0)))</f>
        <v>0</v>
      </c>
      <c r="CN119" s="305" t="s">
        <v>1044</v>
      </c>
      <c r="CO119" s="305">
        <f>IF(SUM(INDEX((CJ$28:CL$117="d")*(CO$28:CO$117),0))&gt;=CI26,CI26,SUM(INDEX((CJ$28:CL$117="d")*(CO$28:CO$117),0)))</f>
        <v>0</v>
      </c>
      <c r="CU119" s="305" t="s">
        <v>1044</v>
      </c>
      <c r="CV119" s="305">
        <f>IF(SUM(INDEX((CQ$28:CS$117="d")*(CV$28:CV$117),0))&gt;=CP26,CP26,SUM(INDEX((CQ$28:CS$117="d")*(CV$28:CV$117),0)))</f>
        <v>0</v>
      </c>
      <c r="DB119" s="305" t="s">
        <v>1044</v>
      </c>
      <c r="DC119" s="305">
        <f>IF(SUM(INDEX((CX$28:CZ$117="d")*(DC$28:DC$117),0))&gt;=CW26,CW26,SUM(INDEX((CX$28:CZ$117="d")*(DC$28:DC$117),0)))</f>
        <v>0</v>
      </c>
      <c r="DI119" s="305" t="s">
        <v>1044</v>
      </c>
      <c r="DJ119" s="305">
        <f>IF(SUM(INDEX((DE$28:DG$117="d")*(DJ$28:DJ$117),0))&gt;=DD26,DD26,SUM(INDEX((DE$28:DG$117="d")*(DJ$28:DJ$117),0)))</f>
        <v>0</v>
      </c>
      <c r="DK119" s="209"/>
    </row>
    <row r="120" spans="1:127" s="194" customFormat="1" ht="15.75" x14ac:dyDescent="0.2">
      <c r="A120" s="304" t="s">
        <v>1045</v>
      </c>
      <c r="B120" s="304" t="str">
        <f>100-(I120+W120+AD120+AK120+AR120+AY120+BF120+BM120+BT120+CA120+CH120+CO120+CV120+DC120+DJ120+DO120)&amp;" %"</f>
        <v>100 %</v>
      </c>
      <c r="H120" s="305" t="s">
        <v>1045</v>
      </c>
      <c r="I120" s="305">
        <f>IF(I118+I119&gt;=D27,D27,I118+I119)</f>
        <v>0</v>
      </c>
      <c r="L120" s="306"/>
      <c r="M120" s="307"/>
      <c r="O120" s="305" t="s">
        <v>1045</v>
      </c>
      <c r="P120" s="305">
        <f>IF(P118+P119&gt;=K27,K27,P118+P119)</f>
        <v>0</v>
      </c>
      <c r="S120" s="306"/>
      <c r="T120" s="307"/>
      <c r="V120" s="305" t="s">
        <v>1045</v>
      </c>
      <c r="W120" s="305">
        <f>IF(W118+W119&gt;=R27,R27,W118+W119)</f>
        <v>0</v>
      </c>
      <c r="AC120" s="305" t="s">
        <v>1045</v>
      </c>
      <c r="AD120" s="305">
        <f>IF(AD118+AD119&gt;=Y27,Y27,AD118+AD119)</f>
        <v>0</v>
      </c>
      <c r="AJ120" s="305" t="s">
        <v>1045</v>
      </c>
      <c r="AK120" s="305">
        <f>IF(AK118+AK119&gt;=AF27,AF27,AK118+AK119)</f>
        <v>0</v>
      </c>
      <c r="AQ120" s="305" t="s">
        <v>1045</v>
      </c>
      <c r="AR120" s="305">
        <f>IF(AR118+AR119&gt;=AM27,AM27,AR118+AR119)</f>
        <v>0</v>
      </c>
      <c r="AX120" s="305" t="s">
        <v>1045</v>
      </c>
      <c r="AY120" s="305">
        <f>IF(AY118+AY119&gt;=AT27,AT27,AY118+AY119)</f>
        <v>0</v>
      </c>
      <c r="BE120" s="305" t="s">
        <v>1045</v>
      </c>
      <c r="BF120" s="305">
        <f>IF(BF118+BF119&gt;=BA27,BA27,BF118+BF119)</f>
        <v>0</v>
      </c>
      <c r="BL120" s="305" t="s">
        <v>1045</v>
      </c>
      <c r="BM120" s="305">
        <f>IF(BM118+BM119&gt;=BH27,BH27,BM118+BM119)</f>
        <v>0</v>
      </c>
      <c r="BS120" s="305" t="s">
        <v>1045</v>
      </c>
      <c r="BT120" s="305">
        <f>IF(BT118+BT119&gt;=BO27,BO27,BT118+BT119)</f>
        <v>0</v>
      </c>
      <c r="BZ120" s="305" t="s">
        <v>1045</v>
      </c>
      <c r="CA120" s="305">
        <f>IF(CA118+CA119&gt;=BV27,BV27,CA118+CA119)</f>
        <v>0</v>
      </c>
      <c r="CG120" s="305" t="s">
        <v>1045</v>
      </c>
      <c r="CH120" s="305">
        <f>IF(CH118+CH119&gt;=CC27,CC27,CH118+CH119)</f>
        <v>0</v>
      </c>
      <c r="CN120" s="305" t="s">
        <v>1045</v>
      </c>
      <c r="CO120" s="305">
        <f>IF(CO118+CO119&gt;=CJ27,CJ27,CO118+CO119)</f>
        <v>0</v>
      </c>
      <c r="CU120" s="305" t="s">
        <v>1045</v>
      </c>
      <c r="CV120" s="305">
        <f>IF(CV118+CV119&gt;=CQ27,CQ27,CV118+CV119)</f>
        <v>0</v>
      </c>
      <c r="DB120" s="305" t="s">
        <v>1045</v>
      </c>
      <c r="DC120" s="305">
        <f>IF(DC118+DC119&gt;=CX27,CX27,DC118+DC119)</f>
        <v>0</v>
      </c>
      <c r="DI120" s="305" t="s">
        <v>1045</v>
      </c>
      <c r="DJ120" s="305">
        <f>IF(DJ118+DJ119&gt;=DE27,DE27,DJ118+DJ119)</f>
        <v>0</v>
      </c>
      <c r="DK120" s="209"/>
    </row>
    <row r="121" spans="1:127" s="194" customFormat="1" ht="15.75" x14ac:dyDescent="0.2">
      <c r="A121" s="308"/>
      <c r="H121" s="305"/>
      <c r="I121" s="305"/>
      <c r="L121" s="306"/>
      <c r="M121" s="307"/>
      <c r="O121" s="305"/>
      <c r="P121" s="305"/>
      <c r="S121" s="306"/>
      <c r="T121" s="307"/>
      <c r="V121" s="305"/>
      <c r="W121" s="305"/>
      <c r="AC121" s="305"/>
      <c r="AD121" s="305"/>
      <c r="AJ121" s="305"/>
      <c r="AK121" s="305"/>
      <c r="AQ121" s="305"/>
      <c r="AR121" s="305"/>
      <c r="AX121" s="305"/>
      <c r="AY121" s="305"/>
      <c r="BE121" s="305"/>
      <c r="BF121" s="305"/>
      <c r="BL121" s="305"/>
      <c r="BM121" s="305"/>
      <c r="BS121" s="305"/>
      <c r="BT121" s="305"/>
      <c r="BZ121" s="305"/>
      <c r="CA121" s="305"/>
      <c r="CG121" s="305"/>
      <c r="CH121" s="305"/>
      <c r="CN121" s="305"/>
      <c r="CO121" s="305"/>
      <c r="CU121" s="305"/>
      <c r="CV121" s="305"/>
      <c r="DB121" s="305"/>
      <c r="DC121" s="305"/>
      <c r="DI121" s="305"/>
      <c r="DJ121" s="305"/>
      <c r="DK121" s="209"/>
    </row>
    <row r="122" spans="1:127" s="194" customFormat="1" ht="15.75" x14ac:dyDescent="0.2">
      <c r="A122" s="308" t="s">
        <v>1046</v>
      </c>
      <c r="DK122" s="209"/>
    </row>
    <row r="123" spans="1:127" s="194" customFormat="1" ht="12.75" customHeight="1" x14ac:dyDescent="0.2">
      <c r="A123" s="239">
        <v>1</v>
      </c>
      <c r="B123" s="309"/>
      <c r="DK123" s="209"/>
    </row>
    <row r="124" spans="1:127" s="194" customFormat="1" ht="12.75" customHeight="1" x14ac:dyDescent="0.2">
      <c r="A124" s="239">
        <v>2</v>
      </c>
      <c r="B124" s="309"/>
      <c r="DK124" s="209"/>
    </row>
    <row r="125" spans="1:127" s="194" customFormat="1" ht="12.75" customHeight="1" x14ac:dyDescent="0.2">
      <c r="A125" s="239">
        <v>3</v>
      </c>
      <c r="B125" s="309"/>
      <c r="DK125" s="209"/>
    </row>
    <row r="126" spans="1:127" s="194" customFormat="1" ht="12.75" customHeight="1" x14ac:dyDescent="0.2">
      <c r="A126" s="239">
        <v>4</v>
      </c>
      <c r="B126" s="309"/>
      <c r="DK126" s="209"/>
    </row>
    <row r="127" spans="1:127" s="194" customFormat="1" ht="12.75" customHeight="1" x14ac:dyDescent="0.2">
      <c r="A127" s="239">
        <v>5</v>
      </c>
      <c r="B127" s="309"/>
      <c r="DK127" s="209"/>
    </row>
    <row r="128" spans="1:127" s="194" customFormat="1" ht="15.75" x14ac:dyDescent="0.2">
      <c r="A128" s="310"/>
      <c r="L128" s="306"/>
      <c r="M128" s="307"/>
      <c r="S128" s="306"/>
      <c r="T128" s="307"/>
      <c r="DK128" s="209"/>
    </row>
    <row r="129" spans="1:115" s="194" customFormat="1" ht="15.75" x14ac:dyDescent="0.2">
      <c r="A129" s="310"/>
      <c r="L129" s="306"/>
      <c r="M129" s="307"/>
      <c r="S129" s="306"/>
      <c r="T129" s="307"/>
      <c r="DK129" s="209"/>
    </row>
    <row r="130" spans="1:115" s="194" customFormat="1" ht="31.5" customHeight="1" x14ac:dyDescent="0.2">
      <c r="A130" s="537" t="s">
        <v>1047</v>
      </c>
      <c r="B130" s="537"/>
      <c r="C130" s="537"/>
      <c r="D130" s="537"/>
      <c r="E130" s="537"/>
      <c r="F130" s="537"/>
      <c r="G130" s="537"/>
      <c r="H130" s="537"/>
      <c r="I130" s="537"/>
      <c r="J130" s="537"/>
      <c r="K130" s="537"/>
      <c r="L130" s="537"/>
      <c r="M130" s="537"/>
      <c r="N130" s="537"/>
      <c r="O130" s="537"/>
      <c r="P130" s="537"/>
      <c r="Q130" s="537"/>
      <c r="R130" s="537"/>
      <c r="S130" s="537"/>
      <c r="T130" s="537"/>
      <c r="U130" s="537"/>
      <c r="V130" s="537"/>
      <c r="W130" s="537"/>
      <c r="X130" s="537"/>
      <c r="Y130" s="537"/>
      <c r="Z130" s="537"/>
      <c r="AA130" s="537"/>
      <c r="AB130" s="537"/>
      <c r="AC130" s="537"/>
      <c r="AD130" s="537"/>
      <c r="AE130" s="537"/>
      <c r="AF130" s="537"/>
      <c r="AG130" s="537"/>
      <c r="AH130" s="537"/>
      <c r="AI130" s="537"/>
      <c r="AJ130" s="537"/>
      <c r="AK130" s="537"/>
      <c r="AL130" s="537"/>
      <c r="AM130" s="537"/>
      <c r="AN130" s="537"/>
      <c r="AO130" s="537"/>
      <c r="AP130" s="537"/>
      <c r="AQ130" s="537"/>
      <c r="AR130" s="537"/>
      <c r="AS130" s="537"/>
      <c r="AT130" s="537"/>
      <c r="AU130" s="537"/>
      <c r="AV130" s="537"/>
      <c r="AW130" s="537"/>
      <c r="AX130" s="537"/>
      <c r="AY130" s="537"/>
      <c r="AZ130" s="537"/>
      <c r="BA130" s="537"/>
      <c r="BB130" s="537"/>
      <c r="BC130" s="537"/>
      <c r="BD130" s="537"/>
      <c r="BE130" s="537"/>
      <c r="BF130" s="537"/>
      <c r="BG130" s="537"/>
      <c r="BH130" s="537"/>
      <c r="BI130" s="537"/>
      <c r="BJ130" s="537"/>
      <c r="BK130" s="537"/>
      <c r="BL130" s="537"/>
      <c r="BM130" s="537"/>
      <c r="BN130" s="537"/>
      <c r="BO130" s="537"/>
      <c r="BP130" s="537"/>
      <c r="BQ130" s="537"/>
      <c r="BR130" s="537"/>
      <c r="BS130" s="537"/>
      <c r="BT130" s="537"/>
      <c r="BU130" s="537"/>
      <c r="BV130" s="537"/>
      <c r="BW130" s="537"/>
      <c r="BX130" s="537"/>
      <c r="BY130" s="537"/>
      <c r="BZ130" s="537"/>
      <c r="CA130" s="537"/>
      <c r="CB130" s="537"/>
      <c r="CC130" s="537"/>
      <c r="CD130" s="537"/>
      <c r="CE130" s="537"/>
      <c r="CF130" s="537"/>
      <c r="CG130" s="537"/>
      <c r="CH130" s="537"/>
      <c r="CI130" s="537"/>
      <c r="CJ130" s="537"/>
      <c r="CK130" s="537"/>
      <c r="CL130" s="537"/>
      <c r="CM130" s="537"/>
      <c r="CN130" s="537"/>
      <c r="CO130" s="537"/>
      <c r="CP130" s="537"/>
      <c r="CQ130" s="537"/>
      <c r="CR130" s="537"/>
      <c r="CS130" s="537"/>
      <c r="CT130" s="537"/>
      <c r="CU130" s="537"/>
      <c r="CV130" s="537"/>
      <c r="CW130" s="537"/>
      <c r="CX130" s="537"/>
      <c r="CY130" s="537"/>
      <c r="CZ130" s="537"/>
      <c r="DA130" s="537"/>
      <c r="DB130" s="537"/>
      <c r="DC130" s="537"/>
      <c r="DD130" s="537"/>
      <c r="DE130" s="537"/>
      <c r="DF130" s="537"/>
      <c r="DG130" s="537"/>
      <c r="DH130" s="537"/>
      <c r="DI130" s="537"/>
      <c r="DJ130" s="537"/>
      <c r="DK130" s="209"/>
    </row>
    <row r="131" spans="1:115" s="194" customFormat="1" ht="15.75" x14ac:dyDescent="0.2">
      <c r="A131" s="310"/>
      <c r="L131" s="306"/>
      <c r="M131" s="307"/>
      <c r="S131" s="306"/>
      <c r="T131" s="307"/>
      <c r="DK131" s="209"/>
    </row>
    <row r="132" spans="1:115" s="194" customFormat="1" ht="15.75" x14ac:dyDescent="0.2">
      <c r="A132" s="310"/>
      <c r="L132" s="306"/>
      <c r="M132" s="307"/>
      <c r="S132" s="306"/>
      <c r="T132" s="307"/>
      <c r="DK132" s="209"/>
    </row>
    <row r="133" spans="1:115" s="194" customFormat="1" ht="31.5" customHeight="1" x14ac:dyDescent="0.2">
      <c r="A133" s="311" t="s">
        <v>928</v>
      </c>
      <c r="L133" s="306"/>
      <c r="M133" s="307"/>
      <c r="S133" s="306"/>
      <c r="T133" s="307"/>
      <c r="DK133" s="209"/>
    </row>
    <row r="134" spans="1:115" s="194" customFormat="1" ht="15.75" x14ac:dyDescent="0.2">
      <c r="A134" s="312" t="s">
        <v>1048</v>
      </c>
      <c r="L134" s="306"/>
      <c r="M134" s="307"/>
      <c r="S134" s="306"/>
      <c r="T134" s="307"/>
      <c r="DK134" s="209"/>
    </row>
    <row r="135" spans="1:115" s="194" customFormat="1" ht="15.75" x14ac:dyDescent="0.2">
      <c r="A135" s="312" t="s">
        <v>1049</v>
      </c>
      <c r="L135" s="306"/>
      <c r="M135" s="307"/>
      <c r="S135" s="306"/>
      <c r="T135" s="307"/>
      <c r="DK135" s="209"/>
    </row>
    <row r="136" spans="1:115" s="194" customFormat="1" ht="15.75" x14ac:dyDescent="0.2">
      <c r="A136" s="312" t="s">
        <v>1050</v>
      </c>
      <c r="L136" s="306"/>
      <c r="M136" s="307"/>
      <c r="S136" s="306"/>
      <c r="T136" s="307"/>
      <c r="DK136" s="209"/>
    </row>
    <row r="137" spans="1:115" s="194" customFormat="1" ht="15.75" x14ac:dyDescent="0.2">
      <c r="A137" s="312" t="s">
        <v>1051</v>
      </c>
      <c r="L137" s="306"/>
      <c r="M137" s="307"/>
      <c r="S137" s="306"/>
      <c r="T137" s="307"/>
      <c r="DK137" s="209"/>
    </row>
    <row r="138" spans="1:115" s="194" customFormat="1" ht="15.75" x14ac:dyDescent="0.2">
      <c r="A138" s="312" t="s">
        <v>1052</v>
      </c>
      <c r="L138" s="306"/>
      <c r="M138" s="307"/>
      <c r="S138" s="306"/>
      <c r="T138" s="307"/>
      <c r="DK138" s="209"/>
    </row>
    <row r="139" spans="1:115" s="194" customFormat="1" ht="15.75" x14ac:dyDescent="0.2">
      <c r="A139" s="312" t="s">
        <v>1053</v>
      </c>
      <c r="L139" s="306"/>
      <c r="M139" s="307"/>
      <c r="S139" s="306"/>
      <c r="T139" s="307"/>
      <c r="DK139" s="209"/>
    </row>
    <row r="140" spans="1:115" s="194" customFormat="1" ht="15.75" x14ac:dyDescent="0.2">
      <c r="A140" s="312" t="s">
        <v>1054</v>
      </c>
      <c r="L140" s="306"/>
      <c r="M140" s="307"/>
      <c r="S140" s="306"/>
      <c r="T140" s="307"/>
      <c r="DK140" s="209"/>
    </row>
    <row r="141" spans="1:115" s="194" customFormat="1" ht="15.75" x14ac:dyDescent="0.2">
      <c r="A141" s="312" t="s">
        <v>1055</v>
      </c>
      <c r="L141" s="306"/>
      <c r="M141" s="307"/>
      <c r="S141" s="306"/>
      <c r="T141" s="307"/>
      <c r="DK141" s="209"/>
    </row>
    <row r="142" spans="1:115" s="194" customFormat="1" ht="15.75" x14ac:dyDescent="0.2">
      <c r="A142" s="312" t="s">
        <v>1056</v>
      </c>
      <c r="L142" s="306"/>
      <c r="M142" s="307"/>
      <c r="S142" s="306"/>
      <c r="T142" s="307"/>
      <c r="DK142" s="209"/>
    </row>
    <row r="143" spans="1:115" s="194" customFormat="1" ht="15.75" x14ac:dyDescent="0.2">
      <c r="A143" s="312" t="s">
        <v>1057</v>
      </c>
      <c r="L143" s="306"/>
      <c r="M143" s="307"/>
      <c r="S143" s="306"/>
      <c r="T143" s="307"/>
      <c r="DK143" s="209"/>
    </row>
    <row r="144" spans="1:115" s="194" customFormat="1" ht="15.75" x14ac:dyDescent="0.2">
      <c r="A144" s="312" t="s">
        <v>1058</v>
      </c>
      <c r="L144" s="306"/>
      <c r="M144" s="307"/>
      <c r="S144" s="306"/>
      <c r="T144" s="307"/>
      <c r="DK144" s="209"/>
    </row>
    <row r="145" spans="1:115" s="194" customFormat="1" ht="15.75" x14ac:dyDescent="0.2">
      <c r="A145" s="312" t="s">
        <v>1059</v>
      </c>
      <c r="L145" s="306"/>
      <c r="M145" s="307"/>
      <c r="S145" s="306"/>
      <c r="T145" s="307"/>
      <c r="DK145" s="209"/>
    </row>
    <row r="146" spans="1:115" s="194" customFormat="1" ht="15.75" x14ac:dyDescent="0.2">
      <c r="A146" s="310"/>
      <c r="L146" s="306"/>
      <c r="M146" s="307"/>
      <c r="S146" s="306"/>
      <c r="T146" s="307"/>
      <c r="DK146" s="209"/>
    </row>
    <row r="147" spans="1:115" s="194" customFormat="1" ht="15.75" x14ac:dyDescent="0.2">
      <c r="A147" s="310"/>
      <c r="L147" s="306"/>
      <c r="M147" s="307"/>
      <c r="S147" s="306"/>
      <c r="T147" s="307"/>
      <c r="DK147" s="209"/>
    </row>
    <row r="148" spans="1:115" s="194" customFormat="1" ht="31.5" customHeight="1" x14ac:dyDescent="0.2">
      <c r="A148" s="311" t="s">
        <v>1060</v>
      </c>
      <c r="L148" s="306"/>
      <c r="M148" s="307"/>
      <c r="S148" s="306"/>
      <c r="T148" s="307"/>
      <c r="DK148" s="209"/>
    </row>
    <row r="149" spans="1:115" s="194" customFormat="1" ht="15.75" x14ac:dyDescent="0.2">
      <c r="A149" s="312" t="s">
        <v>1061</v>
      </c>
      <c r="L149" s="306"/>
      <c r="M149" s="307"/>
      <c r="S149" s="306"/>
      <c r="T149" s="307"/>
      <c r="DK149" s="209"/>
    </row>
    <row r="150" spans="1:115" s="194" customFormat="1" ht="15.75" x14ac:dyDescent="0.2">
      <c r="A150" s="312" t="s">
        <v>1062</v>
      </c>
      <c r="L150" s="306"/>
      <c r="M150" s="307"/>
      <c r="S150" s="306"/>
      <c r="T150" s="307"/>
      <c r="DK150" s="209"/>
    </row>
    <row r="151" spans="1:115" s="194" customFormat="1" ht="15.75" x14ac:dyDescent="0.2">
      <c r="A151" s="312" t="s">
        <v>1063</v>
      </c>
      <c r="L151" s="306"/>
      <c r="M151" s="307"/>
      <c r="S151" s="306"/>
      <c r="T151" s="307"/>
      <c r="DK151" s="209"/>
    </row>
    <row r="152" spans="1:115" s="194" customFormat="1" ht="15.75" x14ac:dyDescent="0.2">
      <c r="A152" s="312" t="s">
        <v>1064</v>
      </c>
      <c r="L152" s="306"/>
      <c r="M152" s="307"/>
      <c r="S152" s="306"/>
      <c r="T152" s="307"/>
      <c r="DK152" s="209"/>
    </row>
    <row r="153" spans="1:115" s="194" customFormat="1" ht="15.75" x14ac:dyDescent="0.2">
      <c r="A153" s="312" t="s">
        <v>1065</v>
      </c>
      <c r="L153" s="306"/>
      <c r="M153" s="307"/>
      <c r="S153" s="306"/>
      <c r="T153" s="307"/>
      <c r="DK153" s="209"/>
    </row>
    <row r="154" spans="1:115" s="194" customFormat="1" ht="15.75" x14ac:dyDescent="0.2">
      <c r="A154" s="312" t="s">
        <v>1066</v>
      </c>
      <c r="L154" s="306"/>
      <c r="M154" s="307"/>
      <c r="S154" s="306"/>
      <c r="T154" s="307"/>
      <c r="DK154" s="209"/>
    </row>
    <row r="155" spans="1:115" s="194" customFormat="1" ht="15.75" x14ac:dyDescent="0.2">
      <c r="A155" s="310"/>
      <c r="L155" s="306"/>
      <c r="M155" s="307"/>
      <c r="S155" s="306"/>
      <c r="T155" s="307"/>
      <c r="DK155" s="209"/>
    </row>
    <row r="156" spans="1:115" s="194" customFormat="1" ht="15.75" x14ac:dyDescent="0.2">
      <c r="A156" s="310"/>
      <c r="L156" s="306"/>
      <c r="M156" s="307"/>
      <c r="S156" s="306"/>
      <c r="T156" s="307"/>
      <c r="DK156" s="209"/>
    </row>
    <row r="157" spans="1:115" s="194" customFormat="1" ht="31.5" customHeight="1" x14ac:dyDescent="0.2">
      <c r="A157" s="311" t="s">
        <v>938</v>
      </c>
      <c r="L157" s="306"/>
      <c r="M157" s="307"/>
      <c r="S157" s="306"/>
      <c r="T157" s="307"/>
    </row>
    <row r="158" spans="1:115" s="194" customFormat="1" ht="15.75" x14ac:dyDescent="0.2">
      <c r="A158" s="313" t="s">
        <v>1067</v>
      </c>
      <c r="L158" s="306"/>
      <c r="M158" s="307"/>
      <c r="S158" s="306"/>
      <c r="T158" s="307"/>
    </row>
    <row r="159" spans="1:115" s="194" customFormat="1" ht="15.75" x14ac:dyDescent="0.2">
      <c r="A159" s="313" t="s">
        <v>806</v>
      </c>
      <c r="L159" s="306"/>
      <c r="M159" s="307"/>
      <c r="S159" s="306"/>
      <c r="T159" s="307"/>
    </row>
    <row r="160" spans="1:115" s="194" customFormat="1" ht="15.75" x14ac:dyDescent="0.2">
      <c r="A160" s="313" t="s">
        <v>1068</v>
      </c>
      <c r="L160" s="306"/>
      <c r="M160" s="307"/>
      <c r="S160" s="306"/>
      <c r="T160" s="307"/>
    </row>
    <row r="161" spans="1:20" s="194" customFormat="1" ht="15.75" x14ac:dyDescent="0.2">
      <c r="A161" s="313" t="s">
        <v>1069</v>
      </c>
    </row>
    <row r="162" spans="1:20" s="194" customFormat="1" ht="15.75" x14ac:dyDescent="0.2">
      <c r="A162" s="313" t="s">
        <v>1070</v>
      </c>
    </row>
    <row r="163" spans="1:20" s="194" customFormat="1" ht="15.75" x14ac:dyDescent="0.2">
      <c r="A163" s="313" t="s">
        <v>1071</v>
      </c>
    </row>
    <row r="164" spans="1:20" s="194" customFormat="1" ht="15.75" x14ac:dyDescent="0.2">
      <c r="A164" s="313" t="s">
        <v>1072</v>
      </c>
    </row>
    <row r="165" spans="1:20" s="194" customFormat="1" ht="15.75" x14ac:dyDescent="0.2">
      <c r="A165" s="313" t="s">
        <v>1073</v>
      </c>
    </row>
    <row r="166" spans="1:20" s="194" customFormat="1" ht="15.75" x14ac:dyDescent="0.2">
      <c r="A166" s="313" t="s">
        <v>1074</v>
      </c>
    </row>
    <row r="167" spans="1:20" s="194" customFormat="1" ht="15.75" x14ac:dyDescent="0.2">
      <c r="A167" s="313" t="s">
        <v>1075</v>
      </c>
    </row>
    <row r="168" spans="1:20" s="194" customFormat="1" ht="15.75" x14ac:dyDescent="0.2">
      <c r="A168" s="313" t="s">
        <v>949</v>
      </c>
    </row>
    <row r="169" spans="1:20" s="194" customFormat="1" ht="15.75" x14ac:dyDescent="0.2">
      <c r="A169" s="313" t="s">
        <v>25</v>
      </c>
    </row>
    <row r="170" spans="1:20" s="194" customFormat="1" ht="15.75" x14ac:dyDescent="0.2">
      <c r="A170" s="313" t="s">
        <v>1076</v>
      </c>
    </row>
    <row r="171" spans="1:20" s="194" customFormat="1" ht="15.75" x14ac:dyDescent="0.2">
      <c r="A171" s="313" t="s">
        <v>1077</v>
      </c>
    </row>
    <row r="172" spans="1:20" s="194" customFormat="1" ht="15.75" x14ac:dyDescent="0.2">
      <c r="A172" s="313" t="s">
        <v>937</v>
      </c>
    </row>
    <row r="173" spans="1:20" s="194" customFormat="1" ht="15.75" x14ac:dyDescent="0.2">
      <c r="A173" s="310"/>
      <c r="L173" s="306"/>
      <c r="M173" s="307"/>
      <c r="S173" s="306"/>
      <c r="T173" s="307"/>
    </row>
    <row r="174" spans="1:20" s="194" customFormat="1" ht="15.75" x14ac:dyDescent="0.2">
      <c r="A174" s="310"/>
      <c r="L174" s="306"/>
      <c r="M174" s="307"/>
      <c r="S174" s="306"/>
      <c r="T174" s="307"/>
    </row>
    <row r="175" spans="1:20" s="194" customFormat="1" ht="31.5" customHeight="1" x14ac:dyDescent="0.2">
      <c r="A175" s="311" t="s">
        <v>939</v>
      </c>
    </row>
    <row r="176" spans="1:20" s="194" customFormat="1" ht="15.75" x14ac:dyDescent="0.2">
      <c r="A176" s="313" t="s">
        <v>809</v>
      </c>
    </row>
    <row r="177" spans="1:20" s="194" customFormat="1" ht="15.75" x14ac:dyDescent="0.2">
      <c r="A177" s="313" t="s">
        <v>1078</v>
      </c>
    </row>
    <row r="178" spans="1:20" s="194" customFormat="1" ht="15.75" x14ac:dyDescent="0.2">
      <c r="A178" s="313" t="s">
        <v>1079</v>
      </c>
    </row>
    <row r="179" spans="1:20" s="194" customFormat="1" ht="15.75" x14ac:dyDescent="0.2">
      <c r="A179" s="313" t="s">
        <v>1080</v>
      </c>
    </row>
    <row r="180" spans="1:20" s="194" customFormat="1" ht="15.75" x14ac:dyDescent="0.2">
      <c r="A180" s="313" t="s">
        <v>1081</v>
      </c>
    </row>
    <row r="181" spans="1:20" s="194" customFormat="1" ht="15.75" x14ac:dyDescent="0.2">
      <c r="A181" s="313" t="s">
        <v>1082</v>
      </c>
    </row>
    <row r="182" spans="1:20" s="194" customFormat="1" ht="15.75" x14ac:dyDescent="0.2">
      <c r="A182" s="313" t="s">
        <v>1083</v>
      </c>
    </row>
    <row r="183" spans="1:20" s="194" customFormat="1" ht="15.75" x14ac:dyDescent="0.2">
      <c r="A183" s="313" t="s">
        <v>1084</v>
      </c>
    </row>
    <row r="184" spans="1:20" s="194" customFormat="1" ht="15.75" x14ac:dyDescent="0.2">
      <c r="A184" s="313" t="s">
        <v>1085</v>
      </c>
    </row>
    <row r="185" spans="1:20" s="194" customFormat="1" ht="15.75" x14ac:dyDescent="0.2">
      <c r="A185" s="313" t="s">
        <v>1086</v>
      </c>
    </row>
    <row r="186" spans="1:20" s="194" customFormat="1" ht="15.75" x14ac:dyDescent="0.2">
      <c r="A186" s="310"/>
      <c r="L186" s="306"/>
      <c r="M186" s="307"/>
      <c r="S186" s="306"/>
      <c r="T186" s="307"/>
    </row>
    <row r="187" spans="1:20" s="194" customFormat="1" ht="15.75" x14ac:dyDescent="0.2">
      <c r="A187" s="310"/>
      <c r="L187" s="306"/>
      <c r="M187" s="307"/>
      <c r="S187" s="306"/>
      <c r="T187" s="307"/>
    </row>
    <row r="188" spans="1:20" s="194" customFormat="1" ht="31.5" customHeight="1" x14ac:dyDescent="0.2">
      <c r="A188" s="538" t="s">
        <v>927</v>
      </c>
      <c r="B188" s="539"/>
    </row>
    <row r="189" spans="1:20" s="194" customFormat="1" ht="15.75" customHeight="1" x14ac:dyDescent="0.2">
      <c r="A189" s="313" t="s">
        <v>8</v>
      </c>
      <c r="B189" s="314">
        <v>2</v>
      </c>
    </row>
    <row r="190" spans="1:20" s="194" customFormat="1" ht="15.75" customHeight="1" x14ac:dyDescent="0.2">
      <c r="A190" s="313" t="s">
        <v>18</v>
      </c>
      <c r="B190" s="314">
        <v>5</v>
      </c>
    </row>
    <row r="191" spans="1:20" s="194" customFormat="1" ht="15.75" customHeight="1" x14ac:dyDescent="0.2">
      <c r="A191" s="313" t="s">
        <v>5</v>
      </c>
      <c r="B191" s="314">
        <v>10</v>
      </c>
    </row>
  </sheetData>
  <autoFilter ref="C27:DH120"/>
  <mergeCells count="41">
    <mergeCell ref="DD26:DH26"/>
    <mergeCell ref="A130:DJ130"/>
    <mergeCell ref="A188:B188"/>
    <mergeCell ref="BN26:BR26"/>
    <mergeCell ref="BU26:BY26"/>
    <mergeCell ref="CB26:CF26"/>
    <mergeCell ref="CI26:CM26"/>
    <mergeCell ref="CP26:CT26"/>
    <mergeCell ref="CW26:DA26"/>
    <mergeCell ref="CW25:DA25"/>
    <mergeCell ref="DD25:DH25"/>
    <mergeCell ref="A26:B26"/>
    <mergeCell ref="C26:G26"/>
    <mergeCell ref="J26:N26"/>
    <mergeCell ref="Q26:U26"/>
    <mergeCell ref="X26:AB26"/>
    <mergeCell ref="AE26:AI26"/>
    <mergeCell ref="AL26:AP26"/>
    <mergeCell ref="AS26:BK26"/>
    <mergeCell ref="BG25:BK25"/>
    <mergeCell ref="BN25:BR25"/>
    <mergeCell ref="BU25:BY25"/>
    <mergeCell ref="CB25:CF25"/>
    <mergeCell ref="CI25:CM25"/>
    <mergeCell ref="CP25:CT25"/>
    <mergeCell ref="DD24:DH24"/>
    <mergeCell ref="A25:B25"/>
    <mergeCell ref="C25:G25"/>
    <mergeCell ref="J25:N25"/>
    <mergeCell ref="Q25:U25"/>
    <mergeCell ref="X25:AB25"/>
    <mergeCell ref="AE25:AI25"/>
    <mergeCell ref="AL25:AP25"/>
    <mergeCell ref="AS25:AW25"/>
    <mergeCell ref="AZ25:BD25"/>
    <mergeCell ref="A24:B24"/>
    <mergeCell ref="C24:BK24"/>
    <mergeCell ref="BN24:BR24"/>
    <mergeCell ref="BU24:BY24"/>
    <mergeCell ref="CB24:CF24"/>
    <mergeCell ref="CI24:DA24"/>
  </mergeCells>
  <conditionalFormatting sqref="B15">
    <cfRule type="cellIs" dxfId="0" priority="1" stopIfTrue="1" operator="notEqual">
      <formula>""</formula>
    </cfRule>
  </conditionalFormatting>
  <dataValidations count="8">
    <dataValidation type="list" allowBlank="1" showInputMessage="1" showErrorMessage="1" sqref="DO28:DP117">
      <formula1>#REF!</formula1>
    </dataValidation>
    <dataValidation type="list" allowBlank="1" showInputMessage="1" showErrorMessage="1" sqref="B20 B18">
      <formula1>$A$149:$A$154</formula1>
    </dataValidation>
    <dataValidation type="list" allowBlank="1" showInputMessage="1" showErrorMessage="1" sqref="B16">
      <formula1>$A$134:$A$145</formula1>
    </dataValidation>
    <dataValidation type="list" allowBlank="1" showInputMessage="1" showErrorMessage="1" sqref="DM90:DM94">
      <formula1>$A$176:$A$185</formula1>
    </dataValidation>
    <dataValidation type="list" allowBlank="1" showInputMessage="1" showErrorMessage="1" sqref="DL92:DL94">
      <formula1>$A$158:$A$172</formula1>
    </dataValidation>
    <dataValidation type="decimal" allowBlank="1" showInputMessage="1" showErrorMessage="1" sqref="B17">
      <formula1>0</formula1>
      <formula2>999999999</formula2>
    </dataValidation>
    <dataValidation type="textLength" operator="equal" allowBlank="1" showInputMessage="1" showErrorMessage="1" sqref="CX95:CX97 E66:E67 T68 BB28:BC29 Y93:AA99 R93:T99 Y110:AA117 BC55:BC64 CD52 CJ55 CJ51:CL51 CL99 CJ95:CJ99 CQ112:CS117 AG59:AG64 AM93:AO99 CE35:CE40 BJ47 BP62:BP64 BV29 CD34:CD37 CJ28 CQ93:CS93 CY86:CY88 Y101:AA108 AH55:AH64 R110:T117 Y86:AA91 CX93:CY93 BH52:BJ54 D63 AH39:AH40 AU59:AU64 BB59:BB64 BI28:BJ29 BV72:BX84 AU66:AU68 R101:T108 BH29 CQ94:CQ99 BN65 D60:D61 R86:T91 Z28:AA29 AG38:AH38 AM80:AO84 AT67:AT68 BA67:BA68 BI62:BI64 BO67:BO68 BW59:BW64 CC52:CC58 CK40 CY94:CY95 AM110:AO117 BP66:BP68 BX55:BX64 CD59:CD63 R32:T33 AT93:AV99 BC68 BJ55:BJ64 BO93:BQ99 BV67:BV68 AF93:AH99 AS85:AU85 BA93:BC99 BO84:BP84 BX68 AH31 CQ86:CS91 BV93:BX99 D55:D58 R72:T84 Y32:AA33 AM101:AO108 BJ66 BV110:BX117 CD28:CE29 CK28:CL29 E55:F57 R34:R40 Y72:AA84 AF110:AH117 AM86:AO91 AT86:AV91 BA110:BC117 BG65 BN85:BP85 CX110:CZ117 CK102:CL102 CE53:CE64 E28:F29 S37:S40 Y37:Y40 AF101:AH108 AN72 AT32:AV33 BA101:BC108 BG92 BV101:BX108 CX101:CZ108 BO110:BQ117 CY90:CY91 CL61:CL64 CL47:CL50 D29 Z39:Z40 AF86:AH91 AM72:AM75 AT72:AV84 BA86:BC91 BH67:BH68 BO101:BQ108 CX86:CX92 CB65:CE65 AF32:AH33 E62:E64 T40 AM32:AO33 AU40 BJ68 BO86:BQ91 BV88:BX91 CS68 CX72:CZ84 CK62:CK64 X85:AA85 AF72:AH84 BA32:BC33 BH110:BJ117 BU69:BX71 CD50 CI92:CJ92 BV32:BX33 F59:F64 AO72:AO76 AS65:AV65 BA72:BC84 BV34:BW40 CJ59:CJ61 CX32:CZ33 AG40 C65 X65:AA65 AN34:AN40 AS92:AV92 BA34:BA40 BU65:BX65 D67:D68 F68 Q85:T85 AE85:AH85 AM37:AM40 AS69:AV71 BQ72:BQ84 CL59 CX34:CY40 AL85:AO85 BB40 AE65:AH65 AE92:AH92 X92:AA92 AE69:AH71 BH101:BJ108 BB48:BB50 BH86:BJ99 BH32:BJ33 AO47 D51:F54 BO72:BO80 CZ38:CZ40 CB92 CL52:CL56 CQ72:CS84 CX52:CZ54 CB51:CD51 CQ32:CS33 CX57:CZ64 CC67:CC68 CQ28:CS29 CB70:CE71 CB69 BU92:BX92 CK56 CL68 CK59:CK60 CB85:CE85 CY43:CY46 CJ67:CJ68 CL38:CL40 CL43 CZ55:CZ56 CR40 CX55 AZ65:BC65 BH72:BJ84 CC110:CE117 CL45 CY56 Q65:T65 BU51:BX51 CY66:CZ68 BO32:BQ33 BI40 D32:F33 AL65:AO65 CR94:CS98 CL66 CC101:CE108 CR106:CS106 BU85:BX85 CW65:CZ65 CR65:CS65 CP85:CS85 CC86:CE99 BI65:BJ65 CK66:CK67 BW46 BP72:BP79 AZ92:BC92 AS51:AV51 AL92:AO92 AE51:AH51 X69:AA71 E34:E40 CP100:CQ100 CW100:CZ100 BP39:BP40 BG85:BJ85 AZ85:BC85 AS41:AV41 AL69:AO71 AG68:AH68 X51:AA51 Q92:T92 D37:D40 CJ63 CE66:CE68 CJ34:CJ39 CC32:CE33 CC72:CE84 CJ42:CK50 AT101:AV108 Q69:T71 CW85:CZ85 CQ49:CQ50 CK34:CK37 CJ52:CK54 CR48:CR50 CC34:CC40 CD40 BW48 CW69:CZ71 BU41:BX41 D49:E50 BN69:BQ71 BG69:BJ71 BG51:BJ51 AZ69:BC71 AZ51:BC51 Q51:T51 AT49:AU50 BG41:BJ41 AL51:AO51 AL41:AO41 AE41:AH41 CQ42:CQ47 X41:AA41 E58:E59 BH49:BI50 BP65:BQ65 AU35:AU37 AZ41:BC41 CW109:CZ109 BN92:BQ92 BH34:BH39 BA49:BA50 AT47 AM49:AN50 AF49:AG50 AA45:AA48 Q41:T41 E65:F65 CB41:CE41 CD69:CE69 R49:S50 BV49:BV50 D41:F41 BX47:BX49 Z48:Z50 AF47 R55:R58 CZ47:CZ50 AN46 AF37:AG37 Y42:Y50 AT42:AU46 AL30:AO31 BB46 Q30:S31 BN51:BQ51 BH60:BH61 BI46 BG30:BJ31 CY48:CY50 CX42:CX50 AF67 CP51:CS51 BN41:BQ41 R42:S46 X100:AA100 BU30:BX31 AS30:AV31 AL100:AO100 D42:E47 CJ69:CL84 CC49:CC50 AZ30:BC31 T55:T64 BG100:BJ100 CE47:CE49 CD48 CK41:CL41 CJ30:CL33 CP41:CS41 CJ100:CL101 CC42:CC47 CB30:CE31 BO49:BP50 D69:F116 AZ100:BC100 AS100:AV100 AF42:AG46 CW51:CZ51 J30:L31 CK65:CL65 CJ103:CL117 CW41:CZ41 BN30:BQ31 CW30:CZ31 X30:Z31 BG109:BJ109 C117:F117 AE100:AH100 BN100:BQ100 CB100:CE100 BN109:BQ109 CB109:CE109 CP65 CP30:CS31 CJ57:CL58 AE109:AH109 BU100:BX100 Q100:T100 Q109:T109 BU109:BX109 AL109:AO109 X109:AA109 AS109:AV109 AZ109:BC109 F35:F36 D34 F40 F45:F46 F66 E48:F48 T45:T47 S48:T48 S55:S56 R60:R61 R63 T35:T36 S34 S66:S67 T66 R52:T54 S28:T29 R47 S59:S64 R67:R68 AA40 Z37 AA38 Z42:Z44 Y60:Y61 Y63:Y64 Z35:AA36 Y34:Z34 Y29 Z66:Z67 Y52:Y58 AA66 Z52:AA64 AA68 Y67:Y68 AH45:AH47 AF39:AF40 AF34:AG34 AG48:AH48 AG55:AG57 AF60:AF64 AH66 AG28:AH29 AG35:AH36 AG66:AG67 AF55:AF58 AF52:AH54 AO35:AO37 AM34 AN48:AO48 AO45 AM42:AM47 AN55:AN56 AN66:AN67 AM77:AN79 AM60:AM61 AO40 AN76 AN42:AN44 AM55:AM58 AO66 AM52:AO54 AN28:AO29 AO55:AO64 AM63:AM64 AN59:AN64 AM66:AM68 AO68 AT110:AV117 AV34:AV40 AV43 AU48:AV48 AU55:AU56 AT60:AT61 AT63:AT64 AV45:AV47 AT34:AT40 AT55:AT58 AV66 AT52:AV54 AU28:AV29 AV55:AV64 BC45 BB42:BB44 BB55:BB56 BA60:BA61 BA63 BA42:BA47 BC47:BC48 BC34:BC40 BB35:BB37 BA29 BB66:BB67 BA55:BA58 BC66 BA52:BC54 BI48:BJ48 BI59 BI35:BI37 BJ45 BI42:BI44 BH42:BH47 BI55:BI56 BI66:BI67 BH63 BJ34:BJ40 BH55:BH58 BQ40 BQ38 BQ45:BQ47 BP48:BQ48 BP42:BP44 BO42:BO47 BP55:BP56 BO61 BP81:BP82 BO63 BO34:BO39 BP34:BP37 BQ28:BQ29 BO28 BO82:BO83 BQ35:BQ36 BP59:BP60 BO55:BO58 BQ66 BO52:BQ54 BP29 BQ55:BQ64 BX43 BX45 BV42:BV47 BV60:BV64 BW55:BW56 BW50 BW42:BW44 BX35:BX40 BV55:BV58 BV86:BW87 BX66 BW66:BW67 BV52:BX54 BW28:BX29 CE43 CE45 CD42:CD44 CD46 CC60:CC61 CC64 CD66:CD67 CI65 CI85:CK85 CI41 CL94:CL97 CJ86:CJ88 CK94:CK98 CJ93:CK93 CL86:CL92 CJ90:CJ91 CK86:CK91 CS108:CS111 CS35:CS40 CS43:CS48 CR42:CR46 CR55:CS56 CR66:CR67 CQ101:CQ105 CQ63 CR104:CR105 CQ107:CR107 CQ110:CQ111 CQ34:CQ39 CS52:CS54 CQ54:CQ61 CS59 CS66 CR34:CR37 CR57:CR60 CQ108 CR101 CP109:CQ109 CS61:CS64 CR62:CR64 CS50 CP92:CS92 CP69:CS69 CQ67:CQ68 CR70:CS71 CP70:CP71 CS99:CS103 CQ52:CR53 CW92 CZ42:CZ45 CY97 CZ34 K67:K68 CZ94:CZ97 CX28:CZ29 CX98:CZ99 CX68 CZ86:CZ92 DE49:DF50 DG40 DF48:DG48 DG66 DE63 DF55:DF56 DF59 DE34:DE39 DG94:DG96 DG35:DG36 DG55:DG59 DF34 DE55:DE58 DE52:DG54 DF28:DG29 DG61:DG64 DD65:DG65 DF62:DF64 DG98:DG99 DD100:DG100 DG86 DE67:DE68 DF66:DF68 DE94:DF99 DG112:DG116 DE93:DG93 DD92:DG92 DE112:DE117 DF117 DD85:DG85 DF81:DF84 DE110:DG111 DE101:DG108 DG88:DG91 DD69:DG71 DE86:DF91 DG72:DG84 DE32:DG33 DE72:DE84 DD109:DG109 DF72:DF79 DF37:DF40 DF60:DG60 DE42:DF47 DE61 DD51:DG51 DD41:DG41 DD30:DG31 M68 K93:M99 K110:M117 K101:M108 K86:M91 K32:M33 K72:M84 K34:K40 L37:L40 M40 J85:M85 J65:M65 J92:M92 J69:M71 J51:M51 J41:M41 K49:L50 K55:K58 K42:L46 M55:M64 C30:E31 J100:M100 J109:M109 M45:M47 L48:M48 L55:L56 K60:K61 K63 M35:M36 L34 L66:L67 M66 K52:M54 L28:M29 K47 L59:L64 AE30:AG31 CD54:CD56">
      <formula1>0</formula1>
    </dataValidation>
    <dataValidation type="list" allowBlank="1" showDropDown="1" showInputMessage="1" showErrorMessage="1" sqref="BW57:BW58 CS67 BV59 CI40:CJ40 CL85 CJ89 CJ29 CK55 CK92 CC48 CL93 CE34 CD64 CR108:CR111 CQ64:CQ66 CC66 CS57:CS58 CR54 CP66:CP68 CC62:CC63 CQ70:CQ71 BH62 CR99:CR100 BQ37 D62 CP52:CP64 BP38 BI60:BI61 AM76 BH59 CZ93 BJ49:BJ50 AG58 BI57:BI58 E60:E61 T37:T39 Y35:Y36 AH37 AO67 AV44 BB45 BI34 BN40:BO40 BX44 CC59 CJ64:CJ66 CY92 CE46 CY96 CI86:CI91 CD57:CD58 BW45 BO29 BI45 BB38:BB39 AV42 AO77:AO79 AF35:AF36 AA49:AA50 T30:T31 F47 AN73:AN75 CR68 BI38:BI39 F42:F44 M37:M39 AA67 AH67 AL52:AL64 AU38:AU39 BC49:BC50 BJ46 BP28 CD53 CL46 CP93:CP99 CZ46 BX42 BX67 CY47 CP110:CP117 CJ41 CE44 BV28 BO81 BI47 BB34 AS28:AT29 AL66:AL68 AE28:AF29 S35:S36 F34 Y28 CZ35:CZ37 CI93:CI117 CD45 BJ67 BA28 BH28 CP101:CP108 CP86:CP91 CJ62 BQ85 BC67 BX86:BX87 BG52:BG64 AV85 AN68 Y59 CE42 AH49:AH50 F30:F31 CX66:CX67 BU66:BU68 BN52:BN64 BH64:BH66 AS52:AS64 AL93:AL99 AE52:AE64 X52:X64 Q28:R29 D35:D36 BU52:BU64 CY89 BO64:BO66 BG66:BG68 AZ52:AZ64 AS66:AS68 AL110:AL117 AE66:AE68 X66:X68 T67 F58 BA64 CP72:CP84 CD38:CD39 BW68 BN66:BN68 CW52:CW64 BI68 AZ66:AZ68 AV67:AV68 AL101:AL108 AF38 Z68 T49:T50 D28 AE93:AE99 CI66:CI84 CW66:CW68 CC69 BQ67:BQ68 BG93:BG99 BB68 AS93:AS99 AL86:AL91 AE110:AE117 X93:X99 Q52:Q64 D59 R64 CP32:CP39 CK61 BU93:BU99 BG110:BG117 AL72:AL84 X110:X117 Q66:Q68 F67 AS110:AS117 CP28:CP29 CB52:CB64 BU110:BU117 BN93:BN99 AL32:AL40 AE101:AE108 S68 BU101:BU108 BN110:BN117 BG101:BG108 AZ93:AZ99 AS101:AS108 AE86:AE91 CE50:CE52 BU86:BU91 BN101:BN108 AN47 CW93:CW99 BN86:BN91 CB66:CB68 BU72:BU84 CD68 BG86:BG91 AZ110:AZ117 AS86:AS91 CW110:CW117 AE72:AE84 X101:X108 Q93:Q99 D64:D66 AZ101:AZ108 CQ106 BG72:BG84 Q110:Q117 CL98 CB93:CB99 BU28:BU29 BN72:BN84 BG32:BG39 AZ86:AZ91 AS72:AS84 AL42:AL50 E68 X86:X91 Q101:Q108 CW101:CW108 BN32:BN39 CR47 AZ72:AZ84 BN28:BN29 AZ28:AZ29 AE32:AE40 CJ102 CW86:CW91 CB110:CB117 AG47 X72:X84 Q86:Q91 C32:C64 CP42:CP50 CS49 CW72:CW84 CL44 BU32:BU40 CB101:CB108 BW47 AS32:AS40 AZ32:AZ40 CW28:CW29 AU47 CW32:CW40 X28:X29 Q72:Q84 X32:X40 CX56 CB86:CB91 CL42 BN42:BN50 CB28:CC29 BX46 BG28:BG29 AS42:AS50 BB47 BG40:BH40 CB72:CB84 CL34:CL37 CY55 CB32:CB40 AO46 AE42:AE50 X42:X50 C28:C29 Q32:Q40 S57:S58 BC46 AF68 AZ42:AZ50 CL60 BG42:BG50 CL67 CK99 BA48 CD49 Q42:Q50 CI42:CI64 CJ56 AG39 AT48 CB42:CB50 BW49 CK38:CK39 CW42:CW50 D48 CK68 AM48 C66:C116 BU42:BU50 R48 AF48 CI28:CI39 CD47 F49:F50 R66 R62 R59 S47 Y66 Y62 AA42:AA44 T42:T44 Z45:Z47 AA39 AA34 Z38 AF66 AF59 AH42:AH44 AH34 AO49:AO50 AM62 AM59 AO42:AO44 AN57:AN58 AO34 AN45 AO38:AO39 AM35:AM36 AL28:AM29 AV49:AV50 AT66 AT62 AT59 AU34 AU57:AU58 BA66 BA62 BA59 BC42:BC44 BB57:BB58 BH48 BJ42:BJ44 BO48 BQ49:BQ50 BP83 BP80 BO62 BP61 BO59:BO60 BP57:BP58 BQ42:BQ44 BQ34 BP45:BP47 BQ39 BV48 BX34 BX50 BV66 CQ48 CS107 CS104:CS105 CS60 CS34 CQ62 CR61 CR102:CR103 CS42 CR38:CR39 CP40:CQ40 DE48 DD32:DD39 DG87 DD72:DD84 DG49:DG50 DG37:DG39 DF80 DE66 DE62 DF61 DG42:DG47 DF57:DF58 DG97 DG34 DG117 DF35:DF36 DD40:DE40 DE59:DE60 DG67:DG68 DD28:DE29 DF112:DF116 DD52:DD64 DE64 DD66:DD68 DD93:DD99 DD110:DD117 DD101:DD108 DD86:DD91 DD42:DD50 M42:M44 M30:M31 AA30:AA31 L35:L36 J28:K29 M67 M49:M50 J52:J64 K64 J66:J68 L68 J93:J99 J110:J117 J101:J108 J86:J91 J72:J84 J32:J40 L57:L58 J42:J50 K48 K66 K62 K59 L47 CY42 CJ94 CX94 F37:F39 M34 T34 AA37 AH30">
      <formula1>"m,M,d,D"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site's reading</vt:lpstr>
      <vt:lpstr>Common checklist</vt:lpstr>
      <vt:lpstr>Panorama</vt:lpstr>
      <vt:lpstr>Sheet1</vt:lpstr>
      <vt:lpstr>Sheet2</vt:lpstr>
      <vt:lpstr>Tower Panorama</vt:lpstr>
      <vt:lpstr>Before &amp; after</vt:lpstr>
      <vt:lpstr>Pending Res.</vt:lpstr>
      <vt:lpstr>unused assets</vt:lpstr>
      <vt:lpstr>alarms capture</vt:lpstr>
      <vt:lpstr>Audit matrix SQI</vt:lpstr>
      <vt:lpstr>'Common checklist'!Print_Area</vt:lpstr>
      <vt:lpstr>'Common checklist'!Print_Titles</vt:lpstr>
    </vt:vector>
  </TitlesOfParts>
  <Company>ORANGE FT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Saad Mahmoud</dc:creator>
  <cp:lastModifiedBy>Windows User</cp:lastModifiedBy>
  <cp:lastPrinted>2019-12-09T08:11:10Z</cp:lastPrinted>
  <dcterms:created xsi:type="dcterms:W3CDTF">2019-03-04T06:20:54Z</dcterms:created>
  <dcterms:modified xsi:type="dcterms:W3CDTF">2024-11-28T22:53:29Z</dcterms:modified>
</cp:coreProperties>
</file>